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akshay_tapmimpl2026_learner_manipal_edu/Documents/Attachments/Term 1/DS/Assignment/"/>
    </mc:Choice>
  </mc:AlternateContent>
  <xr:revisionPtr revIDLastSave="0" documentId="13_ncr:1_{4E494120-A788-4F86-94F0-682F378E5A6D}" xr6:coauthVersionLast="47" xr6:coauthVersionMax="47" xr10:uidLastSave="{00000000-0000-0000-0000-000000000000}"/>
  <bookViews>
    <workbookView xWindow="3840" yWindow="2496" windowWidth="19200" windowHeight="11184" tabRatio="500" activeTab="1" xr2:uid="{00000000-000D-0000-FFFF-FFFF00000000}"/>
  </bookViews>
  <sheets>
    <sheet name="0_ReadMe" sheetId="1" r:id="rId1"/>
    <sheet name="Inputs" sheetId="2" r:id="rId2"/>
    <sheet name="ILP_A_CostFocused" sheetId="3" r:id="rId3"/>
    <sheet name="ILP_B_Moderate" sheetId="4" r:id="rId4"/>
    <sheet name="ILP_C_HighResilience" sheetId="5" r:id="rId5"/>
    <sheet name="Strategy_Comparison" sheetId="6" r:id="rId6"/>
    <sheet name="Sim_A_CostFocused" sheetId="7" r:id="rId7"/>
    <sheet name="Sim_B_Moderate" sheetId="8" r:id="rId8"/>
    <sheet name="Sim_C_HighResilienc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0" i="4" l="1"/>
  <c r="F10" i="3"/>
  <c r="D5" i="3"/>
  <c r="T157" i="9"/>
  <c r="S157" i="9"/>
  <c r="R157" i="9"/>
  <c r="Q157" i="9"/>
  <c r="P157" i="9"/>
  <c r="O157" i="9"/>
  <c r="N157" i="9"/>
  <c r="M157" i="9"/>
  <c r="L157" i="9"/>
  <c r="K157" i="9"/>
  <c r="I157" i="9"/>
  <c r="J157" i="9" s="1"/>
  <c r="AY157" i="9" s="1"/>
  <c r="H157" i="9"/>
  <c r="G157" i="9"/>
  <c r="F157" i="9"/>
  <c r="E157" i="9"/>
  <c r="D157" i="9"/>
  <c r="B157" i="9"/>
  <c r="T156" i="9"/>
  <c r="S156" i="9"/>
  <c r="R156" i="9"/>
  <c r="Q156" i="9"/>
  <c r="P156" i="9"/>
  <c r="O156" i="9"/>
  <c r="N156" i="9"/>
  <c r="M156" i="9"/>
  <c r="L156" i="9"/>
  <c r="K156" i="9"/>
  <c r="I156" i="9"/>
  <c r="J156" i="9" s="1"/>
  <c r="H156" i="9"/>
  <c r="G156" i="9"/>
  <c r="F156" i="9"/>
  <c r="E156" i="9"/>
  <c r="D156" i="9"/>
  <c r="B156" i="9"/>
  <c r="T155" i="9"/>
  <c r="S155" i="9"/>
  <c r="X155" i="9" s="1"/>
  <c r="R155" i="9"/>
  <c r="Q155" i="9"/>
  <c r="P155" i="9"/>
  <c r="O155" i="9"/>
  <c r="N155" i="9"/>
  <c r="M155" i="9"/>
  <c r="L155" i="9"/>
  <c r="K155" i="9"/>
  <c r="I155" i="9"/>
  <c r="J155" i="9" s="1"/>
  <c r="AY155" i="9" s="1"/>
  <c r="H155" i="9"/>
  <c r="G155" i="9"/>
  <c r="F155" i="9"/>
  <c r="E155" i="9"/>
  <c r="D155" i="9"/>
  <c r="B155" i="9"/>
  <c r="T154" i="9"/>
  <c r="S154" i="9"/>
  <c r="R154" i="9"/>
  <c r="Q154" i="9"/>
  <c r="P154" i="9"/>
  <c r="O154" i="9"/>
  <c r="N154" i="9"/>
  <c r="M154" i="9"/>
  <c r="L154" i="9"/>
  <c r="K154" i="9"/>
  <c r="I154" i="9"/>
  <c r="J154" i="9" s="1"/>
  <c r="H154" i="9"/>
  <c r="G154" i="9"/>
  <c r="F154" i="9"/>
  <c r="E154" i="9"/>
  <c r="D154" i="9"/>
  <c r="B154" i="9"/>
  <c r="T153" i="9"/>
  <c r="S153" i="9"/>
  <c r="R153" i="9"/>
  <c r="Q153" i="9"/>
  <c r="P153" i="9"/>
  <c r="O153" i="9"/>
  <c r="N153" i="9"/>
  <c r="M153" i="9"/>
  <c r="L153" i="9"/>
  <c r="K153" i="9"/>
  <c r="I153" i="9"/>
  <c r="J153" i="9" s="1"/>
  <c r="H153" i="9"/>
  <c r="G153" i="9"/>
  <c r="F153" i="9"/>
  <c r="E153" i="9"/>
  <c r="D153" i="9"/>
  <c r="B153" i="9"/>
  <c r="T152" i="9"/>
  <c r="S152" i="9"/>
  <c r="R152" i="9"/>
  <c r="Q152" i="9"/>
  <c r="P152" i="9"/>
  <c r="O152" i="9"/>
  <c r="N152" i="9"/>
  <c r="M152" i="9"/>
  <c r="L152" i="9"/>
  <c r="K152" i="9"/>
  <c r="I152" i="9"/>
  <c r="J152" i="9" s="1"/>
  <c r="AY152" i="9" s="1"/>
  <c r="H152" i="9"/>
  <c r="G152" i="9"/>
  <c r="F152" i="9"/>
  <c r="E152" i="9"/>
  <c r="D152" i="9"/>
  <c r="B152" i="9"/>
  <c r="T151" i="9"/>
  <c r="S151" i="9"/>
  <c r="R151" i="9"/>
  <c r="Q151" i="9"/>
  <c r="P151" i="9"/>
  <c r="O151" i="9"/>
  <c r="N151" i="9"/>
  <c r="M151" i="9"/>
  <c r="L151" i="9"/>
  <c r="K151" i="9"/>
  <c r="I151" i="9"/>
  <c r="J151" i="9" s="1"/>
  <c r="H151" i="9"/>
  <c r="G151" i="9"/>
  <c r="F151" i="9"/>
  <c r="E151" i="9"/>
  <c r="D151" i="9"/>
  <c r="B151" i="9"/>
  <c r="T150" i="9"/>
  <c r="S150" i="9"/>
  <c r="R150" i="9"/>
  <c r="Q150" i="9"/>
  <c r="P150" i="9"/>
  <c r="O150" i="9"/>
  <c r="N150" i="9"/>
  <c r="M150" i="9"/>
  <c r="L150" i="9"/>
  <c r="K150" i="9"/>
  <c r="I150" i="9"/>
  <c r="J150" i="9" s="1"/>
  <c r="H150" i="9"/>
  <c r="G150" i="9"/>
  <c r="F150" i="9"/>
  <c r="E150" i="9"/>
  <c r="D150" i="9"/>
  <c r="B150" i="9"/>
  <c r="T149" i="9"/>
  <c r="S149" i="9"/>
  <c r="R149" i="9"/>
  <c r="Q149" i="9"/>
  <c r="P149" i="9"/>
  <c r="O149" i="9"/>
  <c r="N149" i="9"/>
  <c r="M149" i="9"/>
  <c r="L149" i="9"/>
  <c r="K149" i="9"/>
  <c r="I149" i="9"/>
  <c r="J149" i="9" s="1"/>
  <c r="AY149" i="9" s="1"/>
  <c r="H149" i="9"/>
  <c r="G149" i="9"/>
  <c r="F149" i="9"/>
  <c r="E149" i="9"/>
  <c r="D149" i="9"/>
  <c r="B149" i="9"/>
  <c r="T148" i="9"/>
  <c r="S148" i="9"/>
  <c r="R148" i="9"/>
  <c r="Q148" i="9"/>
  <c r="P148" i="9"/>
  <c r="O148" i="9"/>
  <c r="N148" i="9"/>
  <c r="M148" i="9"/>
  <c r="L148" i="9"/>
  <c r="K148" i="9"/>
  <c r="I148" i="9"/>
  <c r="J148" i="9" s="1"/>
  <c r="AY148" i="9" s="1"/>
  <c r="H148" i="9"/>
  <c r="G148" i="9"/>
  <c r="F148" i="9"/>
  <c r="E148" i="9"/>
  <c r="D148" i="9"/>
  <c r="B148" i="9"/>
  <c r="T147" i="9"/>
  <c r="S147" i="9"/>
  <c r="R147" i="9"/>
  <c r="Q147" i="9"/>
  <c r="P147" i="9"/>
  <c r="O147" i="9"/>
  <c r="N147" i="9"/>
  <c r="M147" i="9"/>
  <c r="L147" i="9"/>
  <c r="K147" i="9"/>
  <c r="I147" i="9"/>
  <c r="J147" i="9" s="1"/>
  <c r="AY147" i="9" s="1"/>
  <c r="H147" i="9"/>
  <c r="G147" i="9"/>
  <c r="F147" i="9"/>
  <c r="E147" i="9"/>
  <c r="D147" i="9"/>
  <c r="B147" i="9"/>
  <c r="T146" i="9"/>
  <c r="S146" i="9"/>
  <c r="R146" i="9"/>
  <c r="Q146" i="9"/>
  <c r="P146" i="9"/>
  <c r="O146" i="9"/>
  <c r="N146" i="9"/>
  <c r="M146" i="9"/>
  <c r="L146" i="9"/>
  <c r="K146" i="9"/>
  <c r="I146" i="9"/>
  <c r="J146" i="9" s="1"/>
  <c r="AY146" i="9" s="1"/>
  <c r="H146" i="9"/>
  <c r="G146" i="9"/>
  <c r="F146" i="9"/>
  <c r="E146" i="9"/>
  <c r="D146" i="9"/>
  <c r="B146" i="9"/>
  <c r="T145" i="9"/>
  <c r="S145" i="9"/>
  <c r="R145" i="9"/>
  <c r="Q145" i="9"/>
  <c r="P145" i="9"/>
  <c r="O145" i="9"/>
  <c r="N145" i="9"/>
  <c r="M145" i="9"/>
  <c r="L145" i="9"/>
  <c r="K145" i="9"/>
  <c r="I145" i="9"/>
  <c r="J145" i="9" s="1"/>
  <c r="H145" i="9"/>
  <c r="G145" i="9"/>
  <c r="F145" i="9"/>
  <c r="E145" i="9"/>
  <c r="D145" i="9"/>
  <c r="B145" i="9"/>
  <c r="T144" i="9"/>
  <c r="S144" i="9"/>
  <c r="R144" i="9"/>
  <c r="Q144" i="9"/>
  <c r="P144" i="9"/>
  <c r="O144" i="9"/>
  <c r="N144" i="9"/>
  <c r="M144" i="9"/>
  <c r="L144" i="9"/>
  <c r="K144" i="9"/>
  <c r="I144" i="9"/>
  <c r="J144" i="9" s="1"/>
  <c r="H144" i="9"/>
  <c r="G144" i="9"/>
  <c r="F144" i="9"/>
  <c r="E144" i="9"/>
  <c r="D144" i="9"/>
  <c r="B144" i="9"/>
  <c r="T143" i="9"/>
  <c r="S143" i="9"/>
  <c r="R143" i="9"/>
  <c r="Q143" i="9"/>
  <c r="P143" i="9"/>
  <c r="O143" i="9"/>
  <c r="N143" i="9"/>
  <c r="M143" i="9"/>
  <c r="L143" i="9"/>
  <c r="K143" i="9"/>
  <c r="I143" i="9"/>
  <c r="J143" i="9" s="1"/>
  <c r="AY143" i="9" s="1"/>
  <c r="H143" i="9"/>
  <c r="G143" i="9"/>
  <c r="F143" i="9"/>
  <c r="E143" i="9"/>
  <c r="D143" i="9"/>
  <c r="B143" i="9"/>
  <c r="T142" i="9"/>
  <c r="S142" i="9"/>
  <c r="R142" i="9"/>
  <c r="Q142" i="9"/>
  <c r="P142" i="9"/>
  <c r="O142" i="9"/>
  <c r="N142" i="9"/>
  <c r="M142" i="9"/>
  <c r="L142" i="9"/>
  <c r="K142" i="9"/>
  <c r="I142" i="9"/>
  <c r="J142" i="9" s="1"/>
  <c r="AY142" i="9" s="1"/>
  <c r="H142" i="9"/>
  <c r="G142" i="9"/>
  <c r="F142" i="9"/>
  <c r="E142" i="9"/>
  <c r="D142" i="9"/>
  <c r="B142" i="9"/>
  <c r="T141" i="9"/>
  <c r="S141" i="9"/>
  <c r="R141" i="9"/>
  <c r="Q141" i="9"/>
  <c r="P141" i="9"/>
  <c r="O141" i="9"/>
  <c r="N141" i="9"/>
  <c r="M141" i="9"/>
  <c r="L141" i="9"/>
  <c r="K141" i="9"/>
  <c r="I141" i="9"/>
  <c r="J141" i="9" s="1"/>
  <c r="H141" i="9"/>
  <c r="G141" i="9"/>
  <c r="F141" i="9"/>
  <c r="E141" i="9"/>
  <c r="D141" i="9"/>
  <c r="B141" i="9"/>
  <c r="T140" i="9"/>
  <c r="S140" i="9"/>
  <c r="R140" i="9"/>
  <c r="Q140" i="9"/>
  <c r="P140" i="9"/>
  <c r="O140" i="9"/>
  <c r="N140" i="9"/>
  <c r="M140" i="9"/>
  <c r="L140" i="9"/>
  <c r="K140" i="9"/>
  <c r="I140" i="9"/>
  <c r="J140" i="9" s="1"/>
  <c r="H140" i="9"/>
  <c r="G140" i="9"/>
  <c r="F140" i="9"/>
  <c r="E140" i="9"/>
  <c r="D140" i="9"/>
  <c r="B140" i="9"/>
  <c r="T139" i="9"/>
  <c r="S139" i="9"/>
  <c r="R139" i="9"/>
  <c r="Q139" i="9"/>
  <c r="P139" i="9"/>
  <c r="O139" i="9"/>
  <c r="N139" i="9"/>
  <c r="M139" i="9"/>
  <c r="L139" i="9"/>
  <c r="K139" i="9"/>
  <c r="I139" i="9"/>
  <c r="J139" i="9" s="1"/>
  <c r="H139" i="9"/>
  <c r="G139" i="9"/>
  <c r="F139" i="9"/>
  <c r="E139" i="9"/>
  <c r="D139" i="9"/>
  <c r="B139" i="9"/>
  <c r="T138" i="9"/>
  <c r="S138" i="9"/>
  <c r="R138" i="9"/>
  <c r="Q138" i="9"/>
  <c r="P138" i="9"/>
  <c r="O138" i="9"/>
  <c r="N138" i="9"/>
  <c r="M138" i="9"/>
  <c r="L138" i="9"/>
  <c r="K138" i="9"/>
  <c r="I138" i="9"/>
  <c r="J138" i="9" s="1"/>
  <c r="H138" i="9"/>
  <c r="G138" i="9"/>
  <c r="F138" i="9"/>
  <c r="E138" i="9"/>
  <c r="D138" i="9"/>
  <c r="B138" i="9"/>
  <c r="T137" i="9"/>
  <c r="S137" i="9"/>
  <c r="R137" i="9"/>
  <c r="Q137" i="9"/>
  <c r="P137" i="9"/>
  <c r="O137" i="9"/>
  <c r="N137" i="9"/>
  <c r="M137" i="9"/>
  <c r="L137" i="9"/>
  <c r="K137" i="9"/>
  <c r="I137" i="9"/>
  <c r="J137" i="9" s="1"/>
  <c r="H137" i="9"/>
  <c r="G137" i="9"/>
  <c r="F137" i="9"/>
  <c r="E137" i="9"/>
  <c r="D137" i="9"/>
  <c r="B137" i="9"/>
  <c r="T136" i="9"/>
  <c r="S136" i="9"/>
  <c r="R136" i="9"/>
  <c r="Q136" i="9"/>
  <c r="P136" i="9"/>
  <c r="O136" i="9"/>
  <c r="N136" i="9"/>
  <c r="M136" i="9"/>
  <c r="L136" i="9"/>
  <c r="K136" i="9"/>
  <c r="I136" i="9"/>
  <c r="J136" i="9" s="1"/>
  <c r="H136" i="9"/>
  <c r="G136" i="9"/>
  <c r="F136" i="9"/>
  <c r="E136" i="9"/>
  <c r="D136" i="9"/>
  <c r="B136" i="9"/>
  <c r="T135" i="9"/>
  <c r="S135" i="9"/>
  <c r="R135" i="9"/>
  <c r="Q135" i="9"/>
  <c r="P135" i="9"/>
  <c r="O135" i="9"/>
  <c r="N135" i="9"/>
  <c r="M135" i="9"/>
  <c r="L135" i="9"/>
  <c r="K135" i="9"/>
  <c r="I135" i="9"/>
  <c r="J135" i="9" s="1"/>
  <c r="H135" i="9"/>
  <c r="G135" i="9"/>
  <c r="F135" i="9"/>
  <c r="E135" i="9"/>
  <c r="D135" i="9"/>
  <c r="B135" i="9"/>
  <c r="T134" i="9"/>
  <c r="S134" i="9"/>
  <c r="R134" i="9"/>
  <c r="Q134" i="9"/>
  <c r="P134" i="9"/>
  <c r="O134" i="9"/>
  <c r="N134" i="9"/>
  <c r="M134" i="9"/>
  <c r="L134" i="9"/>
  <c r="K134" i="9"/>
  <c r="I134" i="9"/>
  <c r="J134" i="9" s="1"/>
  <c r="AY134" i="9" s="1"/>
  <c r="H134" i="9"/>
  <c r="G134" i="9"/>
  <c r="F134" i="9"/>
  <c r="E134" i="9"/>
  <c r="D134" i="9"/>
  <c r="B134" i="9"/>
  <c r="T133" i="9"/>
  <c r="S133" i="9"/>
  <c r="R133" i="9"/>
  <c r="Q133" i="9"/>
  <c r="P133" i="9"/>
  <c r="O133" i="9"/>
  <c r="N133" i="9"/>
  <c r="M133" i="9"/>
  <c r="L133" i="9"/>
  <c r="K133" i="9"/>
  <c r="I133" i="9"/>
  <c r="J133" i="9" s="1"/>
  <c r="AY133" i="9" s="1"/>
  <c r="H133" i="9"/>
  <c r="G133" i="9"/>
  <c r="F133" i="9"/>
  <c r="E133" i="9"/>
  <c r="D133" i="9"/>
  <c r="B133" i="9"/>
  <c r="T132" i="9"/>
  <c r="S132" i="9"/>
  <c r="R132" i="9"/>
  <c r="Q132" i="9"/>
  <c r="P132" i="9"/>
  <c r="O132" i="9"/>
  <c r="N132" i="9"/>
  <c r="M132" i="9"/>
  <c r="L132" i="9"/>
  <c r="K132" i="9"/>
  <c r="I132" i="9"/>
  <c r="J132" i="9" s="1"/>
  <c r="AY132" i="9" s="1"/>
  <c r="H132" i="9"/>
  <c r="G132" i="9"/>
  <c r="F132" i="9"/>
  <c r="E132" i="9"/>
  <c r="D132" i="9"/>
  <c r="B132" i="9"/>
  <c r="T131" i="9"/>
  <c r="S131" i="9"/>
  <c r="R131" i="9"/>
  <c r="Q131" i="9"/>
  <c r="P131" i="9"/>
  <c r="O131" i="9"/>
  <c r="N131" i="9"/>
  <c r="M131" i="9"/>
  <c r="L131" i="9"/>
  <c r="K131" i="9"/>
  <c r="I131" i="9"/>
  <c r="J131" i="9" s="1"/>
  <c r="H131" i="9"/>
  <c r="G131" i="9"/>
  <c r="F131" i="9"/>
  <c r="E131" i="9"/>
  <c r="D131" i="9"/>
  <c r="B131" i="9"/>
  <c r="T130" i="9"/>
  <c r="S130" i="9"/>
  <c r="R130" i="9"/>
  <c r="Q130" i="9"/>
  <c r="P130" i="9"/>
  <c r="O130" i="9"/>
  <c r="N130" i="9"/>
  <c r="M130" i="9"/>
  <c r="L130" i="9"/>
  <c r="K130" i="9"/>
  <c r="I130" i="9"/>
  <c r="J130" i="9" s="1"/>
  <c r="AY130" i="9" s="1"/>
  <c r="H130" i="9"/>
  <c r="G130" i="9"/>
  <c r="F130" i="9"/>
  <c r="E130" i="9"/>
  <c r="D130" i="9"/>
  <c r="B130" i="9"/>
  <c r="T129" i="9"/>
  <c r="S129" i="9"/>
  <c r="R129" i="9"/>
  <c r="Q129" i="9"/>
  <c r="P129" i="9"/>
  <c r="O129" i="9"/>
  <c r="N129" i="9"/>
  <c r="M129" i="9"/>
  <c r="L129" i="9"/>
  <c r="K129" i="9"/>
  <c r="I129" i="9"/>
  <c r="J129" i="9" s="1"/>
  <c r="AY129" i="9" s="1"/>
  <c r="H129" i="9"/>
  <c r="G129" i="9"/>
  <c r="F129" i="9"/>
  <c r="E129" i="9"/>
  <c r="D129" i="9"/>
  <c r="B129" i="9"/>
  <c r="T128" i="9"/>
  <c r="S128" i="9"/>
  <c r="R128" i="9"/>
  <c r="Q128" i="9"/>
  <c r="P128" i="9"/>
  <c r="O128" i="9"/>
  <c r="N128" i="9"/>
  <c r="M128" i="9"/>
  <c r="L128" i="9"/>
  <c r="K128" i="9"/>
  <c r="I128" i="9"/>
  <c r="J128" i="9" s="1"/>
  <c r="AY128" i="9" s="1"/>
  <c r="H128" i="9"/>
  <c r="G128" i="9"/>
  <c r="F128" i="9"/>
  <c r="E128" i="9"/>
  <c r="D128" i="9"/>
  <c r="B128" i="9"/>
  <c r="T127" i="9"/>
  <c r="S127" i="9"/>
  <c r="R127" i="9"/>
  <c r="Q127" i="9"/>
  <c r="P127" i="9"/>
  <c r="O127" i="9"/>
  <c r="N127" i="9"/>
  <c r="M127" i="9"/>
  <c r="L127" i="9"/>
  <c r="K127" i="9"/>
  <c r="I127" i="9"/>
  <c r="J127" i="9" s="1"/>
  <c r="H127" i="9"/>
  <c r="G127" i="9"/>
  <c r="F127" i="9"/>
  <c r="E127" i="9"/>
  <c r="D127" i="9"/>
  <c r="B127" i="9"/>
  <c r="T126" i="9"/>
  <c r="S126" i="9"/>
  <c r="R126" i="9"/>
  <c r="Q126" i="9"/>
  <c r="P126" i="9"/>
  <c r="O126" i="9"/>
  <c r="N126" i="9"/>
  <c r="M126" i="9"/>
  <c r="L126" i="9"/>
  <c r="K126" i="9"/>
  <c r="I126" i="9"/>
  <c r="J126" i="9" s="1"/>
  <c r="AY126" i="9" s="1"/>
  <c r="H126" i="9"/>
  <c r="G126" i="9"/>
  <c r="F126" i="9"/>
  <c r="E126" i="9"/>
  <c r="D126" i="9"/>
  <c r="B126" i="9"/>
  <c r="T125" i="9"/>
  <c r="S125" i="9"/>
  <c r="R125" i="9"/>
  <c r="Q125" i="9"/>
  <c r="P125" i="9"/>
  <c r="O125" i="9"/>
  <c r="N125" i="9"/>
  <c r="M125" i="9"/>
  <c r="L125" i="9"/>
  <c r="K125" i="9"/>
  <c r="I125" i="9"/>
  <c r="J125" i="9" s="1"/>
  <c r="AY125" i="9" s="1"/>
  <c r="H125" i="9"/>
  <c r="G125" i="9"/>
  <c r="F125" i="9"/>
  <c r="E125" i="9"/>
  <c r="D125" i="9"/>
  <c r="B125" i="9"/>
  <c r="T124" i="9"/>
  <c r="S124" i="9"/>
  <c r="R124" i="9"/>
  <c r="Q124" i="9"/>
  <c r="P124" i="9"/>
  <c r="O124" i="9"/>
  <c r="N124" i="9"/>
  <c r="M124" i="9"/>
  <c r="L124" i="9"/>
  <c r="K124" i="9"/>
  <c r="I124" i="9"/>
  <c r="J124" i="9" s="1"/>
  <c r="AY124" i="9" s="1"/>
  <c r="H124" i="9"/>
  <c r="G124" i="9"/>
  <c r="F124" i="9"/>
  <c r="E124" i="9"/>
  <c r="D124" i="9"/>
  <c r="B124" i="9"/>
  <c r="T123" i="9"/>
  <c r="S123" i="9"/>
  <c r="R123" i="9"/>
  <c r="Q123" i="9"/>
  <c r="P123" i="9"/>
  <c r="O123" i="9"/>
  <c r="N123" i="9"/>
  <c r="M123" i="9"/>
  <c r="L123" i="9"/>
  <c r="K123" i="9"/>
  <c r="I123" i="9"/>
  <c r="J123" i="9" s="1"/>
  <c r="AY123" i="9" s="1"/>
  <c r="H123" i="9"/>
  <c r="G123" i="9"/>
  <c r="F123" i="9"/>
  <c r="E123" i="9"/>
  <c r="D123" i="9"/>
  <c r="B123" i="9"/>
  <c r="T122" i="9"/>
  <c r="S122" i="9"/>
  <c r="R122" i="9"/>
  <c r="Q122" i="9"/>
  <c r="P122" i="9"/>
  <c r="O122" i="9"/>
  <c r="N122" i="9"/>
  <c r="M122" i="9"/>
  <c r="L122" i="9"/>
  <c r="K122" i="9"/>
  <c r="I122" i="9"/>
  <c r="J122" i="9" s="1"/>
  <c r="H122" i="9"/>
  <c r="G122" i="9"/>
  <c r="F122" i="9"/>
  <c r="E122" i="9"/>
  <c r="D122" i="9"/>
  <c r="B122" i="9"/>
  <c r="T121" i="9"/>
  <c r="S121" i="9"/>
  <c r="R121" i="9"/>
  <c r="Q121" i="9"/>
  <c r="P121" i="9"/>
  <c r="O121" i="9"/>
  <c r="N121" i="9"/>
  <c r="M121" i="9"/>
  <c r="L121" i="9"/>
  <c r="K121" i="9"/>
  <c r="I121" i="9"/>
  <c r="J121" i="9" s="1"/>
  <c r="H121" i="9"/>
  <c r="G121" i="9"/>
  <c r="F121" i="9"/>
  <c r="E121" i="9"/>
  <c r="D121" i="9"/>
  <c r="B121" i="9"/>
  <c r="T120" i="9"/>
  <c r="S120" i="9"/>
  <c r="R120" i="9"/>
  <c r="Q120" i="9"/>
  <c r="P120" i="9"/>
  <c r="O120" i="9"/>
  <c r="N120" i="9"/>
  <c r="M120" i="9"/>
  <c r="L120" i="9"/>
  <c r="K120" i="9"/>
  <c r="I120" i="9"/>
  <c r="J120" i="9" s="1"/>
  <c r="AY120" i="9" s="1"/>
  <c r="H120" i="9"/>
  <c r="G120" i="9"/>
  <c r="F120" i="9"/>
  <c r="E120" i="9"/>
  <c r="D120" i="9"/>
  <c r="B120" i="9"/>
  <c r="T119" i="9"/>
  <c r="S119" i="9"/>
  <c r="R119" i="9"/>
  <c r="Q119" i="9"/>
  <c r="P119" i="9"/>
  <c r="O119" i="9"/>
  <c r="N119" i="9"/>
  <c r="M119" i="9"/>
  <c r="L119" i="9"/>
  <c r="K119" i="9"/>
  <c r="I119" i="9"/>
  <c r="J119" i="9" s="1"/>
  <c r="H119" i="9"/>
  <c r="G119" i="9"/>
  <c r="F119" i="9"/>
  <c r="E119" i="9"/>
  <c r="D119" i="9"/>
  <c r="B119" i="9"/>
  <c r="T118" i="9"/>
  <c r="S118" i="9"/>
  <c r="R118" i="9"/>
  <c r="Q118" i="9"/>
  <c r="P118" i="9"/>
  <c r="O118" i="9"/>
  <c r="N118" i="9"/>
  <c r="M118" i="9"/>
  <c r="L118" i="9"/>
  <c r="K118" i="9"/>
  <c r="I118" i="9"/>
  <c r="J118" i="9" s="1"/>
  <c r="AY118" i="9" s="1"/>
  <c r="H118" i="9"/>
  <c r="G118" i="9"/>
  <c r="F118" i="9"/>
  <c r="E118" i="9"/>
  <c r="D118" i="9"/>
  <c r="B118" i="9"/>
  <c r="T117" i="9"/>
  <c r="S117" i="9"/>
  <c r="R117" i="9"/>
  <c r="Q117" i="9"/>
  <c r="P117" i="9"/>
  <c r="O117" i="9"/>
  <c r="N117" i="9"/>
  <c r="M117" i="9"/>
  <c r="L117" i="9"/>
  <c r="K117" i="9"/>
  <c r="I117" i="9"/>
  <c r="J117" i="9" s="1"/>
  <c r="AY117" i="9" s="1"/>
  <c r="H117" i="9"/>
  <c r="G117" i="9"/>
  <c r="F117" i="9"/>
  <c r="E117" i="9"/>
  <c r="D117" i="9"/>
  <c r="B117" i="9"/>
  <c r="T116" i="9"/>
  <c r="S116" i="9"/>
  <c r="R116" i="9"/>
  <c r="Q116" i="9"/>
  <c r="P116" i="9"/>
  <c r="O116" i="9"/>
  <c r="N116" i="9"/>
  <c r="M116" i="9"/>
  <c r="L116" i="9"/>
  <c r="K116" i="9"/>
  <c r="I116" i="9"/>
  <c r="J116" i="9" s="1"/>
  <c r="AY116" i="9" s="1"/>
  <c r="H116" i="9"/>
  <c r="G116" i="9"/>
  <c r="F116" i="9"/>
  <c r="E116" i="9"/>
  <c r="D116" i="9"/>
  <c r="B116" i="9"/>
  <c r="T115" i="9"/>
  <c r="S115" i="9"/>
  <c r="R115" i="9"/>
  <c r="Q115" i="9"/>
  <c r="P115" i="9"/>
  <c r="O115" i="9"/>
  <c r="N115" i="9"/>
  <c r="M115" i="9"/>
  <c r="L115" i="9"/>
  <c r="K115" i="9"/>
  <c r="I115" i="9"/>
  <c r="J115" i="9" s="1"/>
  <c r="AY115" i="9" s="1"/>
  <c r="H115" i="9"/>
  <c r="G115" i="9"/>
  <c r="F115" i="9"/>
  <c r="E115" i="9"/>
  <c r="D115" i="9"/>
  <c r="B115" i="9"/>
  <c r="T114" i="9"/>
  <c r="S114" i="9"/>
  <c r="R114" i="9"/>
  <c r="Q114" i="9"/>
  <c r="P114" i="9"/>
  <c r="O114" i="9"/>
  <c r="N114" i="9"/>
  <c r="M114" i="9"/>
  <c r="L114" i="9"/>
  <c r="K114" i="9"/>
  <c r="I114" i="9"/>
  <c r="J114" i="9" s="1"/>
  <c r="H114" i="9"/>
  <c r="G114" i="9"/>
  <c r="F114" i="9"/>
  <c r="E114" i="9"/>
  <c r="D114" i="9"/>
  <c r="B114" i="9"/>
  <c r="T113" i="9"/>
  <c r="S113" i="9"/>
  <c r="R113" i="9"/>
  <c r="Q113" i="9"/>
  <c r="P113" i="9"/>
  <c r="O113" i="9"/>
  <c r="N113" i="9"/>
  <c r="M113" i="9"/>
  <c r="L113" i="9"/>
  <c r="K113" i="9"/>
  <c r="I113" i="9"/>
  <c r="J113" i="9" s="1"/>
  <c r="H113" i="9"/>
  <c r="G113" i="9"/>
  <c r="F113" i="9"/>
  <c r="E113" i="9"/>
  <c r="D113" i="9"/>
  <c r="B113" i="9"/>
  <c r="T112" i="9"/>
  <c r="S112" i="9"/>
  <c r="R112" i="9"/>
  <c r="Q112" i="9"/>
  <c r="P112" i="9"/>
  <c r="O112" i="9"/>
  <c r="N112" i="9"/>
  <c r="M112" i="9"/>
  <c r="L112" i="9"/>
  <c r="K112" i="9"/>
  <c r="I112" i="9"/>
  <c r="J112" i="9" s="1"/>
  <c r="H112" i="9"/>
  <c r="G112" i="9"/>
  <c r="F112" i="9"/>
  <c r="E112" i="9"/>
  <c r="D112" i="9"/>
  <c r="B112" i="9"/>
  <c r="T111" i="9"/>
  <c r="S111" i="9"/>
  <c r="R111" i="9"/>
  <c r="Q111" i="9"/>
  <c r="P111" i="9"/>
  <c r="O111" i="9"/>
  <c r="N111" i="9"/>
  <c r="M111" i="9"/>
  <c r="L111" i="9"/>
  <c r="K111" i="9"/>
  <c r="I111" i="9"/>
  <c r="J111" i="9" s="1"/>
  <c r="AY111" i="9" s="1"/>
  <c r="H111" i="9"/>
  <c r="G111" i="9"/>
  <c r="F111" i="9"/>
  <c r="E111" i="9"/>
  <c r="D111" i="9"/>
  <c r="B111" i="9"/>
  <c r="T110" i="9"/>
  <c r="S110" i="9"/>
  <c r="R110" i="9"/>
  <c r="Q110" i="9"/>
  <c r="P110" i="9"/>
  <c r="O110" i="9"/>
  <c r="N110" i="9"/>
  <c r="M110" i="9"/>
  <c r="L110" i="9"/>
  <c r="K110" i="9"/>
  <c r="I110" i="9"/>
  <c r="J110" i="9" s="1"/>
  <c r="H110" i="9"/>
  <c r="G110" i="9"/>
  <c r="F110" i="9"/>
  <c r="E110" i="9"/>
  <c r="D110" i="9"/>
  <c r="B110" i="9"/>
  <c r="T109" i="9"/>
  <c r="S109" i="9"/>
  <c r="R109" i="9"/>
  <c r="Q109" i="9"/>
  <c r="P109" i="9"/>
  <c r="O109" i="9"/>
  <c r="N109" i="9"/>
  <c r="M109" i="9"/>
  <c r="L109" i="9"/>
  <c r="K109" i="9"/>
  <c r="I109" i="9"/>
  <c r="J109" i="9" s="1"/>
  <c r="H109" i="9"/>
  <c r="G109" i="9"/>
  <c r="F109" i="9"/>
  <c r="E109" i="9"/>
  <c r="D109" i="9"/>
  <c r="B109" i="9"/>
  <c r="T108" i="9"/>
  <c r="S108" i="9"/>
  <c r="R108" i="9"/>
  <c r="Q108" i="9"/>
  <c r="P108" i="9"/>
  <c r="O108" i="9"/>
  <c r="N108" i="9"/>
  <c r="M108" i="9"/>
  <c r="L108" i="9"/>
  <c r="K108" i="9"/>
  <c r="I108" i="9"/>
  <c r="J108" i="9" s="1"/>
  <c r="H108" i="9"/>
  <c r="G108" i="9"/>
  <c r="F108" i="9"/>
  <c r="E108" i="9"/>
  <c r="D108" i="9"/>
  <c r="B108" i="9"/>
  <c r="T107" i="9"/>
  <c r="S107" i="9"/>
  <c r="R107" i="9"/>
  <c r="Q107" i="9"/>
  <c r="P107" i="9"/>
  <c r="O107" i="9"/>
  <c r="N107" i="9"/>
  <c r="M107" i="9"/>
  <c r="L107" i="9"/>
  <c r="K107" i="9"/>
  <c r="I107" i="9"/>
  <c r="J107" i="9" s="1"/>
  <c r="AY107" i="9" s="1"/>
  <c r="H107" i="9"/>
  <c r="G107" i="9"/>
  <c r="F107" i="9"/>
  <c r="E107" i="9"/>
  <c r="D107" i="9"/>
  <c r="B107" i="9"/>
  <c r="T106" i="9"/>
  <c r="S106" i="9"/>
  <c r="R106" i="9"/>
  <c r="Q106" i="9"/>
  <c r="P106" i="9"/>
  <c r="O106" i="9"/>
  <c r="N106" i="9"/>
  <c r="M106" i="9"/>
  <c r="L106" i="9"/>
  <c r="K106" i="9"/>
  <c r="I106" i="9"/>
  <c r="J106" i="9" s="1"/>
  <c r="AY106" i="9" s="1"/>
  <c r="H106" i="9"/>
  <c r="G106" i="9"/>
  <c r="F106" i="9"/>
  <c r="E106" i="9"/>
  <c r="D106" i="9"/>
  <c r="B106" i="9"/>
  <c r="T105" i="9"/>
  <c r="S105" i="9"/>
  <c r="R105" i="9"/>
  <c r="Q105" i="9"/>
  <c r="P105" i="9"/>
  <c r="O105" i="9"/>
  <c r="N105" i="9"/>
  <c r="M105" i="9"/>
  <c r="L105" i="9"/>
  <c r="K105" i="9"/>
  <c r="I105" i="9"/>
  <c r="J105" i="9" s="1"/>
  <c r="AY105" i="9" s="1"/>
  <c r="H105" i="9"/>
  <c r="G105" i="9"/>
  <c r="F105" i="9"/>
  <c r="E105" i="9"/>
  <c r="D105" i="9"/>
  <c r="B105" i="9"/>
  <c r="T104" i="9"/>
  <c r="S104" i="9"/>
  <c r="R104" i="9"/>
  <c r="Q104" i="9"/>
  <c r="P104" i="9"/>
  <c r="O104" i="9"/>
  <c r="N104" i="9"/>
  <c r="M104" i="9"/>
  <c r="L104" i="9"/>
  <c r="K104" i="9"/>
  <c r="I104" i="9"/>
  <c r="J104" i="9" s="1"/>
  <c r="H104" i="9"/>
  <c r="G104" i="9"/>
  <c r="F104" i="9"/>
  <c r="E104" i="9"/>
  <c r="D104" i="9"/>
  <c r="B104" i="9"/>
  <c r="T103" i="9"/>
  <c r="S103" i="9"/>
  <c r="R103" i="9"/>
  <c r="Q103" i="9"/>
  <c r="P103" i="9"/>
  <c r="O103" i="9"/>
  <c r="N103" i="9"/>
  <c r="M103" i="9"/>
  <c r="L103" i="9"/>
  <c r="K103" i="9"/>
  <c r="I103" i="9"/>
  <c r="J103" i="9" s="1"/>
  <c r="AY103" i="9" s="1"/>
  <c r="H103" i="9"/>
  <c r="G103" i="9"/>
  <c r="F103" i="9"/>
  <c r="E103" i="9"/>
  <c r="D103" i="9"/>
  <c r="B103" i="9"/>
  <c r="T102" i="9"/>
  <c r="S102" i="9"/>
  <c r="R102" i="9"/>
  <c r="Q102" i="9"/>
  <c r="P102" i="9"/>
  <c r="O102" i="9"/>
  <c r="N102" i="9"/>
  <c r="M102" i="9"/>
  <c r="L102" i="9"/>
  <c r="K102" i="9"/>
  <c r="I102" i="9"/>
  <c r="J102" i="9" s="1"/>
  <c r="AY102" i="9" s="1"/>
  <c r="H102" i="9"/>
  <c r="G102" i="9"/>
  <c r="F102" i="9"/>
  <c r="E102" i="9"/>
  <c r="D102" i="9"/>
  <c r="B102" i="9"/>
  <c r="T101" i="9"/>
  <c r="S101" i="9"/>
  <c r="R101" i="9"/>
  <c r="Q101" i="9"/>
  <c r="P101" i="9"/>
  <c r="O101" i="9"/>
  <c r="N101" i="9"/>
  <c r="M101" i="9"/>
  <c r="L101" i="9"/>
  <c r="K101" i="9"/>
  <c r="I101" i="9"/>
  <c r="J101" i="9" s="1"/>
  <c r="H101" i="9"/>
  <c r="G101" i="9"/>
  <c r="F101" i="9"/>
  <c r="E101" i="9"/>
  <c r="D101" i="9"/>
  <c r="B101" i="9"/>
  <c r="T100" i="9"/>
  <c r="S100" i="9"/>
  <c r="R100" i="9"/>
  <c r="Q100" i="9"/>
  <c r="P100" i="9"/>
  <c r="U100" i="9" s="1"/>
  <c r="O100" i="9"/>
  <c r="N100" i="9"/>
  <c r="M100" i="9"/>
  <c r="L100" i="9"/>
  <c r="K100" i="9"/>
  <c r="I100" i="9"/>
  <c r="J100" i="9" s="1"/>
  <c r="AY100" i="9" s="1"/>
  <c r="H100" i="9"/>
  <c r="G100" i="9"/>
  <c r="F100" i="9"/>
  <c r="E100" i="9"/>
  <c r="D100" i="9"/>
  <c r="B100" i="9"/>
  <c r="T99" i="9"/>
  <c r="S99" i="9"/>
  <c r="R99" i="9"/>
  <c r="Q99" i="9"/>
  <c r="P99" i="9"/>
  <c r="O99" i="9"/>
  <c r="N99" i="9"/>
  <c r="M99" i="9"/>
  <c r="L99" i="9"/>
  <c r="K99" i="9"/>
  <c r="I99" i="9"/>
  <c r="J99" i="9" s="1"/>
  <c r="H99" i="9"/>
  <c r="G99" i="9"/>
  <c r="F99" i="9"/>
  <c r="E99" i="9"/>
  <c r="D99" i="9"/>
  <c r="B99" i="9"/>
  <c r="T98" i="9"/>
  <c r="S98" i="9"/>
  <c r="R98" i="9"/>
  <c r="Q98" i="9"/>
  <c r="P98" i="9"/>
  <c r="O98" i="9"/>
  <c r="N98" i="9"/>
  <c r="M98" i="9"/>
  <c r="L98" i="9"/>
  <c r="K98" i="9"/>
  <c r="I98" i="9"/>
  <c r="J98" i="9" s="1"/>
  <c r="AY98" i="9" s="1"/>
  <c r="H98" i="9"/>
  <c r="G98" i="9"/>
  <c r="F98" i="9"/>
  <c r="E98" i="9"/>
  <c r="D98" i="9"/>
  <c r="B98" i="9"/>
  <c r="T97" i="9"/>
  <c r="S97" i="9"/>
  <c r="R97" i="9"/>
  <c r="Q97" i="9"/>
  <c r="P97" i="9"/>
  <c r="O97" i="9"/>
  <c r="N97" i="9"/>
  <c r="M97" i="9"/>
  <c r="L97" i="9"/>
  <c r="K97" i="9"/>
  <c r="I97" i="9"/>
  <c r="J97" i="9" s="1"/>
  <c r="AY97" i="9" s="1"/>
  <c r="H97" i="9"/>
  <c r="G97" i="9"/>
  <c r="F97" i="9"/>
  <c r="E97" i="9"/>
  <c r="D97" i="9"/>
  <c r="B97" i="9"/>
  <c r="T96" i="9"/>
  <c r="S96" i="9"/>
  <c r="R96" i="9"/>
  <c r="Q96" i="9"/>
  <c r="P96" i="9"/>
  <c r="O96" i="9"/>
  <c r="N96" i="9"/>
  <c r="M96" i="9"/>
  <c r="L96" i="9"/>
  <c r="K96" i="9"/>
  <c r="I96" i="9"/>
  <c r="J96" i="9" s="1"/>
  <c r="H96" i="9"/>
  <c r="G96" i="9"/>
  <c r="F96" i="9"/>
  <c r="E96" i="9"/>
  <c r="D96" i="9"/>
  <c r="B96" i="9"/>
  <c r="T95" i="9"/>
  <c r="S95" i="9"/>
  <c r="R95" i="9"/>
  <c r="Q95" i="9"/>
  <c r="P95" i="9"/>
  <c r="O95" i="9"/>
  <c r="N95" i="9"/>
  <c r="M95" i="9"/>
  <c r="L95" i="9"/>
  <c r="K95" i="9"/>
  <c r="I95" i="9"/>
  <c r="J95" i="9" s="1"/>
  <c r="AY95" i="9" s="1"/>
  <c r="H95" i="9"/>
  <c r="G95" i="9"/>
  <c r="F95" i="9"/>
  <c r="E95" i="9"/>
  <c r="D95" i="9"/>
  <c r="B95" i="9"/>
  <c r="T94" i="9"/>
  <c r="S94" i="9"/>
  <c r="X94" i="9" s="1"/>
  <c r="R94" i="9"/>
  <c r="Q94" i="9"/>
  <c r="P94" i="9"/>
  <c r="O94" i="9"/>
  <c r="N94" i="9"/>
  <c r="M94" i="9"/>
  <c r="L94" i="9"/>
  <c r="K94" i="9"/>
  <c r="I94" i="9"/>
  <c r="J94" i="9" s="1"/>
  <c r="H94" i="9"/>
  <c r="G94" i="9"/>
  <c r="F94" i="9"/>
  <c r="E94" i="9"/>
  <c r="D94" i="9"/>
  <c r="B94" i="9"/>
  <c r="T93" i="9"/>
  <c r="S93" i="9"/>
  <c r="R93" i="9"/>
  <c r="Q93" i="9"/>
  <c r="P93" i="9"/>
  <c r="O93" i="9"/>
  <c r="N93" i="9"/>
  <c r="M93" i="9"/>
  <c r="L93" i="9"/>
  <c r="K93" i="9"/>
  <c r="I93" i="9"/>
  <c r="J93" i="9" s="1"/>
  <c r="AY93" i="9" s="1"/>
  <c r="H93" i="9"/>
  <c r="G93" i="9"/>
  <c r="F93" i="9"/>
  <c r="E93" i="9"/>
  <c r="D93" i="9"/>
  <c r="B93" i="9"/>
  <c r="T92" i="9"/>
  <c r="S92" i="9"/>
  <c r="R92" i="9"/>
  <c r="Q92" i="9"/>
  <c r="P92" i="9"/>
  <c r="O92" i="9"/>
  <c r="N92" i="9"/>
  <c r="M92" i="9"/>
  <c r="L92" i="9"/>
  <c r="K92" i="9"/>
  <c r="I92" i="9"/>
  <c r="J92" i="9" s="1"/>
  <c r="AY92" i="9" s="1"/>
  <c r="H92" i="9"/>
  <c r="G92" i="9"/>
  <c r="F92" i="9"/>
  <c r="E92" i="9"/>
  <c r="D92" i="9"/>
  <c r="B92" i="9"/>
  <c r="T91" i="9"/>
  <c r="S91" i="9"/>
  <c r="R91" i="9"/>
  <c r="Q91" i="9"/>
  <c r="P91" i="9"/>
  <c r="O91" i="9"/>
  <c r="N91" i="9"/>
  <c r="M91" i="9"/>
  <c r="L91" i="9"/>
  <c r="K91" i="9"/>
  <c r="I91" i="9"/>
  <c r="J91" i="9" s="1"/>
  <c r="H91" i="9"/>
  <c r="G91" i="9"/>
  <c r="F91" i="9"/>
  <c r="E91" i="9"/>
  <c r="D91" i="9"/>
  <c r="B91" i="9"/>
  <c r="T90" i="9"/>
  <c r="S90" i="9"/>
  <c r="R90" i="9"/>
  <c r="Q90" i="9"/>
  <c r="P90" i="9"/>
  <c r="O90" i="9"/>
  <c r="N90" i="9"/>
  <c r="M90" i="9"/>
  <c r="L90" i="9"/>
  <c r="K90" i="9"/>
  <c r="I90" i="9"/>
  <c r="J90" i="9" s="1"/>
  <c r="H90" i="9"/>
  <c r="G90" i="9"/>
  <c r="F90" i="9"/>
  <c r="E90" i="9"/>
  <c r="D90" i="9"/>
  <c r="B90" i="9"/>
  <c r="T89" i="9"/>
  <c r="S89" i="9"/>
  <c r="R89" i="9"/>
  <c r="Q89" i="9"/>
  <c r="P89" i="9"/>
  <c r="O89" i="9"/>
  <c r="N89" i="9"/>
  <c r="M89" i="9"/>
  <c r="L89" i="9"/>
  <c r="K89" i="9"/>
  <c r="I89" i="9"/>
  <c r="J89" i="9" s="1"/>
  <c r="AY89" i="9" s="1"/>
  <c r="H89" i="9"/>
  <c r="G89" i="9"/>
  <c r="F89" i="9"/>
  <c r="E89" i="9"/>
  <c r="D89" i="9"/>
  <c r="B89" i="9"/>
  <c r="T88" i="9"/>
  <c r="S88" i="9"/>
  <c r="R88" i="9"/>
  <c r="Q88" i="9"/>
  <c r="P88" i="9"/>
  <c r="O88" i="9"/>
  <c r="N88" i="9"/>
  <c r="M88" i="9"/>
  <c r="L88" i="9"/>
  <c r="K88" i="9"/>
  <c r="I88" i="9"/>
  <c r="J88" i="9" s="1"/>
  <c r="AY88" i="9" s="1"/>
  <c r="H88" i="9"/>
  <c r="G88" i="9"/>
  <c r="F88" i="9"/>
  <c r="E88" i="9"/>
  <c r="D88" i="9"/>
  <c r="B88" i="9"/>
  <c r="T87" i="9"/>
  <c r="S87" i="9"/>
  <c r="R87" i="9"/>
  <c r="Q87" i="9"/>
  <c r="P87" i="9"/>
  <c r="O87" i="9"/>
  <c r="N87" i="9"/>
  <c r="M87" i="9"/>
  <c r="L87" i="9"/>
  <c r="K87" i="9"/>
  <c r="I87" i="9"/>
  <c r="J87" i="9" s="1"/>
  <c r="H87" i="9"/>
  <c r="G87" i="9"/>
  <c r="F87" i="9"/>
  <c r="E87" i="9"/>
  <c r="D87" i="9"/>
  <c r="B87" i="9"/>
  <c r="T86" i="9"/>
  <c r="S86" i="9"/>
  <c r="R86" i="9"/>
  <c r="Q86" i="9"/>
  <c r="P86" i="9"/>
  <c r="O86" i="9"/>
  <c r="N86" i="9"/>
  <c r="M86" i="9"/>
  <c r="L86" i="9"/>
  <c r="K86" i="9"/>
  <c r="I86" i="9"/>
  <c r="J86" i="9" s="1"/>
  <c r="H86" i="9"/>
  <c r="G86" i="9"/>
  <c r="F86" i="9"/>
  <c r="E86" i="9"/>
  <c r="D86" i="9"/>
  <c r="B86" i="9"/>
  <c r="T85" i="9"/>
  <c r="S85" i="9"/>
  <c r="R85" i="9"/>
  <c r="Q85" i="9"/>
  <c r="P85" i="9"/>
  <c r="O85" i="9"/>
  <c r="N85" i="9"/>
  <c r="M85" i="9"/>
  <c r="L85" i="9"/>
  <c r="K85" i="9"/>
  <c r="I85" i="9"/>
  <c r="J85" i="9" s="1"/>
  <c r="AY85" i="9" s="1"/>
  <c r="H85" i="9"/>
  <c r="G85" i="9"/>
  <c r="F85" i="9"/>
  <c r="E85" i="9"/>
  <c r="D85" i="9"/>
  <c r="B85" i="9"/>
  <c r="T84" i="9"/>
  <c r="S84" i="9"/>
  <c r="R84" i="9"/>
  <c r="Q84" i="9"/>
  <c r="P84" i="9"/>
  <c r="O84" i="9"/>
  <c r="N84" i="9"/>
  <c r="M84" i="9"/>
  <c r="L84" i="9"/>
  <c r="K84" i="9"/>
  <c r="I84" i="9"/>
  <c r="J84" i="9" s="1"/>
  <c r="AY84" i="9" s="1"/>
  <c r="H84" i="9"/>
  <c r="G84" i="9"/>
  <c r="F84" i="9"/>
  <c r="E84" i="9"/>
  <c r="D84" i="9"/>
  <c r="B84" i="9"/>
  <c r="T83" i="9"/>
  <c r="S83" i="9"/>
  <c r="R83" i="9"/>
  <c r="Q83" i="9"/>
  <c r="P83" i="9"/>
  <c r="O83" i="9"/>
  <c r="N83" i="9"/>
  <c r="M83" i="9"/>
  <c r="L83" i="9"/>
  <c r="K83" i="9"/>
  <c r="I83" i="9"/>
  <c r="J83" i="9" s="1"/>
  <c r="AY83" i="9" s="1"/>
  <c r="H83" i="9"/>
  <c r="G83" i="9"/>
  <c r="F83" i="9"/>
  <c r="E83" i="9"/>
  <c r="D83" i="9"/>
  <c r="B83" i="9"/>
  <c r="T82" i="9"/>
  <c r="S82" i="9"/>
  <c r="R82" i="9"/>
  <c r="Q82" i="9"/>
  <c r="P82" i="9"/>
  <c r="O82" i="9"/>
  <c r="N82" i="9"/>
  <c r="M82" i="9"/>
  <c r="L82" i="9"/>
  <c r="K82" i="9"/>
  <c r="I82" i="9"/>
  <c r="J82" i="9" s="1"/>
  <c r="AY82" i="9" s="1"/>
  <c r="H82" i="9"/>
  <c r="G82" i="9"/>
  <c r="F82" i="9"/>
  <c r="E82" i="9"/>
  <c r="D82" i="9"/>
  <c r="B82" i="9"/>
  <c r="T81" i="9"/>
  <c r="S81" i="9"/>
  <c r="R81" i="9"/>
  <c r="Q81" i="9"/>
  <c r="P81" i="9"/>
  <c r="O81" i="9"/>
  <c r="N81" i="9"/>
  <c r="M81" i="9"/>
  <c r="L81" i="9"/>
  <c r="K81" i="9"/>
  <c r="I81" i="9"/>
  <c r="J81" i="9" s="1"/>
  <c r="H81" i="9"/>
  <c r="G81" i="9"/>
  <c r="F81" i="9"/>
  <c r="E81" i="9"/>
  <c r="D81" i="9"/>
  <c r="B81" i="9"/>
  <c r="T80" i="9"/>
  <c r="S80" i="9"/>
  <c r="R80" i="9"/>
  <c r="Q80" i="9"/>
  <c r="P80" i="9"/>
  <c r="O80" i="9"/>
  <c r="N80" i="9"/>
  <c r="M80" i="9"/>
  <c r="L80" i="9"/>
  <c r="K80" i="9"/>
  <c r="I80" i="9"/>
  <c r="J80" i="9" s="1"/>
  <c r="H80" i="9"/>
  <c r="G80" i="9"/>
  <c r="F80" i="9"/>
  <c r="E80" i="9"/>
  <c r="D80" i="9"/>
  <c r="B80" i="9"/>
  <c r="T79" i="9"/>
  <c r="S79" i="9"/>
  <c r="R79" i="9"/>
  <c r="Q79" i="9"/>
  <c r="P79" i="9"/>
  <c r="O79" i="9"/>
  <c r="N79" i="9"/>
  <c r="M79" i="9"/>
  <c r="L79" i="9"/>
  <c r="K79" i="9"/>
  <c r="I79" i="9"/>
  <c r="J79" i="9" s="1"/>
  <c r="AY79" i="9" s="1"/>
  <c r="H79" i="9"/>
  <c r="G79" i="9"/>
  <c r="F79" i="9"/>
  <c r="E79" i="9"/>
  <c r="D79" i="9"/>
  <c r="B79" i="9"/>
  <c r="T78" i="9"/>
  <c r="S78" i="9"/>
  <c r="R78" i="9"/>
  <c r="Q78" i="9"/>
  <c r="P78" i="9"/>
  <c r="O78" i="9"/>
  <c r="N78" i="9"/>
  <c r="M78" i="9"/>
  <c r="L78" i="9"/>
  <c r="K78" i="9"/>
  <c r="I78" i="9"/>
  <c r="J78" i="9" s="1"/>
  <c r="H78" i="9"/>
  <c r="G78" i="9"/>
  <c r="F78" i="9"/>
  <c r="E78" i="9"/>
  <c r="D78" i="9"/>
  <c r="B78" i="9"/>
  <c r="T77" i="9"/>
  <c r="S77" i="9"/>
  <c r="R77" i="9"/>
  <c r="Q77" i="9"/>
  <c r="P77" i="9"/>
  <c r="O77" i="9"/>
  <c r="N77" i="9"/>
  <c r="M77" i="9"/>
  <c r="L77" i="9"/>
  <c r="K77" i="9"/>
  <c r="I77" i="9"/>
  <c r="J77" i="9" s="1"/>
  <c r="H77" i="9"/>
  <c r="G77" i="9"/>
  <c r="F77" i="9"/>
  <c r="E77" i="9"/>
  <c r="D77" i="9"/>
  <c r="B77" i="9"/>
  <c r="T76" i="9"/>
  <c r="S76" i="9"/>
  <c r="R76" i="9"/>
  <c r="Q76" i="9"/>
  <c r="P76" i="9"/>
  <c r="O76" i="9"/>
  <c r="N76" i="9"/>
  <c r="M76" i="9"/>
  <c r="L76" i="9"/>
  <c r="K76" i="9"/>
  <c r="I76" i="9"/>
  <c r="J76" i="9" s="1"/>
  <c r="AY76" i="9" s="1"/>
  <c r="H76" i="9"/>
  <c r="G76" i="9"/>
  <c r="F76" i="9"/>
  <c r="E76" i="9"/>
  <c r="D76" i="9"/>
  <c r="B76" i="9"/>
  <c r="T75" i="9"/>
  <c r="S75" i="9"/>
  <c r="R75" i="9"/>
  <c r="Q75" i="9"/>
  <c r="P75" i="9"/>
  <c r="O75" i="9"/>
  <c r="N75" i="9"/>
  <c r="M75" i="9"/>
  <c r="L75" i="9"/>
  <c r="K75" i="9"/>
  <c r="I75" i="9"/>
  <c r="J75" i="9" s="1"/>
  <c r="H75" i="9"/>
  <c r="G75" i="9"/>
  <c r="F75" i="9"/>
  <c r="E75" i="9"/>
  <c r="D75" i="9"/>
  <c r="B75" i="9"/>
  <c r="T74" i="9"/>
  <c r="S74" i="9"/>
  <c r="R74" i="9"/>
  <c r="Q74" i="9"/>
  <c r="P74" i="9"/>
  <c r="O74" i="9"/>
  <c r="N74" i="9"/>
  <c r="M74" i="9"/>
  <c r="L74" i="9"/>
  <c r="K74" i="9"/>
  <c r="I74" i="9"/>
  <c r="J74" i="9" s="1"/>
  <c r="AY74" i="9" s="1"/>
  <c r="H74" i="9"/>
  <c r="G74" i="9"/>
  <c r="F74" i="9"/>
  <c r="E74" i="9"/>
  <c r="D74" i="9"/>
  <c r="B74" i="9"/>
  <c r="T73" i="9"/>
  <c r="S73" i="9"/>
  <c r="R73" i="9"/>
  <c r="Q73" i="9"/>
  <c r="P73" i="9"/>
  <c r="O73" i="9"/>
  <c r="N73" i="9"/>
  <c r="M73" i="9"/>
  <c r="L73" i="9"/>
  <c r="K73" i="9"/>
  <c r="I73" i="9"/>
  <c r="J73" i="9" s="1"/>
  <c r="H73" i="9"/>
  <c r="G73" i="9"/>
  <c r="F73" i="9"/>
  <c r="E73" i="9"/>
  <c r="D73" i="9"/>
  <c r="B73" i="9"/>
  <c r="T72" i="9"/>
  <c r="S72" i="9"/>
  <c r="R72" i="9"/>
  <c r="Q72" i="9"/>
  <c r="P72" i="9"/>
  <c r="O72" i="9"/>
  <c r="N72" i="9"/>
  <c r="M72" i="9"/>
  <c r="L72" i="9"/>
  <c r="K72" i="9"/>
  <c r="I72" i="9"/>
  <c r="J72" i="9" s="1"/>
  <c r="H72" i="9"/>
  <c r="G72" i="9"/>
  <c r="F72" i="9"/>
  <c r="E72" i="9"/>
  <c r="D72" i="9"/>
  <c r="B72" i="9"/>
  <c r="T71" i="9"/>
  <c r="S71" i="9"/>
  <c r="R71" i="9"/>
  <c r="Q71" i="9"/>
  <c r="P71" i="9"/>
  <c r="O71" i="9"/>
  <c r="N71" i="9"/>
  <c r="M71" i="9"/>
  <c r="L71" i="9"/>
  <c r="K71" i="9"/>
  <c r="I71" i="9"/>
  <c r="J71" i="9" s="1"/>
  <c r="H71" i="9"/>
  <c r="G71" i="9"/>
  <c r="F71" i="9"/>
  <c r="E71" i="9"/>
  <c r="D71" i="9"/>
  <c r="B71" i="9"/>
  <c r="T70" i="9"/>
  <c r="S70" i="9"/>
  <c r="R70" i="9"/>
  <c r="Q70" i="9"/>
  <c r="P70" i="9"/>
  <c r="O70" i="9"/>
  <c r="N70" i="9"/>
  <c r="M70" i="9"/>
  <c r="L70" i="9"/>
  <c r="K70" i="9"/>
  <c r="I70" i="9"/>
  <c r="J70" i="9" s="1"/>
  <c r="H70" i="9"/>
  <c r="G70" i="9"/>
  <c r="F70" i="9"/>
  <c r="E70" i="9"/>
  <c r="D70" i="9"/>
  <c r="B70" i="9"/>
  <c r="T69" i="9"/>
  <c r="S69" i="9"/>
  <c r="R69" i="9"/>
  <c r="Q69" i="9"/>
  <c r="P69" i="9"/>
  <c r="O69" i="9"/>
  <c r="N69" i="9"/>
  <c r="M69" i="9"/>
  <c r="L69" i="9"/>
  <c r="K69" i="9"/>
  <c r="I69" i="9"/>
  <c r="J69" i="9" s="1"/>
  <c r="H69" i="9"/>
  <c r="G69" i="9"/>
  <c r="F69" i="9"/>
  <c r="E69" i="9"/>
  <c r="D69" i="9"/>
  <c r="B69" i="9"/>
  <c r="T68" i="9"/>
  <c r="S68" i="9"/>
  <c r="R68" i="9"/>
  <c r="Q68" i="9"/>
  <c r="P68" i="9"/>
  <c r="O68" i="9"/>
  <c r="N68" i="9"/>
  <c r="M68" i="9"/>
  <c r="L68" i="9"/>
  <c r="K68" i="9"/>
  <c r="I68" i="9"/>
  <c r="J68" i="9" s="1"/>
  <c r="H68" i="9"/>
  <c r="G68" i="9"/>
  <c r="F68" i="9"/>
  <c r="E68" i="9"/>
  <c r="D68" i="9"/>
  <c r="B68" i="9"/>
  <c r="T67" i="9"/>
  <c r="S67" i="9"/>
  <c r="R67" i="9"/>
  <c r="Q67" i="9"/>
  <c r="P67" i="9"/>
  <c r="O67" i="9"/>
  <c r="N67" i="9"/>
  <c r="M67" i="9"/>
  <c r="L67" i="9"/>
  <c r="K67" i="9"/>
  <c r="I67" i="9"/>
  <c r="J67" i="9" s="1"/>
  <c r="H67" i="9"/>
  <c r="G67" i="9"/>
  <c r="F67" i="9"/>
  <c r="E67" i="9"/>
  <c r="D67" i="9"/>
  <c r="B67" i="9"/>
  <c r="T66" i="9"/>
  <c r="S66" i="9"/>
  <c r="R66" i="9"/>
  <c r="Q66" i="9"/>
  <c r="P66" i="9"/>
  <c r="O66" i="9"/>
  <c r="N66" i="9"/>
  <c r="M66" i="9"/>
  <c r="L66" i="9"/>
  <c r="K66" i="9"/>
  <c r="I66" i="9"/>
  <c r="J66" i="9" s="1"/>
  <c r="AY66" i="9" s="1"/>
  <c r="H66" i="9"/>
  <c r="G66" i="9"/>
  <c r="F66" i="9"/>
  <c r="E66" i="9"/>
  <c r="D66" i="9"/>
  <c r="B66" i="9"/>
  <c r="T65" i="9"/>
  <c r="S65" i="9"/>
  <c r="R65" i="9"/>
  <c r="Q65" i="9"/>
  <c r="P65" i="9"/>
  <c r="O65" i="9"/>
  <c r="N65" i="9"/>
  <c r="M65" i="9"/>
  <c r="L65" i="9"/>
  <c r="K65" i="9"/>
  <c r="I65" i="9"/>
  <c r="J65" i="9" s="1"/>
  <c r="AY65" i="9" s="1"/>
  <c r="H65" i="9"/>
  <c r="G65" i="9"/>
  <c r="F65" i="9"/>
  <c r="E65" i="9"/>
  <c r="D65" i="9"/>
  <c r="B65" i="9"/>
  <c r="T64" i="9"/>
  <c r="S64" i="9"/>
  <c r="R64" i="9"/>
  <c r="Q64" i="9"/>
  <c r="P64" i="9"/>
  <c r="O64" i="9"/>
  <c r="N64" i="9"/>
  <c r="M64" i="9"/>
  <c r="L64" i="9"/>
  <c r="K64" i="9"/>
  <c r="I64" i="9"/>
  <c r="J64" i="9" s="1"/>
  <c r="AY64" i="9" s="1"/>
  <c r="H64" i="9"/>
  <c r="G64" i="9"/>
  <c r="F64" i="9"/>
  <c r="E64" i="9"/>
  <c r="D64" i="9"/>
  <c r="B64" i="9"/>
  <c r="T63" i="9"/>
  <c r="S63" i="9"/>
  <c r="R63" i="9"/>
  <c r="Q63" i="9"/>
  <c r="P63" i="9"/>
  <c r="O63" i="9"/>
  <c r="N63" i="9"/>
  <c r="M63" i="9"/>
  <c r="L63" i="9"/>
  <c r="K63" i="9"/>
  <c r="I63" i="9"/>
  <c r="J63" i="9" s="1"/>
  <c r="AY63" i="9" s="1"/>
  <c r="H63" i="9"/>
  <c r="G63" i="9"/>
  <c r="F63" i="9"/>
  <c r="E63" i="9"/>
  <c r="D63" i="9"/>
  <c r="B63" i="9"/>
  <c r="T62" i="9"/>
  <c r="S62" i="9"/>
  <c r="R62" i="9"/>
  <c r="Q62" i="9"/>
  <c r="P62" i="9"/>
  <c r="O62" i="9"/>
  <c r="N62" i="9"/>
  <c r="M62" i="9"/>
  <c r="L62" i="9"/>
  <c r="K62" i="9"/>
  <c r="I62" i="9"/>
  <c r="J62" i="9" s="1"/>
  <c r="AY62" i="9" s="1"/>
  <c r="H62" i="9"/>
  <c r="G62" i="9"/>
  <c r="F62" i="9"/>
  <c r="E62" i="9"/>
  <c r="D62" i="9"/>
  <c r="B62" i="9"/>
  <c r="T61" i="9"/>
  <c r="S61" i="9"/>
  <c r="R61" i="9"/>
  <c r="Q61" i="9"/>
  <c r="P61" i="9"/>
  <c r="O61" i="9"/>
  <c r="N61" i="9"/>
  <c r="M61" i="9"/>
  <c r="L61" i="9"/>
  <c r="K61" i="9"/>
  <c r="I61" i="9"/>
  <c r="J61" i="9" s="1"/>
  <c r="H61" i="9"/>
  <c r="G61" i="9"/>
  <c r="F61" i="9"/>
  <c r="E61" i="9"/>
  <c r="D61" i="9"/>
  <c r="B61" i="9"/>
  <c r="T60" i="9"/>
  <c r="S60" i="9"/>
  <c r="R60" i="9"/>
  <c r="Q60" i="9"/>
  <c r="P60" i="9"/>
  <c r="O60" i="9"/>
  <c r="N60" i="9"/>
  <c r="M60" i="9"/>
  <c r="L60" i="9"/>
  <c r="K60" i="9"/>
  <c r="I60" i="9"/>
  <c r="J60" i="9" s="1"/>
  <c r="AY60" i="9" s="1"/>
  <c r="H60" i="9"/>
  <c r="G60" i="9"/>
  <c r="F60" i="9"/>
  <c r="E60" i="9"/>
  <c r="D60" i="9"/>
  <c r="B60" i="9"/>
  <c r="T59" i="9"/>
  <c r="S59" i="9"/>
  <c r="R59" i="9"/>
  <c r="Q59" i="9"/>
  <c r="P59" i="9"/>
  <c r="O59" i="9"/>
  <c r="N59" i="9"/>
  <c r="M59" i="9"/>
  <c r="L59" i="9"/>
  <c r="K59" i="9"/>
  <c r="I59" i="9"/>
  <c r="J59" i="9" s="1"/>
  <c r="AY59" i="9" s="1"/>
  <c r="H59" i="9"/>
  <c r="G59" i="9"/>
  <c r="F59" i="9"/>
  <c r="E59" i="9"/>
  <c r="D59" i="9"/>
  <c r="B59" i="9"/>
  <c r="T58" i="9"/>
  <c r="S58" i="9"/>
  <c r="R58" i="9"/>
  <c r="Q58" i="9"/>
  <c r="P58" i="9"/>
  <c r="O58" i="9"/>
  <c r="N58" i="9"/>
  <c r="M58" i="9"/>
  <c r="L58" i="9"/>
  <c r="K58" i="9"/>
  <c r="I58" i="9"/>
  <c r="J58" i="9" s="1"/>
  <c r="H58" i="9"/>
  <c r="G58" i="9"/>
  <c r="F58" i="9"/>
  <c r="E58" i="9"/>
  <c r="D58" i="9"/>
  <c r="B58" i="9"/>
  <c r="T57" i="9"/>
  <c r="S57" i="9"/>
  <c r="R57" i="9"/>
  <c r="Q57" i="9"/>
  <c r="P57" i="9"/>
  <c r="O57" i="9"/>
  <c r="N57" i="9"/>
  <c r="M57" i="9"/>
  <c r="L57" i="9"/>
  <c r="K57" i="9"/>
  <c r="I57" i="9"/>
  <c r="J57" i="9" s="1"/>
  <c r="AY57" i="9" s="1"/>
  <c r="H57" i="9"/>
  <c r="G57" i="9"/>
  <c r="F57" i="9"/>
  <c r="E57" i="9"/>
  <c r="D57" i="9"/>
  <c r="B57" i="9"/>
  <c r="T56" i="9"/>
  <c r="S56" i="9"/>
  <c r="R56" i="9"/>
  <c r="Q56" i="9"/>
  <c r="P56" i="9"/>
  <c r="O56" i="9"/>
  <c r="N56" i="9"/>
  <c r="M56" i="9"/>
  <c r="L56" i="9"/>
  <c r="K56" i="9"/>
  <c r="I56" i="9"/>
  <c r="J56" i="9" s="1"/>
  <c r="AY56" i="9" s="1"/>
  <c r="H56" i="9"/>
  <c r="G56" i="9"/>
  <c r="F56" i="9"/>
  <c r="E56" i="9"/>
  <c r="D56" i="9"/>
  <c r="B56" i="9"/>
  <c r="C56" i="9" s="1"/>
  <c r="T55" i="9"/>
  <c r="S55" i="9"/>
  <c r="R55" i="9"/>
  <c r="Q55" i="9"/>
  <c r="P55" i="9"/>
  <c r="O55" i="9"/>
  <c r="N55" i="9"/>
  <c r="M55" i="9"/>
  <c r="L55" i="9"/>
  <c r="K55" i="9"/>
  <c r="I55" i="9"/>
  <c r="J55" i="9" s="1"/>
  <c r="AY55" i="9" s="1"/>
  <c r="H55" i="9"/>
  <c r="G55" i="9"/>
  <c r="F55" i="9"/>
  <c r="E55" i="9"/>
  <c r="D55" i="9"/>
  <c r="B55" i="9"/>
  <c r="T54" i="9"/>
  <c r="S54" i="9"/>
  <c r="R54" i="9"/>
  <c r="Q54" i="9"/>
  <c r="P54" i="9"/>
  <c r="O54" i="9"/>
  <c r="N54" i="9"/>
  <c r="M54" i="9"/>
  <c r="L54" i="9"/>
  <c r="K54" i="9"/>
  <c r="I54" i="9"/>
  <c r="J54" i="9" s="1"/>
  <c r="AY54" i="9" s="1"/>
  <c r="H54" i="9"/>
  <c r="G54" i="9"/>
  <c r="F54" i="9"/>
  <c r="E54" i="9"/>
  <c r="D54" i="9"/>
  <c r="B54" i="9"/>
  <c r="T53" i="9"/>
  <c r="S53" i="9"/>
  <c r="R53" i="9"/>
  <c r="Q53" i="9"/>
  <c r="P53" i="9"/>
  <c r="O53" i="9"/>
  <c r="N53" i="9"/>
  <c r="M53" i="9"/>
  <c r="L53" i="9"/>
  <c r="K53" i="9"/>
  <c r="I53" i="9"/>
  <c r="J53" i="9" s="1"/>
  <c r="H53" i="9"/>
  <c r="G53" i="9"/>
  <c r="F53" i="9"/>
  <c r="E53" i="9"/>
  <c r="D53" i="9"/>
  <c r="B53" i="9"/>
  <c r="T52" i="9"/>
  <c r="S52" i="9"/>
  <c r="R52" i="9"/>
  <c r="Q52" i="9"/>
  <c r="P52" i="9"/>
  <c r="O52" i="9"/>
  <c r="N52" i="9"/>
  <c r="M52" i="9"/>
  <c r="L52" i="9"/>
  <c r="K52" i="9"/>
  <c r="I52" i="9"/>
  <c r="J52" i="9" s="1"/>
  <c r="H52" i="9"/>
  <c r="G52" i="9"/>
  <c r="F52" i="9"/>
  <c r="E52" i="9"/>
  <c r="D52" i="9"/>
  <c r="B52" i="9"/>
  <c r="T51" i="9"/>
  <c r="S51" i="9"/>
  <c r="R51" i="9"/>
  <c r="Q51" i="9"/>
  <c r="P51" i="9"/>
  <c r="O51" i="9"/>
  <c r="N51" i="9"/>
  <c r="M51" i="9"/>
  <c r="L51" i="9"/>
  <c r="K51" i="9"/>
  <c r="I51" i="9"/>
  <c r="J51" i="9" s="1"/>
  <c r="H51" i="9"/>
  <c r="G51" i="9"/>
  <c r="F51" i="9"/>
  <c r="E51" i="9"/>
  <c r="D51" i="9"/>
  <c r="B51" i="9"/>
  <c r="T50" i="9"/>
  <c r="S50" i="9"/>
  <c r="R50" i="9"/>
  <c r="Q50" i="9"/>
  <c r="P50" i="9"/>
  <c r="O50" i="9"/>
  <c r="N50" i="9"/>
  <c r="M50" i="9"/>
  <c r="L50" i="9"/>
  <c r="K50" i="9"/>
  <c r="I50" i="9"/>
  <c r="J50" i="9" s="1"/>
  <c r="AY50" i="9" s="1"/>
  <c r="H50" i="9"/>
  <c r="G50" i="9"/>
  <c r="F50" i="9"/>
  <c r="E50" i="9"/>
  <c r="D50" i="9"/>
  <c r="B50" i="9"/>
  <c r="T49" i="9"/>
  <c r="S49" i="9"/>
  <c r="R49" i="9"/>
  <c r="Q49" i="9"/>
  <c r="P49" i="9"/>
  <c r="O49" i="9"/>
  <c r="N49" i="9"/>
  <c r="M49" i="9"/>
  <c r="L49" i="9"/>
  <c r="K49" i="9"/>
  <c r="I49" i="9"/>
  <c r="J49" i="9" s="1"/>
  <c r="AY49" i="9" s="1"/>
  <c r="H49" i="9"/>
  <c r="G49" i="9"/>
  <c r="F49" i="9"/>
  <c r="E49" i="9"/>
  <c r="D49" i="9"/>
  <c r="B49" i="9"/>
  <c r="T48" i="9"/>
  <c r="S48" i="9"/>
  <c r="R48" i="9"/>
  <c r="Q48" i="9"/>
  <c r="P48" i="9"/>
  <c r="O48" i="9"/>
  <c r="N48" i="9"/>
  <c r="M48" i="9"/>
  <c r="L48" i="9"/>
  <c r="K48" i="9"/>
  <c r="I48" i="9"/>
  <c r="J48" i="9" s="1"/>
  <c r="AY48" i="9" s="1"/>
  <c r="H48" i="9"/>
  <c r="G48" i="9"/>
  <c r="F48" i="9"/>
  <c r="E48" i="9"/>
  <c r="D48" i="9"/>
  <c r="B48" i="9"/>
  <c r="T47" i="9"/>
  <c r="S47" i="9"/>
  <c r="R47" i="9"/>
  <c r="Q47" i="9"/>
  <c r="P47" i="9"/>
  <c r="O47" i="9"/>
  <c r="N47" i="9"/>
  <c r="M47" i="9"/>
  <c r="L47" i="9"/>
  <c r="K47" i="9"/>
  <c r="I47" i="9"/>
  <c r="J47" i="9" s="1"/>
  <c r="AY47" i="9" s="1"/>
  <c r="H47" i="9"/>
  <c r="G47" i="9"/>
  <c r="F47" i="9"/>
  <c r="E47" i="9"/>
  <c r="D47" i="9"/>
  <c r="B47" i="9"/>
  <c r="T46" i="9"/>
  <c r="S46" i="9"/>
  <c r="R46" i="9"/>
  <c r="Q46" i="9"/>
  <c r="P46" i="9"/>
  <c r="O46" i="9"/>
  <c r="N46" i="9"/>
  <c r="M46" i="9"/>
  <c r="L46" i="9"/>
  <c r="K46" i="9"/>
  <c r="I46" i="9"/>
  <c r="J46" i="9" s="1"/>
  <c r="H46" i="9"/>
  <c r="G46" i="9"/>
  <c r="F46" i="9"/>
  <c r="E46" i="9"/>
  <c r="D46" i="9"/>
  <c r="B46" i="9"/>
  <c r="T45" i="9"/>
  <c r="S45" i="9"/>
  <c r="R45" i="9"/>
  <c r="Q45" i="9"/>
  <c r="P45" i="9"/>
  <c r="O45" i="9"/>
  <c r="N45" i="9"/>
  <c r="M45" i="9"/>
  <c r="L45" i="9"/>
  <c r="K45" i="9"/>
  <c r="I45" i="9"/>
  <c r="J45" i="9" s="1"/>
  <c r="H45" i="9"/>
  <c r="G45" i="9"/>
  <c r="F45" i="9"/>
  <c r="E45" i="9"/>
  <c r="D45" i="9"/>
  <c r="B45" i="9"/>
  <c r="T44" i="9"/>
  <c r="S44" i="9"/>
  <c r="R44" i="9"/>
  <c r="Q44" i="9"/>
  <c r="P44" i="9"/>
  <c r="O44" i="9"/>
  <c r="N44" i="9"/>
  <c r="M44" i="9"/>
  <c r="L44" i="9"/>
  <c r="K44" i="9"/>
  <c r="I44" i="9"/>
  <c r="J44" i="9" s="1"/>
  <c r="H44" i="9"/>
  <c r="G44" i="9"/>
  <c r="F44" i="9"/>
  <c r="E44" i="9"/>
  <c r="D44" i="9"/>
  <c r="B44" i="9"/>
  <c r="T43" i="9"/>
  <c r="S43" i="9"/>
  <c r="R43" i="9"/>
  <c r="Q43" i="9"/>
  <c r="P43" i="9"/>
  <c r="O43" i="9"/>
  <c r="N43" i="9"/>
  <c r="M43" i="9"/>
  <c r="L43" i="9"/>
  <c r="K43" i="9"/>
  <c r="I43" i="9"/>
  <c r="J43" i="9" s="1"/>
  <c r="H43" i="9"/>
  <c r="G43" i="9"/>
  <c r="F43" i="9"/>
  <c r="E43" i="9"/>
  <c r="D43" i="9"/>
  <c r="B43" i="9"/>
  <c r="T42" i="9"/>
  <c r="S42" i="9"/>
  <c r="R42" i="9"/>
  <c r="Q42" i="9"/>
  <c r="P42" i="9"/>
  <c r="O42" i="9"/>
  <c r="N42" i="9"/>
  <c r="M42" i="9"/>
  <c r="L42" i="9"/>
  <c r="K42" i="9"/>
  <c r="I42" i="9"/>
  <c r="J42" i="9" s="1"/>
  <c r="AY42" i="9" s="1"/>
  <c r="H42" i="9"/>
  <c r="G42" i="9"/>
  <c r="F42" i="9"/>
  <c r="E42" i="9"/>
  <c r="D42" i="9"/>
  <c r="B42" i="9"/>
  <c r="T41" i="9"/>
  <c r="S41" i="9"/>
  <c r="R41" i="9"/>
  <c r="Q41" i="9"/>
  <c r="P41" i="9"/>
  <c r="O41" i="9"/>
  <c r="N41" i="9"/>
  <c r="M41" i="9"/>
  <c r="L41" i="9"/>
  <c r="K41" i="9"/>
  <c r="I41" i="9"/>
  <c r="J41" i="9" s="1"/>
  <c r="AY41" i="9" s="1"/>
  <c r="H41" i="9"/>
  <c r="G41" i="9"/>
  <c r="F41" i="9"/>
  <c r="E41" i="9"/>
  <c r="D41" i="9"/>
  <c r="B41" i="9"/>
  <c r="T40" i="9"/>
  <c r="S40" i="9"/>
  <c r="R40" i="9"/>
  <c r="Q40" i="9"/>
  <c r="P40" i="9"/>
  <c r="O40" i="9"/>
  <c r="N40" i="9"/>
  <c r="M40" i="9"/>
  <c r="L40" i="9"/>
  <c r="K40" i="9"/>
  <c r="I40" i="9"/>
  <c r="J40" i="9" s="1"/>
  <c r="H40" i="9"/>
  <c r="G40" i="9"/>
  <c r="F40" i="9"/>
  <c r="E40" i="9"/>
  <c r="D40" i="9"/>
  <c r="B40" i="9"/>
  <c r="T39" i="9"/>
  <c r="S39" i="9"/>
  <c r="R39" i="9"/>
  <c r="Q39" i="9"/>
  <c r="P39" i="9"/>
  <c r="O39" i="9"/>
  <c r="N39" i="9"/>
  <c r="M39" i="9"/>
  <c r="L39" i="9"/>
  <c r="K39" i="9"/>
  <c r="I39" i="9"/>
  <c r="J39" i="9" s="1"/>
  <c r="AY39" i="9" s="1"/>
  <c r="H39" i="9"/>
  <c r="G39" i="9"/>
  <c r="F39" i="9"/>
  <c r="E39" i="9"/>
  <c r="D39" i="9"/>
  <c r="B39" i="9"/>
  <c r="T38" i="9"/>
  <c r="S38" i="9"/>
  <c r="R38" i="9"/>
  <c r="Q38" i="9"/>
  <c r="P38" i="9"/>
  <c r="O38" i="9"/>
  <c r="N38" i="9"/>
  <c r="M38" i="9"/>
  <c r="L38" i="9"/>
  <c r="K38" i="9"/>
  <c r="I38" i="9"/>
  <c r="J38" i="9" s="1"/>
  <c r="AY38" i="9" s="1"/>
  <c r="H38" i="9"/>
  <c r="G38" i="9"/>
  <c r="F38" i="9"/>
  <c r="E38" i="9"/>
  <c r="D38" i="9"/>
  <c r="B38" i="9"/>
  <c r="T37" i="9"/>
  <c r="S37" i="9"/>
  <c r="R37" i="9"/>
  <c r="Q37" i="9"/>
  <c r="P37" i="9"/>
  <c r="O37" i="9"/>
  <c r="N37" i="9"/>
  <c r="M37" i="9"/>
  <c r="L37" i="9"/>
  <c r="K37" i="9"/>
  <c r="I37" i="9"/>
  <c r="J37" i="9" s="1"/>
  <c r="H37" i="9"/>
  <c r="G37" i="9"/>
  <c r="F37" i="9"/>
  <c r="E37" i="9"/>
  <c r="D37" i="9"/>
  <c r="B37" i="9"/>
  <c r="T36" i="9"/>
  <c r="S36" i="9"/>
  <c r="R36" i="9"/>
  <c r="Q36" i="9"/>
  <c r="P36" i="9"/>
  <c r="O36" i="9"/>
  <c r="N36" i="9"/>
  <c r="M36" i="9"/>
  <c r="L36" i="9"/>
  <c r="K36" i="9"/>
  <c r="I36" i="9"/>
  <c r="J36" i="9" s="1"/>
  <c r="AY36" i="9" s="1"/>
  <c r="H36" i="9"/>
  <c r="G36" i="9"/>
  <c r="F36" i="9"/>
  <c r="E36" i="9"/>
  <c r="D36" i="9"/>
  <c r="B36" i="9"/>
  <c r="T35" i="9"/>
  <c r="S35" i="9"/>
  <c r="R35" i="9"/>
  <c r="Q35" i="9"/>
  <c r="P35" i="9"/>
  <c r="O35" i="9"/>
  <c r="N35" i="9"/>
  <c r="M35" i="9"/>
  <c r="L35" i="9"/>
  <c r="K35" i="9"/>
  <c r="I35" i="9"/>
  <c r="J35" i="9" s="1"/>
  <c r="AY35" i="9" s="1"/>
  <c r="H35" i="9"/>
  <c r="G35" i="9"/>
  <c r="F35" i="9"/>
  <c r="E35" i="9"/>
  <c r="D35" i="9"/>
  <c r="B35" i="9"/>
  <c r="T34" i="9"/>
  <c r="S34" i="9"/>
  <c r="R34" i="9"/>
  <c r="Q34" i="9"/>
  <c r="P34" i="9"/>
  <c r="O34" i="9"/>
  <c r="N34" i="9"/>
  <c r="M34" i="9"/>
  <c r="L34" i="9"/>
  <c r="K34" i="9"/>
  <c r="I34" i="9"/>
  <c r="J34" i="9" s="1"/>
  <c r="H34" i="9"/>
  <c r="G34" i="9"/>
  <c r="F34" i="9"/>
  <c r="E34" i="9"/>
  <c r="D34" i="9"/>
  <c r="B34" i="9"/>
  <c r="T33" i="9"/>
  <c r="S33" i="9"/>
  <c r="R33" i="9"/>
  <c r="Q33" i="9"/>
  <c r="P33" i="9"/>
  <c r="O33" i="9"/>
  <c r="N33" i="9"/>
  <c r="M33" i="9"/>
  <c r="L33" i="9"/>
  <c r="K33" i="9"/>
  <c r="I33" i="9"/>
  <c r="J33" i="9" s="1"/>
  <c r="AY33" i="9" s="1"/>
  <c r="H33" i="9"/>
  <c r="G33" i="9"/>
  <c r="F33" i="9"/>
  <c r="E33" i="9"/>
  <c r="D33" i="9"/>
  <c r="B33" i="9"/>
  <c r="T32" i="9"/>
  <c r="S32" i="9"/>
  <c r="R32" i="9"/>
  <c r="Q32" i="9"/>
  <c r="P32" i="9"/>
  <c r="O32" i="9"/>
  <c r="N32" i="9"/>
  <c r="M32" i="9"/>
  <c r="L32" i="9"/>
  <c r="K32" i="9"/>
  <c r="I32" i="9"/>
  <c r="J32" i="9" s="1"/>
  <c r="H32" i="9"/>
  <c r="G32" i="9"/>
  <c r="F32" i="9"/>
  <c r="E32" i="9"/>
  <c r="D32" i="9"/>
  <c r="B32" i="9"/>
  <c r="T31" i="9"/>
  <c r="S31" i="9"/>
  <c r="R31" i="9"/>
  <c r="Q31" i="9"/>
  <c r="P31" i="9"/>
  <c r="O31" i="9"/>
  <c r="N31" i="9"/>
  <c r="M31" i="9"/>
  <c r="L31" i="9"/>
  <c r="K31" i="9"/>
  <c r="I31" i="9"/>
  <c r="J31" i="9" s="1"/>
  <c r="H31" i="9"/>
  <c r="G31" i="9"/>
  <c r="F31" i="9"/>
  <c r="E31" i="9"/>
  <c r="D31" i="9"/>
  <c r="B31" i="9"/>
  <c r="T30" i="9"/>
  <c r="S30" i="9"/>
  <c r="R30" i="9"/>
  <c r="Q30" i="9"/>
  <c r="P30" i="9"/>
  <c r="O30" i="9"/>
  <c r="N30" i="9"/>
  <c r="M30" i="9"/>
  <c r="L30" i="9"/>
  <c r="K30" i="9"/>
  <c r="I30" i="9"/>
  <c r="J30" i="9" s="1"/>
  <c r="H30" i="9"/>
  <c r="G30" i="9"/>
  <c r="F30" i="9"/>
  <c r="E30" i="9"/>
  <c r="D30" i="9"/>
  <c r="B30" i="9"/>
  <c r="T29" i="9"/>
  <c r="S29" i="9"/>
  <c r="R29" i="9"/>
  <c r="Q29" i="9"/>
  <c r="P29" i="9"/>
  <c r="O29" i="9"/>
  <c r="N29" i="9"/>
  <c r="M29" i="9"/>
  <c r="L29" i="9"/>
  <c r="K29" i="9"/>
  <c r="I29" i="9"/>
  <c r="J29" i="9" s="1"/>
  <c r="H29" i="9"/>
  <c r="G29" i="9"/>
  <c r="F29" i="9"/>
  <c r="E29" i="9"/>
  <c r="D29" i="9"/>
  <c r="B29" i="9"/>
  <c r="T28" i="9"/>
  <c r="S28" i="9"/>
  <c r="R28" i="9"/>
  <c r="Q28" i="9"/>
  <c r="P28" i="9"/>
  <c r="O28" i="9"/>
  <c r="N28" i="9"/>
  <c r="M28" i="9"/>
  <c r="L28" i="9"/>
  <c r="K28" i="9"/>
  <c r="I28" i="9"/>
  <c r="J28" i="9" s="1"/>
  <c r="H28" i="9"/>
  <c r="G28" i="9"/>
  <c r="F28" i="9"/>
  <c r="E28" i="9"/>
  <c r="D28" i="9"/>
  <c r="B28" i="9"/>
  <c r="T27" i="9"/>
  <c r="S27" i="9"/>
  <c r="R27" i="9"/>
  <c r="Q27" i="9"/>
  <c r="P27" i="9"/>
  <c r="O27" i="9"/>
  <c r="N27" i="9"/>
  <c r="M27" i="9"/>
  <c r="L27" i="9"/>
  <c r="K27" i="9"/>
  <c r="I27" i="9"/>
  <c r="J27" i="9" s="1"/>
  <c r="AY27" i="9" s="1"/>
  <c r="H27" i="9"/>
  <c r="G27" i="9"/>
  <c r="F27" i="9"/>
  <c r="E27" i="9"/>
  <c r="D27" i="9"/>
  <c r="B27" i="9"/>
  <c r="T26" i="9"/>
  <c r="S26" i="9"/>
  <c r="R26" i="9"/>
  <c r="Q26" i="9"/>
  <c r="P26" i="9"/>
  <c r="O26" i="9"/>
  <c r="N26" i="9"/>
  <c r="M26" i="9"/>
  <c r="L26" i="9"/>
  <c r="K26" i="9"/>
  <c r="I26" i="9"/>
  <c r="J26" i="9" s="1"/>
  <c r="AY26" i="9" s="1"/>
  <c r="H26" i="9"/>
  <c r="G26" i="9"/>
  <c r="F26" i="9"/>
  <c r="E26" i="9"/>
  <c r="D26" i="9"/>
  <c r="B26" i="9"/>
  <c r="T25" i="9"/>
  <c r="S25" i="9"/>
  <c r="R25" i="9"/>
  <c r="Q25" i="9"/>
  <c r="P25" i="9"/>
  <c r="O25" i="9"/>
  <c r="N25" i="9"/>
  <c r="M25" i="9"/>
  <c r="L25" i="9"/>
  <c r="K25" i="9"/>
  <c r="I25" i="9"/>
  <c r="J25" i="9" s="1"/>
  <c r="H25" i="9"/>
  <c r="G25" i="9"/>
  <c r="F25" i="9"/>
  <c r="E25" i="9"/>
  <c r="D25" i="9"/>
  <c r="B25" i="9"/>
  <c r="T24" i="9"/>
  <c r="S24" i="9"/>
  <c r="R24" i="9"/>
  <c r="Q24" i="9"/>
  <c r="P24" i="9"/>
  <c r="O24" i="9"/>
  <c r="N24" i="9"/>
  <c r="M24" i="9"/>
  <c r="L24" i="9"/>
  <c r="K24" i="9"/>
  <c r="I24" i="9"/>
  <c r="J24" i="9" s="1"/>
  <c r="AY24" i="9" s="1"/>
  <c r="H24" i="9"/>
  <c r="G24" i="9"/>
  <c r="F24" i="9"/>
  <c r="E24" i="9"/>
  <c r="D24" i="9"/>
  <c r="B24" i="9"/>
  <c r="T23" i="9"/>
  <c r="S23" i="9"/>
  <c r="R23" i="9"/>
  <c r="Q23" i="9"/>
  <c r="P23" i="9"/>
  <c r="O23" i="9"/>
  <c r="N23" i="9"/>
  <c r="M23" i="9"/>
  <c r="L23" i="9"/>
  <c r="K23" i="9"/>
  <c r="I23" i="9"/>
  <c r="J23" i="9" s="1"/>
  <c r="H23" i="9"/>
  <c r="G23" i="9"/>
  <c r="F23" i="9"/>
  <c r="E23" i="9"/>
  <c r="D23" i="9"/>
  <c r="B23" i="9"/>
  <c r="T22" i="9"/>
  <c r="S22" i="9"/>
  <c r="R22" i="9"/>
  <c r="Q22" i="9"/>
  <c r="P22" i="9"/>
  <c r="O22" i="9"/>
  <c r="N22" i="9"/>
  <c r="M22" i="9"/>
  <c r="L22" i="9"/>
  <c r="K22" i="9"/>
  <c r="I22" i="9"/>
  <c r="J22" i="9" s="1"/>
  <c r="AY22" i="9" s="1"/>
  <c r="H22" i="9"/>
  <c r="G22" i="9"/>
  <c r="F22" i="9"/>
  <c r="E22" i="9"/>
  <c r="D22" i="9"/>
  <c r="B22" i="9"/>
  <c r="T21" i="9"/>
  <c r="S21" i="9"/>
  <c r="R21" i="9"/>
  <c r="Q21" i="9"/>
  <c r="P21" i="9"/>
  <c r="O21" i="9"/>
  <c r="N21" i="9"/>
  <c r="M21" i="9"/>
  <c r="L21" i="9"/>
  <c r="K21" i="9"/>
  <c r="I21" i="9"/>
  <c r="J21" i="9" s="1"/>
  <c r="AY21" i="9" s="1"/>
  <c r="H21" i="9"/>
  <c r="G21" i="9"/>
  <c r="F21" i="9"/>
  <c r="E21" i="9"/>
  <c r="D21" i="9"/>
  <c r="B21" i="9"/>
  <c r="T20" i="9"/>
  <c r="S20" i="9"/>
  <c r="R20" i="9"/>
  <c r="Q20" i="9"/>
  <c r="P20" i="9"/>
  <c r="O20" i="9"/>
  <c r="N20" i="9"/>
  <c r="M20" i="9"/>
  <c r="L20" i="9"/>
  <c r="K20" i="9"/>
  <c r="I20" i="9"/>
  <c r="J20" i="9" s="1"/>
  <c r="H20" i="9"/>
  <c r="G20" i="9"/>
  <c r="F20" i="9"/>
  <c r="E20" i="9"/>
  <c r="D20" i="9"/>
  <c r="B20" i="9"/>
  <c r="T19" i="9"/>
  <c r="S19" i="9"/>
  <c r="R19" i="9"/>
  <c r="Q19" i="9"/>
  <c r="P19" i="9"/>
  <c r="O19" i="9"/>
  <c r="N19" i="9"/>
  <c r="M19" i="9"/>
  <c r="L19" i="9"/>
  <c r="K19" i="9"/>
  <c r="I19" i="9"/>
  <c r="J19" i="9" s="1"/>
  <c r="AY19" i="9" s="1"/>
  <c r="H19" i="9"/>
  <c r="G19" i="9"/>
  <c r="F19" i="9"/>
  <c r="E19" i="9"/>
  <c r="D19" i="9"/>
  <c r="B19" i="9"/>
  <c r="T18" i="9"/>
  <c r="S18" i="9"/>
  <c r="R18" i="9"/>
  <c r="Q18" i="9"/>
  <c r="P18" i="9"/>
  <c r="O18" i="9"/>
  <c r="N18" i="9"/>
  <c r="M18" i="9"/>
  <c r="L18" i="9"/>
  <c r="K18" i="9"/>
  <c r="I18" i="9"/>
  <c r="J18" i="9" s="1"/>
  <c r="H18" i="9"/>
  <c r="G18" i="9"/>
  <c r="F18" i="9"/>
  <c r="E18" i="9"/>
  <c r="D18" i="9"/>
  <c r="B18" i="9"/>
  <c r="T17" i="9"/>
  <c r="S17" i="9"/>
  <c r="R17" i="9"/>
  <c r="Q17" i="9"/>
  <c r="P17" i="9"/>
  <c r="O17" i="9"/>
  <c r="N17" i="9"/>
  <c r="M17" i="9"/>
  <c r="L17" i="9"/>
  <c r="K17" i="9"/>
  <c r="I17" i="9"/>
  <c r="J17" i="9" s="1"/>
  <c r="H17" i="9"/>
  <c r="G17" i="9"/>
  <c r="F17" i="9"/>
  <c r="E17" i="9"/>
  <c r="D17" i="9"/>
  <c r="B17" i="9"/>
  <c r="T16" i="9"/>
  <c r="S16" i="9"/>
  <c r="R16" i="9"/>
  <c r="Q16" i="9"/>
  <c r="P16" i="9"/>
  <c r="O16" i="9"/>
  <c r="N16" i="9"/>
  <c r="M16" i="9"/>
  <c r="L16" i="9"/>
  <c r="K16" i="9"/>
  <c r="I16" i="9"/>
  <c r="J16" i="9" s="1"/>
  <c r="H16" i="9"/>
  <c r="G16" i="9"/>
  <c r="F16" i="9"/>
  <c r="E16" i="9"/>
  <c r="D16" i="9"/>
  <c r="B16" i="9"/>
  <c r="T15" i="9"/>
  <c r="S15" i="9"/>
  <c r="R15" i="9"/>
  <c r="Q15" i="9"/>
  <c r="P15" i="9"/>
  <c r="O15" i="9"/>
  <c r="N15" i="9"/>
  <c r="M15" i="9"/>
  <c r="L15" i="9"/>
  <c r="K15" i="9"/>
  <c r="I15" i="9"/>
  <c r="J15" i="9" s="1"/>
  <c r="H15" i="9"/>
  <c r="G15" i="9"/>
  <c r="F15" i="9"/>
  <c r="E15" i="9"/>
  <c r="D15" i="9"/>
  <c r="B15" i="9"/>
  <c r="T14" i="9"/>
  <c r="S14" i="9"/>
  <c r="R14" i="9"/>
  <c r="Q14" i="9"/>
  <c r="P14" i="9"/>
  <c r="O14" i="9"/>
  <c r="N14" i="9"/>
  <c r="M14" i="9"/>
  <c r="L14" i="9"/>
  <c r="K14" i="9"/>
  <c r="I14" i="9"/>
  <c r="J14" i="9" s="1"/>
  <c r="H14" i="9"/>
  <c r="G14" i="9"/>
  <c r="F14" i="9"/>
  <c r="E14" i="9"/>
  <c r="D14" i="9"/>
  <c r="B14" i="9"/>
  <c r="T13" i="9"/>
  <c r="S13" i="9"/>
  <c r="R13" i="9"/>
  <c r="Q13" i="9"/>
  <c r="P13" i="9"/>
  <c r="O13" i="9"/>
  <c r="N13" i="9"/>
  <c r="M13" i="9"/>
  <c r="L13" i="9"/>
  <c r="K13" i="9"/>
  <c r="I13" i="9"/>
  <c r="J13" i="9" s="1"/>
  <c r="AY13" i="9" s="1"/>
  <c r="H13" i="9"/>
  <c r="G13" i="9"/>
  <c r="F13" i="9"/>
  <c r="E13" i="9"/>
  <c r="D13" i="9"/>
  <c r="B13" i="9"/>
  <c r="T12" i="9"/>
  <c r="S12" i="9"/>
  <c r="R12" i="9"/>
  <c r="Q12" i="9"/>
  <c r="P12" i="9"/>
  <c r="O12" i="9"/>
  <c r="N12" i="9"/>
  <c r="M12" i="9"/>
  <c r="L12" i="9"/>
  <c r="K12" i="9"/>
  <c r="I12" i="9"/>
  <c r="J12" i="9" s="1"/>
  <c r="AY12" i="9" s="1"/>
  <c r="H12" i="9"/>
  <c r="G12" i="9"/>
  <c r="F12" i="9"/>
  <c r="E12" i="9"/>
  <c r="D12" i="9"/>
  <c r="B12" i="9"/>
  <c r="T11" i="9"/>
  <c r="S11" i="9"/>
  <c r="R11" i="9"/>
  <c r="Q11" i="9"/>
  <c r="P11" i="9"/>
  <c r="O11" i="9"/>
  <c r="N11" i="9"/>
  <c r="M11" i="9"/>
  <c r="L11" i="9"/>
  <c r="K11" i="9"/>
  <c r="I11" i="9"/>
  <c r="J11" i="9" s="1"/>
  <c r="H11" i="9"/>
  <c r="G11" i="9"/>
  <c r="F11" i="9"/>
  <c r="E11" i="9"/>
  <c r="D11" i="9"/>
  <c r="B11" i="9"/>
  <c r="T10" i="9"/>
  <c r="S10" i="9"/>
  <c r="R10" i="9"/>
  <c r="Q10" i="9"/>
  <c r="P10" i="9"/>
  <c r="O10" i="9"/>
  <c r="N10" i="9"/>
  <c r="M10" i="9"/>
  <c r="L10" i="9"/>
  <c r="K10" i="9"/>
  <c r="I10" i="9"/>
  <c r="J10" i="9" s="1"/>
  <c r="AY10" i="9" s="1"/>
  <c r="H10" i="9"/>
  <c r="G10" i="9"/>
  <c r="F10" i="9"/>
  <c r="E10" i="9"/>
  <c r="D10" i="9"/>
  <c r="B10" i="9"/>
  <c r="T9" i="9"/>
  <c r="S9" i="9"/>
  <c r="R9" i="9"/>
  <c r="Q9" i="9"/>
  <c r="P9" i="9"/>
  <c r="O9" i="9"/>
  <c r="N9" i="9"/>
  <c r="M9" i="9"/>
  <c r="L9" i="9"/>
  <c r="K9" i="9"/>
  <c r="I9" i="9"/>
  <c r="J9" i="9" s="1"/>
  <c r="H9" i="9"/>
  <c r="G9" i="9"/>
  <c r="F9" i="9"/>
  <c r="E9" i="9"/>
  <c r="D9" i="9"/>
  <c r="B9" i="9"/>
  <c r="T8" i="9"/>
  <c r="S8" i="9"/>
  <c r="R8" i="9"/>
  <c r="Q8" i="9"/>
  <c r="P8" i="9"/>
  <c r="O8" i="9"/>
  <c r="N8" i="9"/>
  <c r="M8" i="9"/>
  <c r="L8" i="9"/>
  <c r="K8" i="9"/>
  <c r="I8" i="9"/>
  <c r="J8" i="9" s="1"/>
  <c r="H8" i="9"/>
  <c r="G8" i="9"/>
  <c r="F8" i="9"/>
  <c r="E8" i="9"/>
  <c r="D8" i="9"/>
  <c r="B8" i="9"/>
  <c r="CD4" i="9"/>
  <c r="T157" i="8"/>
  <c r="S157" i="8"/>
  <c r="R157" i="8"/>
  <c r="Q157" i="8"/>
  <c r="P157" i="8"/>
  <c r="O157" i="8"/>
  <c r="N157" i="8"/>
  <c r="M157" i="8"/>
  <c r="L157" i="8"/>
  <c r="K157" i="8"/>
  <c r="I157" i="8"/>
  <c r="J157" i="8" s="1"/>
  <c r="H157" i="8"/>
  <c r="G157" i="8"/>
  <c r="F157" i="8"/>
  <c r="E157" i="8"/>
  <c r="D157" i="8"/>
  <c r="B157" i="8"/>
  <c r="T156" i="8"/>
  <c r="S156" i="8"/>
  <c r="R156" i="8"/>
  <c r="Q156" i="8"/>
  <c r="P156" i="8"/>
  <c r="O156" i="8"/>
  <c r="N156" i="8"/>
  <c r="M156" i="8"/>
  <c r="L156" i="8"/>
  <c r="K156" i="8"/>
  <c r="I156" i="8"/>
  <c r="J156" i="8" s="1"/>
  <c r="H156" i="8"/>
  <c r="G156" i="8"/>
  <c r="F156" i="8"/>
  <c r="E156" i="8"/>
  <c r="D156" i="8"/>
  <c r="B156" i="8"/>
  <c r="T155" i="8"/>
  <c r="S155" i="8"/>
  <c r="R155" i="8"/>
  <c r="Q155" i="8"/>
  <c r="P155" i="8"/>
  <c r="O155" i="8"/>
  <c r="N155" i="8"/>
  <c r="M155" i="8"/>
  <c r="L155" i="8"/>
  <c r="K155" i="8"/>
  <c r="I155" i="8"/>
  <c r="J155" i="8" s="1"/>
  <c r="H155" i="8"/>
  <c r="G155" i="8"/>
  <c r="F155" i="8"/>
  <c r="E155" i="8"/>
  <c r="D155" i="8"/>
  <c r="B155" i="8"/>
  <c r="T154" i="8"/>
  <c r="S154" i="8"/>
  <c r="R154" i="8"/>
  <c r="Q154" i="8"/>
  <c r="P154" i="8"/>
  <c r="O154" i="8"/>
  <c r="N154" i="8"/>
  <c r="M154" i="8"/>
  <c r="L154" i="8"/>
  <c r="K154" i="8"/>
  <c r="I154" i="8"/>
  <c r="J154" i="8" s="1"/>
  <c r="H154" i="8"/>
  <c r="G154" i="8"/>
  <c r="F154" i="8"/>
  <c r="E154" i="8"/>
  <c r="D154" i="8"/>
  <c r="B154" i="8"/>
  <c r="T153" i="8"/>
  <c r="S153" i="8"/>
  <c r="R153" i="8"/>
  <c r="Q153" i="8"/>
  <c r="P153" i="8"/>
  <c r="O153" i="8"/>
  <c r="N153" i="8"/>
  <c r="M153" i="8"/>
  <c r="L153" i="8"/>
  <c r="K153" i="8"/>
  <c r="I153" i="8"/>
  <c r="J153" i="8" s="1"/>
  <c r="H153" i="8"/>
  <c r="G153" i="8"/>
  <c r="F153" i="8"/>
  <c r="E153" i="8"/>
  <c r="D153" i="8"/>
  <c r="B153" i="8"/>
  <c r="T152" i="8"/>
  <c r="S152" i="8"/>
  <c r="R152" i="8"/>
  <c r="Q152" i="8"/>
  <c r="P152" i="8"/>
  <c r="O152" i="8"/>
  <c r="N152" i="8"/>
  <c r="M152" i="8"/>
  <c r="L152" i="8"/>
  <c r="K152" i="8"/>
  <c r="I152" i="8"/>
  <c r="J152" i="8" s="1"/>
  <c r="H152" i="8"/>
  <c r="G152" i="8"/>
  <c r="F152" i="8"/>
  <c r="E152" i="8"/>
  <c r="D152" i="8"/>
  <c r="B152" i="8"/>
  <c r="T151" i="8"/>
  <c r="S151" i="8"/>
  <c r="R151" i="8"/>
  <c r="Q151" i="8"/>
  <c r="P151" i="8"/>
  <c r="O151" i="8"/>
  <c r="N151" i="8"/>
  <c r="M151" i="8"/>
  <c r="L151" i="8"/>
  <c r="K151" i="8"/>
  <c r="I151" i="8"/>
  <c r="J151" i="8" s="1"/>
  <c r="AY151" i="8" s="1"/>
  <c r="H151" i="8"/>
  <c r="G151" i="8"/>
  <c r="F151" i="8"/>
  <c r="E151" i="8"/>
  <c r="D151" i="8"/>
  <c r="B151" i="8"/>
  <c r="T150" i="8"/>
  <c r="S150" i="8"/>
  <c r="R150" i="8"/>
  <c r="Q150" i="8"/>
  <c r="P150" i="8"/>
  <c r="O150" i="8"/>
  <c r="N150" i="8"/>
  <c r="M150" i="8"/>
  <c r="L150" i="8"/>
  <c r="K150" i="8"/>
  <c r="I150" i="8"/>
  <c r="J150" i="8" s="1"/>
  <c r="H150" i="8"/>
  <c r="G150" i="8"/>
  <c r="F150" i="8"/>
  <c r="E150" i="8"/>
  <c r="D150" i="8"/>
  <c r="B150" i="8"/>
  <c r="T149" i="8"/>
  <c r="S149" i="8"/>
  <c r="R149" i="8"/>
  <c r="Q149" i="8"/>
  <c r="P149" i="8"/>
  <c r="O149" i="8"/>
  <c r="N149" i="8"/>
  <c r="M149" i="8"/>
  <c r="L149" i="8"/>
  <c r="K149" i="8"/>
  <c r="I149" i="8"/>
  <c r="J149" i="8" s="1"/>
  <c r="AY149" i="8" s="1"/>
  <c r="H149" i="8"/>
  <c r="G149" i="8"/>
  <c r="F149" i="8"/>
  <c r="E149" i="8"/>
  <c r="D149" i="8"/>
  <c r="B149" i="8"/>
  <c r="T148" i="8"/>
  <c r="S148" i="8"/>
  <c r="R148" i="8"/>
  <c r="Q148" i="8"/>
  <c r="P148" i="8"/>
  <c r="O148" i="8"/>
  <c r="N148" i="8"/>
  <c r="M148" i="8"/>
  <c r="L148" i="8"/>
  <c r="K148" i="8"/>
  <c r="I148" i="8"/>
  <c r="J148" i="8" s="1"/>
  <c r="AY148" i="8" s="1"/>
  <c r="H148" i="8"/>
  <c r="G148" i="8"/>
  <c r="F148" i="8"/>
  <c r="E148" i="8"/>
  <c r="D148" i="8"/>
  <c r="B148" i="8"/>
  <c r="T147" i="8"/>
  <c r="S147" i="8"/>
  <c r="R147" i="8"/>
  <c r="Q147" i="8"/>
  <c r="P147" i="8"/>
  <c r="O147" i="8"/>
  <c r="N147" i="8"/>
  <c r="M147" i="8"/>
  <c r="L147" i="8"/>
  <c r="K147" i="8"/>
  <c r="I147" i="8"/>
  <c r="J147" i="8" s="1"/>
  <c r="AY147" i="8" s="1"/>
  <c r="H147" i="8"/>
  <c r="G147" i="8"/>
  <c r="F147" i="8"/>
  <c r="E147" i="8"/>
  <c r="D147" i="8"/>
  <c r="B147" i="8"/>
  <c r="T146" i="8"/>
  <c r="S146" i="8"/>
  <c r="R146" i="8"/>
  <c r="Q146" i="8"/>
  <c r="P146" i="8"/>
  <c r="O146" i="8"/>
  <c r="N146" i="8"/>
  <c r="M146" i="8"/>
  <c r="L146" i="8"/>
  <c r="K146" i="8"/>
  <c r="I146" i="8"/>
  <c r="J146" i="8" s="1"/>
  <c r="AY146" i="8" s="1"/>
  <c r="H146" i="8"/>
  <c r="G146" i="8"/>
  <c r="F146" i="8"/>
  <c r="E146" i="8"/>
  <c r="D146" i="8"/>
  <c r="B146" i="8"/>
  <c r="C146" i="8" s="1"/>
  <c r="T145" i="8"/>
  <c r="S145" i="8"/>
  <c r="R145" i="8"/>
  <c r="Q145" i="8"/>
  <c r="P145" i="8"/>
  <c r="O145" i="8"/>
  <c r="N145" i="8"/>
  <c r="M145" i="8"/>
  <c r="L145" i="8"/>
  <c r="K145" i="8"/>
  <c r="I145" i="8"/>
  <c r="J145" i="8" s="1"/>
  <c r="AY145" i="8" s="1"/>
  <c r="H145" i="8"/>
  <c r="G145" i="8"/>
  <c r="F145" i="8"/>
  <c r="E145" i="8"/>
  <c r="D145" i="8"/>
  <c r="B145" i="8"/>
  <c r="T144" i="8"/>
  <c r="S144" i="8"/>
  <c r="R144" i="8"/>
  <c r="Q144" i="8"/>
  <c r="P144" i="8"/>
  <c r="O144" i="8"/>
  <c r="N144" i="8"/>
  <c r="M144" i="8"/>
  <c r="L144" i="8"/>
  <c r="K144" i="8"/>
  <c r="I144" i="8"/>
  <c r="J144" i="8" s="1"/>
  <c r="AY144" i="8" s="1"/>
  <c r="H144" i="8"/>
  <c r="G144" i="8"/>
  <c r="F144" i="8"/>
  <c r="E144" i="8"/>
  <c r="D144" i="8"/>
  <c r="B144" i="8"/>
  <c r="T143" i="8"/>
  <c r="S143" i="8"/>
  <c r="R143" i="8"/>
  <c r="Q143" i="8"/>
  <c r="P143" i="8"/>
  <c r="O143" i="8"/>
  <c r="N143" i="8"/>
  <c r="M143" i="8"/>
  <c r="L143" i="8"/>
  <c r="K143" i="8"/>
  <c r="I143" i="8"/>
  <c r="J143" i="8" s="1"/>
  <c r="H143" i="8"/>
  <c r="G143" i="8"/>
  <c r="F143" i="8"/>
  <c r="E143" i="8"/>
  <c r="D143" i="8"/>
  <c r="B143" i="8"/>
  <c r="T142" i="8"/>
  <c r="S142" i="8"/>
  <c r="R142" i="8"/>
  <c r="Q142" i="8"/>
  <c r="P142" i="8"/>
  <c r="O142" i="8"/>
  <c r="N142" i="8"/>
  <c r="M142" i="8"/>
  <c r="L142" i="8"/>
  <c r="K142" i="8"/>
  <c r="I142" i="8"/>
  <c r="J142" i="8" s="1"/>
  <c r="AY142" i="8" s="1"/>
  <c r="H142" i="8"/>
  <c r="G142" i="8"/>
  <c r="F142" i="8"/>
  <c r="E142" i="8"/>
  <c r="D142" i="8"/>
  <c r="B142" i="8"/>
  <c r="T141" i="8"/>
  <c r="S141" i="8"/>
  <c r="R141" i="8"/>
  <c r="Q141" i="8"/>
  <c r="P141" i="8"/>
  <c r="O141" i="8"/>
  <c r="N141" i="8"/>
  <c r="M141" i="8"/>
  <c r="L141" i="8"/>
  <c r="K141" i="8"/>
  <c r="I141" i="8"/>
  <c r="J141" i="8" s="1"/>
  <c r="H141" i="8"/>
  <c r="G141" i="8"/>
  <c r="F141" i="8"/>
  <c r="E141" i="8"/>
  <c r="D141" i="8"/>
  <c r="B141" i="8"/>
  <c r="T140" i="8"/>
  <c r="S140" i="8"/>
  <c r="R140" i="8"/>
  <c r="Q140" i="8"/>
  <c r="P140" i="8"/>
  <c r="O140" i="8"/>
  <c r="N140" i="8"/>
  <c r="M140" i="8"/>
  <c r="L140" i="8"/>
  <c r="K140" i="8"/>
  <c r="I140" i="8"/>
  <c r="J140" i="8" s="1"/>
  <c r="H140" i="8"/>
  <c r="G140" i="8"/>
  <c r="F140" i="8"/>
  <c r="E140" i="8"/>
  <c r="D140" i="8"/>
  <c r="B140" i="8"/>
  <c r="T139" i="8"/>
  <c r="S139" i="8"/>
  <c r="R139" i="8"/>
  <c r="Q139" i="8"/>
  <c r="P139" i="8"/>
  <c r="O139" i="8"/>
  <c r="N139" i="8"/>
  <c r="M139" i="8"/>
  <c r="L139" i="8"/>
  <c r="K139" i="8"/>
  <c r="I139" i="8"/>
  <c r="J139" i="8" s="1"/>
  <c r="H139" i="8"/>
  <c r="G139" i="8"/>
  <c r="F139" i="8"/>
  <c r="E139" i="8"/>
  <c r="D139" i="8"/>
  <c r="B139" i="8"/>
  <c r="T138" i="8"/>
  <c r="S138" i="8"/>
  <c r="R138" i="8"/>
  <c r="Q138" i="8"/>
  <c r="P138" i="8"/>
  <c r="O138" i="8"/>
  <c r="N138" i="8"/>
  <c r="M138" i="8"/>
  <c r="L138" i="8"/>
  <c r="K138" i="8"/>
  <c r="I138" i="8"/>
  <c r="J138" i="8" s="1"/>
  <c r="H138" i="8"/>
  <c r="G138" i="8"/>
  <c r="F138" i="8"/>
  <c r="E138" i="8"/>
  <c r="D138" i="8"/>
  <c r="B138" i="8"/>
  <c r="T137" i="8"/>
  <c r="S137" i="8"/>
  <c r="R137" i="8"/>
  <c r="Q137" i="8"/>
  <c r="P137" i="8"/>
  <c r="O137" i="8"/>
  <c r="N137" i="8"/>
  <c r="M137" i="8"/>
  <c r="L137" i="8"/>
  <c r="K137" i="8"/>
  <c r="I137" i="8"/>
  <c r="J137" i="8" s="1"/>
  <c r="AY137" i="8" s="1"/>
  <c r="H137" i="8"/>
  <c r="G137" i="8"/>
  <c r="F137" i="8"/>
  <c r="E137" i="8"/>
  <c r="D137" i="8"/>
  <c r="B137" i="8"/>
  <c r="T136" i="8"/>
  <c r="S136" i="8"/>
  <c r="R136" i="8"/>
  <c r="Q136" i="8"/>
  <c r="P136" i="8"/>
  <c r="O136" i="8"/>
  <c r="N136" i="8"/>
  <c r="M136" i="8"/>
  <c r="L136" i="8"/>
  <c r="K136" i="8"/>
  <c r="I136" i="8"/>
  <c r="J136" i="8" s="1"/>
  <c r="H136" i="8"/>
  <c r="G136" i="8"/>
  <c r="F136" i="8"/>
  <c r="E136" i="8"/>
  <c r="D136" i="8"/>
  <c r="B136" i="8"/>
  <c r="T135" i="8"/>
  <c r="S135" i="8"/>
  <c r="R135" i="8"/>
  <c r="Q135" i="8"/>
  <c r="P135" i="8"/>
  <c r="O135" i="8"/>
  <c r="N135" i="8"/>
  <c r="M135" i="8"/>
  <c r="L135" i="8"/>
  <c r="K135" i="8"/>
  <c r="I135" i="8"/>
  <c r="J135" i="8" s="1"/>
  <c r="H135" i="8"/>
  <c r="G135" i="8"/>
  <c r="F135" i="8"/>
  <c r="E135" i="8"/>
  <c r="D135" i="8"/>
  <c r="B135" i="8"/>
  <c r="T134" i="8"/>
  <c r="S134" i="8"/>
  <c r="R134" i="8"/>
  <c r="Q134" i="8"/>
  <c r="P134" i="8"/>
  <c r="O134" i="8"/>
  <c r="N134" i="8"/>
  <c r="M134" i="8"/>
  <c r="L134" i="8"/>
  <c r="K134" i="8"/>
  <c r="I134" i="8"/>
  <c r="J134" i="8" s="1"/>
  <c r="H134" i="8"/>
  <c r="G134" i="8"/>
  <c r="F134" i="8"/>
  <c r="E134" i="8"/>
  <c r="D134" i="8"/>
  <c r="B134" i="8"/>
  <c r="T133" i="8"/>
  <c r="S133" i="8"/>
  <c r="R133" i="8"/>
  <c r="Q133" i="8"/>
  <c r="P133" i="8"/>
  <c r="O133" i="8"/>
  <c r="N133" i="8"/>
  <c r="M133" i="8"/>
  <c r="L133" i="8"/>
  <c r="K133" i="8"/>
  <c r="I133" i="8"/>
  <c r="J133" i="8" s="1"/>
  <c r="AY133" i="8" s="1"/>
  <c r="H133" i="8"/>
  <c r="G133" i="8"/>
  <c r="F133" i="8"/>
  <c r="E133" i="8"/>
  <c r="D133" i="8"/>
  <c r="B133" i="8"/>
  <c r="T132" i="8"/>
  <c r="S132" i="8"/>
  <c r="R132" i="8"/>
  <c r="Q132" i="8"/>
  <c r="P132" i="8"/>
  <c r="O132" i="8"/>
  <c r="N132" i="8"/>
  <c r="M132" i="8"/>
  <c r="L132" i="8"/>
  <c r="K132" i="8"/>
  <c r="I132" i="8"/>
  <c r="J132" i="8" s="1"/>
  <c r="AY132" i="8" s="1"/>
  <c r="H132" i="8"/>
  <c r="G132" i="8"/>
  <c r="F132" i="8"/>
  <c r="E132" i="8"/>
  <c r="D132" i="8"/>
  <c r="B132" i="8"/>
  <c r="T131" i="8"/>
  <c r="S131" i="8"/>
  <c r="R131" i="8"/>
  <c r="Q131" i="8"/>
  <c r="P131" i="8"/>
  <c r="O131" i="8"/>
  <c r="N131" i="8"/>
  <c r="M131" i="8"/>
  <c r="L131" i="8"/>
  <c r="K131" i="8"/>
  <c r="I131" i="8"/>
  <c r="J131" i="8" s="1"/>
  <c r="H131" i="8"/>
  <c r="G131" i="8"/>
  <c r="F131" i="8"/>
  <c r="E131" i="8"/>
  <c r="D131" i="8"/>
  <c r="B131" i="8"/>
  <c r="T130" i="8"/>
  <c r="S130" i="8"/>
  <c r="R130" i="8"/>
  <c r="Q130" i="8"/>
  <c r="P130" i="8"/>
  <c r="O130" i="8"/>
  <c r="N130" i="8"/>
  <c r="M130" i="8"/>
  <c r="L130" i="8"/>
  <c r="K130" i="8"/>
  <c r="I130" i="8"/>
  <c r="J130" i="8" s="1"/>
  <c r="H130" i="8"/>
  <c r="G130" i="8"/>
  <c r="F130" i="8"/>
  <c r="E130" i="8"/>
  <c r="D130" i="8"/>
  <c r="B130" i="8"/>
  <c r="T129" i="8"/>
  <c r="S129" i="8"/>
  <c r="R129" i="8"/>
  <c r="Q129" i="8"/>
  <c r="P129" i="8"/>
  <c r="O129" i="8"/>
  <c r="N129" i="8"/>
  <c r="M129" i="8"/>
  <c r="L129" i="8"/>
  <c r="K129" i="8"/>
  <c r="I129" i="8"/>
  <c r="J129" i="8" s="1"/>
  <c r="H129" i="8"/>
  <c r="G129" i="8"/>
  <c r="F129" i="8"/>
  <c r="E129" i="8"/>
  <c r="D129" i="8"/>
  <c r="B129" i="8"/>
  <c r="T128" i="8"/>
  <c r="S128" i="8"/>
  <c r="R128" i="8"/>
  <c r="Q128" i="8"/>
  <c r="P128" i="8"/>
  <c r="O128" i="8"/>
  <c r="N128" i="8"/>
  <c r="M128" i="8"/>
  <c r="L128" i="8"/>
  <c r="K128" i="8"/>
  <c r="I128" i="8"/>
  <c r="J128" i="8" s="1"/>
  <c r="AY128" i="8" s="1"/>
  <c r="H128" i="8"/>
  <c r="G128" i="8"/>
  <c r="F128" i="8"/>
  <c r="E128" i="8"/>
  <c r="D128" i="8"/>
  <c r="B128" i="8"/>
  <c r="T127" i="8"/>
  <c r="S127" i="8"/>
  <c r="R127" i="8"/>
  <c r="Q127" i="8"/>
  <c r="P127" i="8"/>
  <c r="O127" i="8"/>
  <c r="N127" i="8"/>
  <c r="M127" i="8"/>
  <c r="L127" i="8"/>
  <c r="K127" i="8"/>
  <c r="I127" i="8"/>
  <c r="J127" i="8" s="1"/>
  <c r="AY127" i="8" s="1"/>
  <c r="H127" i="8"/>
  <c r="G127" i="8"/>
  <c r="F127" i="8"/>
  <c r="E127" i="8"/>
  <c r="D127" i="8"/>
  <c r="B127" i="8"/>
  <c r="T126" i="8"/>
  <c r="S126" i="8"/>
  <c r="R126" i="8"/>
  <c r="Q126" i="8"/>
  <c r="P126" i="8"/>
  <c r="O126" i="8"/>
  <c r="N126" i="8"/>
  <c r="M126" i="8"/>
  <c r="L126" i="8"/>
  <c r="K126" i="8"/>
  <c r="I126" i="8"/>
  <c r="J126" i="8" s="1"/>
  <c r="H126" i="8"/>
  <c r="G126" i="8"/>
  <c r="F126" i="8"/>
  <c r="E126" i="8"/>
  <c r="D126" i="8"/>
  <c r="B126" i="8"/>
  <c r="T125" i="8"/>
  <c r="S125" i="8"/>
  <c r="R125" i="8"/>
  <c r="Q125" i="8"/>
  <c r="P125" i="8"/>
  <c r="O125" i="8"/>
  <c r="N125" i="8"/>
  <c r="M125" i="8"/>
  <c r="L125" i="8"/>
  <c r="K125" i="8"/>
  <c r="I125" i="8"/>
  <c r="J125" i="8" s="1"/>
  <c r="AY125" i="8" s="1"/>
  <c r="H125" i="8"/>
  <c r="G125" i="8"/>
  <c r="F125" i="8"/>
  <c r="E125" i="8"/>
  <c r="D125" i="8"/>
  <c r="B125" i="8"/>
  <c r="T124" i="8"/>
  <c r="S124" i="8"/>
  <c r="R124" i="8"/>
  <c r="Q124" i="8"/>
  <c r="P124" i="8"/>
  <c r="O124" i="8"/>
  <c r="N124" i="8"/>
  <c r="M124" i="8"/>
  <c r="L124" i="8"/>
  <c r="K124" i="8"/>
  <c r="I124" i="8"/>
  <c r="J124" i="8" s="1"/>
  <c r="H124" i="8"/>
  <c r="G124" i="8"/>
  <c r="F124" i="8"/>
  <c r="E124" i="8"/>
  <c r="D124" i="8"/>
  <c r="B124" i="8"/>
  <c r="T123" i="8"/>
  <c r="S123" i="8"/>
  <c r="R123" i="8"/>
  <c r="Q123" i="8"/>
  <c r="P123" i="8"/>
  <c r="O123" i="8"/>
  <c r="N123" i="8"/>
  <c r="M123" i="8"/>
  <c r="L123" i="8"/>
  <c r="K123" i="8"/>
  <c r="I123" i="8"/>
  <c r="J123" i="8" s="1"/>
  <c r="AY123" i="8" s="1"/>
  <c r="H123" i="8"/>
  <c r="G123" i="8"/>
  <c r="F123" i="8"/>
  <c r="E123" i="8"/>
  <c r="D123" i="8"/>
  <c r="B123" i="8"/>
  <c r="T122" i="8"/>
  <c r="S122" i="8"/>
  <c r="R122" i="8"/>
  <c r="Q122" i="8"/>
  <c r="P122" i="8"/>
  <c r="O122" i="8"/>
  <c r="N122" i="8"/>
  <c r="M122" i="8"/>
  <c r="L122" i="8"/>
  <c r="K122" i="8"/>
  <c r="I122" i="8"/>
  <c r="J122" i="8" s="1"/>
  <c r="AY122" i="8" s="1"/>
  <c r="H122" i="8"/>
  <c r="G122" i="8"/>
  <c r="F122" i="8"/>
  <c r="E122" i="8"/>
  <c r="D122" i="8"/>
  <c r="B122" i="8"/>
  <c r="T121" i="8"/>
  <c r="S121" i="8"/>
  <c r="R121" i="8"/>
  <c r="Q121" i="8"/>
  <c r="P121" i="8"/>
  <c r="O121" i="8"/>
  <c r="N121" i="8"/>
  <c r="M121" i="8"/>
  <c r="L121" i="8"/>
  <c r="K121" i="8"/>
  <c r="I121" i="8"/>
  <c r="J121" i="8" s="1"/>
  <c r="H121" i="8"/>
  <c r="G121" i="8"/>
  <c r="F121" i="8"/>
  <c r="E121" i="8"/>
  <c r="D121" i="8"/>
  <c r="B121" i="8"/>
  <c r="T120" i="8"/>
  <c r="S120" i="8"/>
  <c r="R120" i="8"/>
  <c r="Q120" i="8"/>
  <c r="P120" i="8"/>
  <c r="O120" i="8"/>
  <c r="N120" i="8"/>
  <c r="M120" i="8"/>
  <c r="L120" i="8"/>
  <c r="K120" i="8"/>
  <c r="I120" i="8"/>
  <c r="J120" i="8" s="1"/>
  <c r="H120" i="8"/>
  <c r="G120" i="8"/>
  <c r="F120" i="8"/>
  <c r="E120" i="8"/>
  <c r="D120" i="8"/>
  <c r="B120" i="8"/>
  <c r="T119" i="8"/>
  <c r="S119" i="8"/>
  <c r="R119" i="8"/>
  <c r="Q119" i="8"/>
  <c r="P119" i="8"/>
  <c r="O119" i="8"/>
  <c r="N119" i="8"/>
  <c r="M119" i="8"/>
  <c r="L119" i="8"/>
  <c r="K119" i="8"/>
  <c r="I119" i="8"/>
  <c r="J119" i="8" s="1"/>
  <c r="H119" i="8"/>
  <c r="G119" i="8"/>
  <c r="F119" i="8"/>
  <c r="E119" i="8"/>
  <c r="D119" i="8"/>
  <c r="B119" i="8"/>
  <c r="T118" i="8"/>
  <c r="S118" i="8"/>
  <c r="R118" i="8"/>
  <c r="Q118" i="8"/>
  <c r="P118" i="8"/>
  <c r="O118" i="8"/>
  <c r="N118" i="8"/>
  <c r="M118" i="8"/>
  <c r="L118" i="8"/>
  <c r="K118" i="8"/>
  <c r="I118" i="8"/>
  <c r="J118" i="8" s="1"/>
  <c r="H118" i="8"/>
  <c r="G118" i="8"/>
  <c r="F118" i="8"/>
  <c r="E118" i="8"/>
  <c r="D118" i="8"/>
  <c r="B118" i="8"/>
  <c r="T117" i="8"/>
  <c r="S117" i="8"/>
  <c r="R117" i="8"/>
  <c r="Q117" i="8"/>
  <c r="P117" i="8"/>
  <c r="O117" i="8"/>
  <c r="N117" i="8"/>
  <c r="M117" i="8"/>
  <c r="L117" i="8"/>
  <c r="K117" i="8"/>
  <c r="I117" i="8"/>
  <c r="J117" i="8" s="1"/>
  <c r="H117" i="8"/>
  <c r="G117" i="8"/>
  <c r="F117" i="8"/>
  <c r="E117" i="8"/>
  <c r="D117" i="8"/>
  <c r="B117" i="8"/>
  <c r="T116" i="8"/>
  <c r="S116" i="8"/>
  <c r="R116" i="8"/>
  <c r="Q116" i="8"/>
  <c r="P116" i="8"/>
  <c r="O116" i="8"/>
  <c r="N116" i="8"/>
  <c r="M116" i="8"/>
  <c r="L116" i="8"/>
  <c r="K116" i="8"/>
  <c r="I116" i="8"/>
  <c r="J116" i="8" s="1"/>
  <c r="H116" i="8"/>
  <c r="G116" i="8"/>
  <c r="F116" i="8"/>
  <c r="E116" i="8"/>
  <c r="D116" i="8"/>
  <c r="B116" i="8"/>
  <c r="T115" i="8"/>
  <c r="S115" i="8"/>
  <c r="R115" i="8"/>
  <c r="Q115" i="8"/>
  <c r="P115" i="8"/>
  <c r="O115" i="8"/>
  <c r="N115" i="8"/>
  <c r="M115" i="8"/>
  <c r="L115" i="8"/>
  <c r="K115" i="8"/>
  <c r="I115" i="8"/>
  <c r="J115" i="8" s="1"/>
  <c r="H115" i="8"/>
  <c r="G115" i="8"/>
  <c r="F115" i="8"/>
  <c r="E115" i="8"/>
  <c r="D115" i="8"/>
  <c r="B115" i="8"/>
  <c r="T114" i="8"/>
  <c r="S114" i="8"/>
  <c r="R114" i="8"/>
  <c r="Q114" i="8"/>
  <c r="P114" i="8"/>
  <c r="O114" i="8"/>
  <c r="N114" i="8"/>
  <c r="M114" i="8"/>
  <c r="L114" i="8"/>
  <c r="K114" i="8"/>
  <c r="I114" i="8"/>
  <c r="J114" i="8" s="1"/>
  <c r="H114" i="8"/>
  <c r="G114" i="8"/>
  <c r="F114" i="8"/>
  <c r="E114" i="8"/>
  <c r="D114" i="8"/>
  <c r="B114" i="8"/>
  <c r="T113" i="8"/>
  <c r="S113" i="8"/>
  <c r="R113" i="8"/>
  <c r="Q113" i="8"/>
  <c r="P113" i="8"/>
  <c r="O113" i="8"/>
  <c r="N113" i="8"/>
  <c r="M113" i="8"/>
  <c r="L113" i="8"/>
  <c r="K113" i="8"/>
  <c r="I113" i="8"/>
  <c r="J113" i="8" s="1"/>
  <c r="H113" i="8"/>
  <c r="G113" i="8"/>
  <c r="F113" i="8"/>
  <c r="E113" i="8"/>
  <c r="D113" i="8"/>
  <c r="B113" i="8"/>
  <c r="T112" i="8"/>
  <c r="S112" i="8"/>
  <c r="R112" i="8"/>
  <c r="Q112" i="8"/>
  <c r="P112" i="8"/>
  <c r="O112" i="8"/>
  <c r="N112" i="8"/>
  <c r="M112" i="8"/>
  <c r="L112" i="8"/>
  <c r="K112" i="8"/>
  <c r="I112" i="8"/>
  <c r="J112" i="8" s="1"/>
  <c r="H112" i="8"/>
  <c r="G112" i="8"/>
  <c r="F112" i="8"/>
  <c r="E112" i="8"/>
  <c r="D112" i="8"/>
  <c r="B112" i="8"/>
  <c r="T111" i="8"/>
  <c r="S111" i="8"/>
  <c r="R111" i="8"/>
  <c r="Q111" i="8"/>
  <c r="P111" i="8"/>
  <c r="O111" i="8"/>
  <c r="N111" i="8"/>
  <c r="M111" i="8"/>
  <c r="L111" i="8"/>
  <c r="K111" i="8"/>
  <c r="I111" i="8"/>
  <c r="J111" i="8" s="1"/>
  <c r="H111" i="8"/>
  <c r="G111" i="8"/>
  <c r="F111" i="8"/>
  <c r="E111" i="8"/>
  <c r="D111" i="8"/>
  <c r="B111" i="8"/>
  <c r="T110" i="8"/>
  <c r="S110" i="8"/>
  <c r="R110" i="8"/>
  <c r="Q110" i="8"/>
  <c r="P110" i="8"/>
  <c r="O110" i="8"/>
  <c r="N110" i="8"/>
  <c r="M110" i="8"/>
  <c r="L110" i="8"/>
  <c r="K110" i="8"/>
  <c r="I110" i="8"/>
  <c r="J110" i="8" s="1"/>
  <c r="H110" i="8"/>
  <c r="G110" i="8"/>
  <c r="F110" i="8"/>
  <c r="E110" i="8"/>
  <c r="D110" i="8"/>
  <c r="B110" i="8"/>
  <c r="T109" i="8"/>
  <c r="S109" i="8"/>
  <c r="R109" i="8"/>
  <c r="Q109" i="8"/>
  <c r="P109" i="8"/>
  <c r="O109" i="8"/>
  <c r="N109" i="8"/>
  <c r="M109" i="8"/>
  <c r="L109" i="8"/>
  <c r="K109" i="8"/>
  <c r="I109" i="8"/>
  <c r="J109" i="8" s="1"/>
  <c r="H109" i="8"/>
  <c r="G109" i="8"/>
  <c r="F109" i="8"/>
  <c r="E109" i="8"/>
  <c r="D109" i="8"/>
  <c r="B109" i="8"/>
  <c r="T108" i="8"/>
  <c r="S108" i="8"/>
  <c r="R108" i="8"/>
  <c r="Q108" i="8"/>
  <c r="P108" i="8"/>
  <c r="O108" i="8"/>
  <c r="N108" i="8"/>
  <c r="M108" i="8"/>
  <c r="L108" i="8"/>
  <c r="K108" i="8"/>
  <c r="I108" i="8"/>
  <c r="J108" i="8" s="1"/>
  <c r="H108" i="8"/>
  <c r="G108" i="8"/>
  <c r="F108" i="8"/>
  <c r="E108" i="8"/>
  <c r="D108" i="8"/>
  <c r="B108" i="8"/>
  <c r="T107" i="8"/>
  <c r="S107" i="8"/>
  <c r="R107" i="8"/>
  <c r="Q107" i="8"/>
  <c r="P107" i="8"/>
  <c r="O107" i="8"/>
  <c r="N107" i="8"/>
  <c r="M107" i="8"/>
  <c r="L107" i="8"/>
  <c r="K107" i="8"/>
  <c r="I107" i="8"/>
  <c r="J107" i="8" s="1"/>
  <c r="AY107" i="8" s="1"/>
  <c r="H107" i="8"/>
  <c r="G107" i="8"/>
  <c r="F107" i="8"/>
  <c r="E107" i="8"/>
  <c r="D107" i="8"/>
  <c r="B107" i="8"/>
  <c r="T106" i="8"/>
  <c r="S106" i="8"/>
  <c r="R106" i="8"/>
  <c r="Q106" i="8"/>
  <c r="P106" i="8"/>
  <c r="O106" i="8"/>
  <c r="N106" i="8"/>
  <c r="M106" i="8"/>
  <c r="L106" i="8"/>
  <c r="K106" i="8"/>
  <c r="I106" i="8"/>
  <c r="J106" i="8" s="1"/>
  <c r="H106" i="8"/>
  <c r="G106" i="8"/>
  <c r="F106" i="8"/>
  <c r="E106" i="8"/>
  <c r="D106" i="8"/>
  <c r="B106" i="8"/>
  <c r="T105" i="8"/>
  <c r="S105" i="8"/>
  <c r="R105" i="8"/>
  <c r="Q105" i="8"/>
  <c r="P105" i="8"/>
  <c r="O105" i="8"/>
  <c r="N105" i="8"/>
  <c r="M105" i="8"/>
  <c r="L105" i="8"/>
  <c r="K105" i="8"/>
  <c r="I105" i="8"/>
  <c r="J105" i="8" s="1"/>
  <c r="AY105" i="8" s="1"/>
  <c r="H105" i="8"/>
  <c r="G105" i="8"/>
  <c r="F105" i="8"/>
  <c r="E105" i="8"/>
  <c r="D105" i="8"/>
  <c r="B105" i="8"/>
  <c r="T104" i="8"/>
  <c r="S104" i="8"/>
  <c r="R104" i="8"/>
  <c r="Q104" i="8"/>
  <c r="P104" i="8"/>
  <c r="O104" i="8"/>
  <c r="N104" i="8"/>
  <c r="M104" i="8"/>
  <c r="L104" i="8"/>
  <c r="K104" i="8"/>
  <c r="I104" i="8"/>
  <c r="J104" i="8" s="1"/>
  <c r="H104" i="8"/>
  <c r="G104" i="8"/>
  <c r="F104" i="8"/>
  <c r="E104" i="8"/>
  <c r="D104" i="8"/>
  <c r="B104" i="8"/>
  <c r="T103" i="8"/>
  <c r="S103" i="8"/>
  <c r="R103" i="8"/>
  <c r="Q103" i="8"/>
  <c r="P103" i="8"/>
  <c r="O103" i="8"/>
  <c r="N103" i="8"/>
  <c r="M103" i="8"/>
  <c r="L103" i="8"/>
  <c r="K103" i="8"/>
  <c r="I103" i="8"/>
  <c r="J103" i="8" s="1"/>
  <c r="H103" i="8"/>
  <c r="G103" i="8"/>
  <c r="F103" i="8"/>
  <c r="E103" i="8"/>
  <c r="D103" i="8"/>
  <c r="B103" i="8"/>
  <c r="T102" i="8"/>
  <c r="S102" i="8"/>
  <c r="R102" i="8"/>
  <c r="Q102" i="8"/>
  <c r="P102" i="8"/>
  <c r="O102" i="8"/>
  <c r="N102" i="8"/>
  <c r="M102" i="8"/>
  <c r="L102" i="8"/>
  <c r="K102" i="8"/>
  <c r="I102" i="8"/>
  <c r="J102" i="8" s="1"/>
  <c r="H102" i="8"/>
  <c r="G102" i="8"/>
  <c r="F102" i="8"/>
  <c r="E102" i="8"/>
  <c r="D102" i="8"/>
  <c r="B102" i="8"/>
  <c r="T101" i="8"/>
  <c r="S101" i="8"/>
  <c r="R101" i="8"/>
  <c r="Q101" i="8"/>
  <c r="P101" i="8"/>
  <c r="O101" i="8"/>
  <c r="N101" i="8"/>
  <c r="M101" i="8"/>
  <c r="L101" i="8"/>
  <c r="K101" i="8"/>
  <c r="I101" i="8"/>
  <c r="J101" i="8" s="1"/>
  <c r="H101" i="8"/>
  <c r="G101" i="8"/>
  <c r="F101" i="8"/>
  <c r="E101" i="8"/>
  <c r="D101" i="8"/>
  <c r="B101" i="8"/>
  <c r="T100" i="8"/>
  <c r="S100" i="8"/>
  <c r="R100" i="8"/>
  <c r="Q100" i="8"/>
  <c r="P100" i="8"/>
  <c r="O100" i="8"/>
  <c r="N100" i="8"/>
  <c r="M100" i="8"/>
  <c r="L100" i="8"/>
  <c r="K100" i="8"/>
  <c r="I100" i="8"/>
  <c r="J100" i="8" s="1"/>
  <c r="H100" i="8"/>
  <c r="G100" i="8"/>
  <c r="F100" i="8"/>
  <c r="E100" i="8"/>
  <c r="D100" i="8"/>
  <c r="B100" i="8"/>
  <c r="T99" i="8"/>
  <c r="S99" i="8"/>
  <c r="R99" i="8"/>
  <c r="Q99" i="8"/>
  <c r="P99" i="8"/>
  <c r="O99" i="8"/>
  <c r="N99" i="8"/>
  <c r="M99" i="8"/>
  <c r="L99" i="8"/>
  <c r="K99" i="8"/>
  <c r="I99" i="8"/>
  <c r="J99" i="8" s="1"/>
  <c r="AY99" i="8" s="1"/>
  <c r="H99" i="8"/>
  <c r="G99" i="8"/>
  <c r="F99" i="8"/>
  <c r="E99" i="8"/>
  <c r="D99" i="8"/>
  <c r="B99" i="8"/>
  <c r="T98" i="8"/>
  <c r="S98" i="8"/>
  <c r="R98" i="8"/>
  <c r="Q98" i="8"/>
  <c r="P98" i="8"/>
  <c r="O98" i="8"/>
  <c r="N98" i="8"/>
  <c r="M98" i="8"/>
  <c r="L98" i="8"/>
  <c r="K98" i="8"/>
  <c r="I98" i="8"/>
  <c r="J98" i="8" s="1"/>
  <c r="H98" i="8"/>
  <c r="G98" i="8"/>
  <c r="F98" i="8"/>
  <c r="E98" i="8"/>
  <c r="D98" i="8"/>
  <c r="B98" i="8"/>
  <c r="C98" i="8" s="1"/>
  <c r="T97" i="8"/>
  <c r="S97" i="8"/>
  <c r="R97" i="8"/>
  <c r="Q97" i="8"/>
  <c r="P97" i="8"/>
  <c r="O97" i="8"/>
  <c r="N97" i="8"/>
  <c r="M97" i="8"/>
  <c r="L97" i="8"/>
  <c r="K97" i="8"/>
  <c r="I97" i="8"/>
  <c r="J97" i="8" s="1"/>
  <c r="AY97" i="8" s="1"/>
  <c r="H97" i="8"/>
  <c r="G97" i="8"/>
  <c r="F97" i="8"/>
  <c r="E97" i="8"/>
  <c r="D97" i="8"/>
  <c r="B97" i="8"/>
  <c r="T96" i="8"/>
  <c r="S96" i="8"/>
  <c r="R96" i="8"/>
  <c r="Q96" i="8"/>
  <c r="P96" i="8"/>
  <c r="O96" i="8"/>
  <c r="N96" i="8"/>
  <c r="M96" i="8"/>
  <c r="L96" i="8"/>
  <c r="K96" i="8"/>
  <c r="I96" i="8"/>
  <c r="J96" i="8" s="1"/>
  <c r="AY96" i="8" s="1"/>
  <c r="H96" i="8"/>
  <c r="G96" i="8"/>
  <c r="F96" i="8"/>
  <c r="E96" i="8"/>
  <c r="D96" i="8"/>
  <c r="B96" i="8"/>
  <c r="T95" i="8"/>
  <c r="S95" i="8"/>
  <c r="R95" i="8"/>
  <c r="Q95" i="8"/>
  <c r="P95" i="8"/>
  <c r="O95" i="8"/>
  <c r="N95" i="8"/>
  <c r="M95" i="8"/>
  <c r="L95" i="8"/>
  <c r="K95" i="8"/>
  <c r="I95" i="8"/>
  <c r="J95" i="8" s="1"/>
  <c r="H95" i="8"/>
  <c r="G95" i="8"/>
  <c r="F95" i="8"/>
  <c r="E95" i="8"/>
  <c r="D95" i="8"/>
  <c r="B95" i="8"/>
  <c r="T94" i="8"/>
  <c r="S94" i="8"/>
  <c r="R94" i="8"/>
  <c r="Q94" i="8"/>
  <c r="P94" i="8"/>
  <c r="O94" i="8"/>
  <c r="N94" i="8"/>
  <c r="M94" i="8"/>
  <c r="L94" i="8"/>
  <c r="K94" i="8"/>
  <c r="I94" i="8"/>
  <c r="J94" i="8" s="1"/>
  <c r="AY94" i="8" s="1"/>
  <c r="H94" i="8"/>
  <c r="G94" i="8"/>
  <c r="F94" i="8"/>
  <c r="E94" i="8"/>
  <c r="D94" i="8"/>
  <c r="B94" i="8"/>
  <c r="T93" i="8"/>
  <c r="S93" i="8"/>
  <c r="R93" i="8"/>
  <c r="Q93" i="8"/>
  <c r="P93" i="8"/>
  <c r="O93" i="8"/>
  <c r="N93" i="8"/>
  <c r="M93" i="8"/>
  <c r="L93" i="8"/>
  <c r="K93" i="8"/>
  <c r="I93" i="8"/>
  <c r="J93" i="8" s="1"/>
  <c r="AY93" i="8" s="1"/>
  <c r="H93" i="8"/>
  <c r="G93" i="8"/>
  <c r="F93" i="8"/>
  <c r="E93" i="8"/>
  <c r="D93" i="8"/>
  <c r="B93" i="8"/>
  <c r="T92" i="8"/>
  <c r="S92" i="8"/>
  <c r="R92" i="8"/>
  <c r="Q92" i="8"/>
  <c r="P92" i="8"/>
  <c r="O92" i="8"/>
  <c r="N92" i="8"/>
  <c r="M92" i="8"/>
  <c r="L92" i="8"/>
  <c r="K92" i="8"/>
  <c r="I92" i="8"/>
  <c r="J92" i="8" s="1"/>
  <c r="H92" i="8"/>
  <c r="G92" i="8"/>
  <c r="F92" i="8"/>
  <c r="E92" i="8"/>
  <c r="D92" i="8"/>
  <c r="B92" i="8"/>
  <c r="T91" i="8"/>
  <c r="S91" i="8"/>
  <c r="R91" i="8"/>
  <c r="Q91" i="8"/>
  <c r="P91" i="8"/>
  <c r="O91" i="8"/>
  <c r="N91" i="8"/>
  <c r="M91" i="8"/>
  <c r="L91" i="8"/>
  <c r="K91" i="8"/>
  <c r="I91" i="8"/>
  <c r="J91" i="8" s="1"/>
  <c r="AY91" i="8" s="1"/>
  <c r="H91" i="8"/>
  <c r="G91" i="8"/>
  <c r="F91" i="8"/>
  <c r="E91" i="8"/>
  <c r="D91" i="8"/>
  <c r="B91" i="8"/>
  <c r="T90" i="8"/>
  <c r="S90" i="8"/>
  <c r="R90" i="8"/>
  <c r="Q90" i="8"/>
  <c r="P90" i="8"/>
  <c r="O90" i="8"/>
  <c r="N90" i="8"/>
  <c r="M90" i="8"/>
  <c r="L90" i="8"/>
  <c r="K90" i="8"/>
  <c r="I90" i="8"/>
  <c r="J90" i="8" s="1"/>
  <c r="AY90" i="8" s="1"/>
  <c r="H90" i="8"/>
  <c r="G90" i="8"/>
  <c r="F90" i="8"/>
  <c r="E90" i="8"/>
  <c r="D90" i="8"/>
  <c r="B90" i="8"/>
  <c r="T89" i="8"/>
  <c r="S89" i="8"/>
  <c r="R89" i="8"/>
  <c r="Q89" i="8"/>
  <c r="P89" i="8"/>
  <c r="O89" i="8"/>
  <c r="N89" i="8"/>
  <c r="M89" i="8"/>
  <c r="L89" i="8"/>
  <c r="K89" i="8"/>
  <c r="I89" i="8"/>
  <c r="J89" i="8" s="1"/>
  <c r="AY89" i="8" s="1"/>
  <c r="H89" i="8"/>
  <c r="G89" i="8"/>
  <c r="F89" i="8"/>
  <c r="E89" i="8"/>
  <c r="D89" i="8"/>
  <c r="B89" i="8"/>
  <c r="T88" i="8"/>
  <c r="S88" i="8"/>
  <c r="R88" i="8"/>
  <c r="Q88" i="8"/>
  <c r="P88" i="8"/>
  <c r="O88" i="8"/>
  <c r="N88" i="8"/>
  <c r="M88" i="8"/>
  <c r="L88" i="8"/>
  <c r="K88" i="8"/>
  <c r="I88" i="8"/>
  <c r="J88" i="8" s="1"/>
  <c r="AY88" i="8" s="1"/>
  <c r="H88" i="8"/>
  <c r="G88" i="8"/>
  <c r="F88" i="8"/>
  <c r="E88" i="8"/>
  <c r="D88" i="8"/>
  <c r="B88" i="8"/>
  <c r="T87" i="8"/>
  <c r="S87" i="8"/>
  <c r="R87" i="8"/>
  <c r="Q87" i="8"/>
  <c r="P87" i="8"/>
  <c r="O87" i="8"/>
  <c r="N87" i="8"/>
  <c r="M87" i="8"/>
  <c r="L87" i="8"/>
  <c r="K87" i="8"/>
  <c r="I87" i="8"/>
  <c r="J87" i="8" s="1"/>
  <c r="AY87" i="8" s="1"/>
  <c r="H87" i="8"/>
  <c r="G87" i="8"/>
  <c r="F87" i="8"/>
  <c r="E87" i="8"/>
  <c r="D87" i="8"/>
  <c r="B87" i="8"/>
  <c r="T86" i="8"/>
  <c r="S86" i="8"/>
  <c r="R86" i="8"/>
  <c r="Q86" i="8"/>
  <c r="P86" i="8"/>
  <c r="O86" i="8"/>
  <c r="N86" i="8"/>
  <c r="M86" i="8"/>
  <c r="L86" i="8"/>
  <c r="K86" i="8"/>
  <c r="I86" i="8"/>
  <c r="J86" i="8" s="1"/>
  <c r="H86" i="8"/>
  <c r="G86" i="8"/>
  <c r="F86" i="8"/>
  <c r="E86" i="8"/>
  <c r="D86" i="8"/>
  <c r="B86" i="8"/>
  <c r="T85" i="8"/>
  <c r="S85" i="8"/>
  <c r="R85" i="8"/>
  <c r="Q85" i="8"/>
  <c r="P85" i="8"/>
  <c r="O85" i="8"/>
  <c r="N85" i="8"/>
  <c r="M85" i="8"/>
  <c r="L85" i="8"/>
  <c r="K85" i="8"/>
  <c r="I85" i="8"/>
  <c r="J85" i="8" s="1"/>
  <c r="H85" i="8"/>
  <c r="G85" i="8"/>
  <c r="F85" i="8"/>
  <c r="E85" i="8"/>
  <c r="D85" i="8"/>
  <c r="B85" i="8"/>
  <c r="T84" i="8"/>
  <c r="S84" i="8"/>
  <c r="R84" i="8"/>
  <c r="Q84" i="8"/>
  <c r="P84" i="8"/>
  <c r="O84" i="8"/>
  <c r="N84" i="8"/>
  <c r="M84" i="8"/>
  <c r="L84" i="8"/>
  <c r="K84" i="8"/>
  <c r="I84" i="8"/>
  <c r="J84" i="8" s="1"/>
  <c r="H84" i="8"/>
  <c r="G84" i="8"/>
  <c r="F84" i="8"/>
  <c r="E84" i="8"/>
  <c r="D84" i="8"/>
  <c r="B84" i="8"/>
  <c r="T83" i="8"/>
  <c r="S83" i="8"/>
  <c r="R83" i="8"/>
  <c r="Q83" i="8"/>
  <c r="P83" i="8"/>
  <c r="O83" i="8"/>
  <c r="N83" i="8"/>
  <c r="M83" i="8"/>
  <c r="L83" i="8"/>
  <c r="K83" i="8"/>
  <c r="I83" i="8"/>
  <c r="J83" i="8" s="1"/>
  <c r="H83" i="8"/>
  <c r="G83" i="8"/>
  <c r="F83" i="8"/>
  <c r="E83" i="8"/>
  <c r="D83" i="8"/>
  <c r="B83" i="8"/>
  <c r="T82" i="8"/>
  <c r="S82" i="8"/>
  <c r="R82" i="8"/>
  <c r="Q82" i="8"/>
  <c r="P82" i="8"/>
  <c r="O82" i="8"/>
  <c r="N82" i="8"/>
  <c r="M82" i="8"/>
  <c r="L82" i="8"/>
  <c r="K82" i="8"/>
  <c r="I82" i="8"/>
  <c r="J82" i="8" s="1"/>
  <c r="H82" i="8"/>
  <c r="G82" i="8"/>
  <c r="F82" i="8"/>
  <c r="E82" i="8"/>
  <c r="D82" i="8"/>
  <c r="B82" i="8"/>
  <c r="T81" i="8"/>
  <c r="S81" i="8"/>
  <c r="R81" i="8"/>
  <c r="Q81" i="8"/>
  <c r="P81" i="8"/>
  <c r="O81" i="8"/>
  <c r="N81" i="8"/>
  <c r="M81" i="8"/>
  <c r="L81" i="8"/>
  <c r="K81" i="8"/>
  <c r="I81" i="8"/>
  <c r="J81" i="8" s="1"/>
  <c r="H81" i="8"/>
  <c r="G81" i="8"/>
  <c r="F81" i="8"/>
  <c r="E81" i="8"/>
  <c r="D81" i="8"/>
  <c r="B81" i="8"/>
  <c r="T80" i="8"/>
  <c r="S80" i="8"/>
  <c r="R80" i="8"/>
  <c r="Q80" i="8"/>
  <c r="P80" i="8"/>
  <c r="O80" i="8"/>
  <c r="N80" i="8"/>
  <c r="M80" i="8"/>
  <c r="L80" i="8"/>
  <c r="K80" i="8"/>
  <c r="I80" i="8"/>
  <c r="J80" i="8" s="1"/>
  <c r="AY80" i="8" s="1"/>
  <c r="H80" i="8"/>
  <c r="G80" i="8"/>
  <c r="F80" i="8"/>
  <c r="E80" i="8"/>
  <c r="D80" i="8"/>
  <c r="B80" i="8"/>
  <c r="T79" i="8"/>
  <c r="S79" i="8"/>
  <c r="R79" i="8"/>
  <c r="Q79" i="8"/>
  <c r="P79" i="8"/>
  <c r="O79" i="8"/>
  <c r="N79" i="8"/>
  <c r="M79" i="8"/>
  <c r="L79" i="8"/>
  <c r="K79" i="8"/>
  <c r="I79" i="8"/>
  <c r="J79" i="8" s="1"/>
  <c r="AY79" i="8" s="1"/>
  <c r="H79" i="8"/>
  <c r="G79" i="8"/>
  <c r="F79" i="8"/>
  <c r="E79" i="8"/>
  <c r="D79" i="8"/>
  <c r="B79" i="8"/>
  <c r="T78" i="8"/>
  <c r="S78" i="8"/>
  <c r="R78" i="8"/>
  <c r="Q78" i="8"/>
  <c r="P78" i="8"/>
  <c r="O78" i="8"/>
  <c r="N78" i="8"/>
  <c r="M78" i="8"/>
  <c r="L78" i="8"/>
  <c r="K78" i="8"/>
  <c r="I78" i="8"/>
  <c r="J78" i="8" s="1"/>
  <c r="AY78" i="8" s="1"/>
  <c r="H78" i="8"/>
  <c r="G78" i="8"/>
  <c r="F78" i="8"/>
  <c r="E78" i="8"/>
  <c r="D78" i="8"/>
  <c r="B78" i="8"/>
  <c r="T77" i="8"/>
  <c r="S77" i="8"/>
  <c r="R77" i="8"/>
  <c r="Q77" i="8"/>
  <c r="P77" i="8"/>
  <c r="O77" i="8"/>
  <c r="N77" i="8"/>
  <c r="M77" i="8"/>
  <c r="L77" i="8"/>
  <c r="K77" i="8"/>
  <c r="I77" i="8"/>
  <c r="J77" i="8" s="1"/>
  <c r="H77" i="8"/>
  <c r="G77" i="8"/>
  <c r="F77" i="8"/>
  <c r="E77" i="8"/>
  <c r="D77" i="8"/>
  <c r="B77" i="8"/>
  <c r="T76" i="8"/>
  <c r="S76" i="8"/>
  <c r="R76" i="8"/>
  <c r="Q76" i="8"/>
  <c r="P76" i="8"/>
  <c r="O76" i="8"/>
  <c r="N76" i="8"/>
  <c r="M76" i="8"/>
  <c r="L76" i="8"/>
  <c r="K76" i="8"/>
  <c r="I76" i="8"/>
  <c r="J76" i="8" s="1"/>
  <c r="AY76" i="8" s="1"/>
  <c r="H76" i="8"/>
  <c r="G76" i="8"/>
  <c r="F76" i="8"/>
  <c r="E76" i="8"/>
  <c r="D76" i="8"/>
  <c r="B76" i="8"/>
  <c r="T75" i="8"/>
  <c r="S75" i="8"/>
  <c r="R75" i="8"/>
  <c r="Q75" i="8"/>
  <c r="P75" i="8"/>
  <c r="O75" i="8"/>
  <c r="N75" i="8"/>
  <c r="M75" i="8"/>
  <c r="L75" i="8"/>
  <c r="K75" i="8"/>
  <c r="I75" i="8"/>
  <c r="J75" i="8" s="1"/>
  <c r="H75" i="8"/>
  <c r="G75" i="8"/>
  <c r="F75" i="8"/>
  <c r="E75" i="8"/>
  <c r="D75" i="8"/>
  <c r="B75" i="8"/>
  <c r="T74" i="8"/>
  <c r="S74" i="8"/>
  <c r="R74" i="8"/>
  <c r="Q74" i="8"/>
  <c r="P74" i="8"/>
  <c r="O74" i="8"/>
  <c r="N74" i="8"/>
  <c r="M74" i="8"/>
  <c r="L74" i="8"/>
  <c r="K74" i="8"/>
  <c r="I74" i="8"/>
  <c r="J74" i="8" s="1"/>
  <c r="H74" i="8"/>
  <c r="G74" i="8"/>
  <c r="F74" i="8"/>
  <c r="E74" i="8"/>
  <c r="D74" i="8"/>
  <c r="B74" i="8"/>
  <c r="T73" i="8"/>
  <c r="S73" i="8"/>
  <c r="R73" i="8"/>
  <c r="Q73" i="8"/>
  <c r="P73" i="8"/>
  <c r="O73" i="8"/>
  <c r="N73" i="8"/>
  <c r="M73" i="8"/>
  <c r="L73" i="8"/>
  <c r="K73" i="8"/>
  <c r="I73" i="8"/>
  <c r="J73" i="8" s="1"/>
  <c r="H73" i="8"/>
  <c r="G73" i="8"/>
  <c r="F73" i="8"/>
  <c r="E73" i="8"/>
  <c r="D73" i="8"/>
  <c r="B73" i="8"/>
  <c r="T72" i="8"/>
  <c r="S72" i="8"/>
  <c r="R72" i="8"/>
  <c r="Q72" i="8"/>
  <c r="P72" i="8"/>
  <c r="O72" i="8"/>
  <c r="N72" i="8"/>
  <c r="M72" i="8"/>
  <c r="L72" i="8"/>
  <c r="K72" i="8"/>
  <c r="I72" i="8"/>
  <c r="J72" i="8" s="1"/>
  <c r="H72" i="8"/>
  <c r="G72" i="8"/>
  <c r="F72" i="8"/>
  <c r="E72" i="8"/>
  <c r="D72" i="8"/>
  <c r="B72" i="8"/>
  <c r="T71" i="8"/>
  <c r="S71" i="8"/>
  <c r="R71" i="8"/>
  <c r="Q71" i="8"/>
  <c r="P71" i="8"/>
  <c r="O71" i="8"/>
  <c r="N71" i="8"/>
  <c r="M71" i="8"/>
  <c r="L71" i="8"/>
  <c r="K71" i="8"/>
  <c r="I71" i="8"/>
  <c r="J71" i="8" s="1"/>
  <c r="H71" i="8"/>
  <c r="G71" i="8"/>
  <c r="F71" i="8"/>
  <c r="E71" i="8"/>
  <c r="D71" i="8"/>
  <c r="B71" i="8"/>
  <c r="T70" i="8"/>
  <c r="S70" i="8"/>
  <c r="R70" i="8"/>
  <c r="Q70" i="8"/>
  <c r="P70" i="8"/>
  <c r="O70" i="8"/>
  <c r="N70" i="8"/>
  <c r="M70" i="8"/>
  <c r="L70" i="8"/>
  <c r="K70" i="8"/>
  <c r="I70" i="8"/>
  <c r="J70" i="8" s="1"/>
  <c r="H70" i="8"/>
  <c r="G70" i="8"/>
  <c r="F70" i="8"/>
  <c r="E70" i="8"/>
  <c r="D70" i="8"/>
  <c r="B70" i="8"/>
  <c r="T69" i="8"/>
  <c r="S69" i="8"/>
  <c r="R69" i="8"/>
  <c r="Q69" i="8"/>
  <c r="P69" i="8"/>
  <c r="O69" i="8"/>
  <c r="N69" i="8"/>
  <c r="M69" i="8"/>
  <c r="L69" i="8"/>
  <c r="K69" i="8"/>
  <c r="I69" i="8"/>
  <c r="J69" i="8" s="1"/>
  <c r="AY69" i="8" s="1"/>
  <c r="H69" i="8"/>
  <c r="G69" i="8"/>
  <c r="F69" i="8"/>
  <c r="E69" i="8"/>
  <c r="D69" i="8"/>
  <c r="B69" i="8"/>
  <c r="T68" i="8"/>
  <c r="S68" i="8"/>
  <c r="R68" i="8"/>
  <c r="Q68" i="8"/>
  <c r="P68" i="8"/>
  <c r="O68" i="8"/>
  <c r="N68" i="8"/>
  <c r="M68" i="8"/>
  <c r="L68" i="8"/>
  <c r="K68" i="8"/>
  <c r="I68" i="8"/>
  <c r="J68" i="8" s="1"/>
  <c r="H68" i="8"/>
  <c r="G68" i="8"/>
  <c r="F68" i="8"/>
  <c r="E68" i="8"/>
  <c r="D68" i="8"/>
  <c r="B68" i="8"/>
  <c r="T67" i="8"/>
  <c r="S67" i="8"/>
  <c r="R67" i="8"/>
  <c r="Q67" i="8"/>
  <c r="P67" i="8"/>
  <c r="O67" i="8"/>
  <c r="N67" i="8"/>
  <c r="M67" i="8"/>
  <c r="L67" i="8"/>
  <c r="K67" i="8"/>
  <c r="I67" i="8"/>
  <c r="J67" i="8" s="1"/>
  <c r="AY67" i="8" s="1"/>
  <c r="H67" i="8"/>
  <c r="G67" i="8"/>
  <c r="F67" i="8"/>
  <c r="E67" i="8"/>
  <c r="D67" i="8"/>
  <c r="B67" i="8"/>
  <c r="T66" i="8"/>
  <c r="S66" i="8"/>
  <c r="R66" i="8"/>
  <c r="Q66" i="8"/>
  <c r="P66" i="8"/>
  <c r="O66" i="8"/>
  <c r="N66" i="8"/>
  <c r="M66" i="8"/>
  <c r="L66" i="8"/>
  <c r="K66" i="8"/>
  <c r="I66" i="8"/>
  <c r="J66" i="8" s="1"/>
  <c r="AY66" i="8" s="1"/>
  <c r="H66" i="8"/>
  <c r="G66" i="8"/>
  <c r="F66" i="8"/>
  <c r="E66" i="8"/>
  <c r="D66" i="8"/>
  <c r="B66" i="8"/>
  <c r="T65" i="8"/>
  <c r="S65" i="8"/>
  <c r="R65" i="8"/>
  <c r="Q65" i="8"/>
  <c r="P65" i="8"/>
  <c r="O65" i="8"/>
  <c r="N65" i="8"/>
  <c r="M65" i="8"/>
  <c r="L65" i="8"/>
  <c r="K65" i="8"/>
  <c r="I65" i="8"/>
  <c r="J65" i="8" s="1"/>
  <c r="AY65" i="8" s="1"/>
  <c r="H65" i="8"/>
  <c r="G65" i="8"/>
  <c r="F65" i="8"/>
  <c r="E65" i="8"/>
  <c r="D65" i="8"/>
  <c r="B65" i="8"/>
  <c r="T64" i="8"/>
  <c r="S64" i="8"/>
  <c r="R64" i="8"/>
  <c r="Q64" i="8"/>
  <c r="P64" i="8"/>
  <c r="O64" i="8"/>
  <c r="N64" i="8"/>
  <c r="M64" i="8"/>
  <c r="L64" i="8"/>
  <c r="K64" i="8"/>
  <c r="I64" i="8"/>
  <c r="J64" i="8" s="1"/>
  <c r="H64" i="8"/>
  <c r="G64" i="8"/>
  <c r="F64" i="8"/>
  <c r="E64" i="8"/>
  <c r="D64" i="8"/>
  <c r="B64" i="8"/>
  <c r="T63" i="8"/>
  <c r="S63" i="8"/>
  <c r="R63" i="8"/>
  <c r="Q63" i="8"/>
  <c r="P63" i="8"/>
  <c r="O63" i="8"/>
  <c r="N63" i="8"/>
  <c r="M63" i="8"/>
  <c r="L63" i="8"/>
  <c r="K63" i="8"/>
  <c r="I63" i="8"/>
  <c r="J63" i="8" s="1"/>
  <c r="AY63" i="8" s="1"/>
  <c r="H63" i="8"/>
  <c r="G63" i="8"/>
  <c r="F63" i="8"/>
  <c r="E63" i="8"/>
  <c r="D63" i="8"/>
  <c r="B63" i="8"/>
  <c r="T62" i="8"/>
  <c r="S62" i="8"/>
  <c r="R62" i="8"/>
  <c r="Q62" i="8"/>
  <c r="P62" i="8"/>
  <c r="O62" i="8"/>
  <c r="N62" i="8"/>
  <c r="M62" i="8"/>
  <c r="L62" i="8"/>
  <c r="K62" i="8"/>
  <c r="I62" i="8"/>
  <c r="J62" i="8" s="1"/>
  <c r="AY62" i="8" s="1"/>
  <c r="H62" i="8"/>
  <c r="G62" i="8"/>
  <c r="F62" i="8"/>
  <c r="E62" i="8"/>
  <c r="D62" i="8"/>
  <c r="B62" i="8"/>
  <c r="T61" i="8"/>
  <c r="S61" i="8"/>
  <c r="R61" i="8"/>
  <c r="Q61" i="8"/>
  <c r="P61" i="8"/>
  <c r="O61" i="8"/>
  <c r="N61" i="8"/>
  <c r="M61" i="8"/>
  <c r="L61" i="8"/>
  <c r="K61" i="8"/>
  <c r="I61" i="8"/>
  <c r="J61" i="8" s="1"/>
  <c r="AY61" i="8" s="1"/>
  <c r="H61" i="8"/>
  <c r="G61" i="8"/>
  <c r="F61" i="8"/>
  <c r="E61" i="8"/>
  <c r="D61" i="8"/>
  <c r="B61" i="8"/>
  <c r="T60" i="8"/>
  <c r="S60" i="8"/>
  <c r="R60" i="8"/>
  <c r="Q60" i="8"/>
  <c r="P60" i="8"/>
  <c r="O60" i="8"/>
  <c r="N60" i="8"/>
  <c r="M60" i="8"/>
  <c r="L60" i="8"/>
  <c r="K60" i="8"/>
  <c r="I60" i="8"/>
  <c r="J60" i="8" s="1"/>
  <c r="H60" i="8"/>
  <c r="G60" i="8"/>
  <c r="F60" i="8"/>
  <c r="E60" i="8"/>
  <c r="D60" i="8"/>
  <c r="B60" i="8"/>
  <c r="T59" i="8"/>
  <c r="S59" i="8"/>
  <c r="R59" i="8"/>
  <c r="Q59" i="8"/>
  <c r="P59" i="8"/>
  <c r="O59" i="8"/>
  <c r="N59" i="8"/>
  <c r="M59" i="8"/>
  <c r="L59" i="8"/>
  <c r="K59" i="8"/>
  <c r="I59" i="8"/>
  <c r="J59" i="8" s="1"/>
  <c r="H59" i="8"/>
  <c r="G59" i="8"/>
  <c r="F59" i="8"/>
  <c r="E59" i="8"/>
  <c r="D59" i="8"/>
  <c r="B59" i="8"/>
  <c r="T58" i="8"/>
  <c r="S58" i="8"/>
  <c r="R58" i="8"/>
  <c r="Q58" i="8"/>
  <c r="P58" i="8"/>
  <c r="O58" i="8"/>
  <c r="N58" i="8"/>
  <c r="M58" i="8"/>
  <c r="L58" i="8"/>
  <c r="K58" i="8"/>
  <c r="I58" i="8"/>
  <c r="J58" i="8" s="1"/>
  <c r="AY58" i="8" s="1"/>
  <c r="H58" i="8"/>
  <c r="G58" i="8"/>
  <c r="F58" i="8"/>
  <c r="E58" i="8"/>
  <c r="D58" i="8"/>
  <c r="B58" i="8"/>
  <c r="T57" i="8"/>
  <c r="S57" i="8"/>
  <c r="R57" i="8"/>
  <c r="Q57" i="8"/>
  <c r="P57" i="8"/>
  <c r="O57" i="8"/>
  <c r="N57" i="8"/>
  <c r="M57" i="8"/>
  <c r="L57" i="8"/>
  <c r="K57" i="8"/>
  <c r="I57" i="8"/>
  <c r="J57" i="8" s="1"/>
  <c r="AY57" i="8" s="1"/>
  <c r="H57" i="8"/>
  <c r="G57" i="8"/>
  <c r="F57" i="8"/>
  <c r="E57" i="8"/>
  <c r="D57" i="8"/>
  <c r="B57" i="8"/>
  <c r="T56" i="8"/>
  <c r="S56" i="8"/>
  <c r="R56" i="8"/>
  <c r="Q56" i="8"/>
  <c r="P56" i="8"/>
  <c r="O56" i="8"/>
  <c r="N56" i="8"/>
  <c r="M56" i="8"/>
  <c r="L56" i="8"/>
  <c r="K56" i="8"/>
  <c r="I56" i="8"/>
  <c r="J56" i="8" s="1"/>
  <c r="AY56" i="8" s="1"/>
  <c r="H56" i="8"/>
  <c r="G56" i="8"/>
  <c r="F56" i="8"/>
  <c r="E56" i="8"/>
  <c r="D56" i="8"/>
  <c r="B56" i="8"/>
  <c r="T55" i="8"/>
  <c r="S55" i="8"/>
  <c r="R55" i="8"/>
  <c r="Q55" i="8"/>
  <c r="P55" i="8"/>
  <c r="O55" i="8"/>
  <c r="N55" i="8"/>
  <c r="M55" i="8"/>
  <c r="L55" i="8"/>
  <c r="K55" i="8"/>
  <c r="I55" i="8"/>
  <c r="J55" i="8" s="1"/>
  <c r="AY55" i="8" s="1"/>
  <c r="H55" i="8"/>
  <c r="G55" i="8"/>
  <c r="F55" i="8"/>
  <c r="E55" i="8"/>
  <c r="D55" i="8"/>
  <c r="B55" i="8"/>
  <c r="T54" i="8"/>
  <c r="S54" i="8"/>
  <c r="R54" i="8"/>
  <c r="Q54" i="8"/>
  <c r="P54" i="8"/>
  <c r="O54" i="8"/>
  <c r="N54" i="8"/>
  <c r="M54" i="8"/>
  <c r="L54" i="8"/>
  <c r="K54" i="8"/>
  <c r="I54" i="8"/>
  <c r="J54" i="8" s="1"/>
  <c r="H54" i="8"/>
  <c r="G54" i="8"/>
  <c r="F54" i="8"/>
  <c r="E54" i="8"/>
  <c r="D54" i="8"/>
  <c r="B54" i="8"/>
  <c r="T53" i="8"/>
  <c r="S53" i="8"/>
  <c r="R53" i="8"/>
  <c r="Q53" i="8"/>
  <c r="P53" i="8"/>
  <c r="O53" i="8"/>
  <c r="N53" i="8"/>
  <c r="M53" i="8"/>
  <c r="L53" i="8"/>
  <c r="K53" i="8"/>
  <c r="I53" i="8"/>
  <c r="J53" i="8" s="1"/>
  <c r="H53" i="8"/>
  <c r="G53" i="8"/>
  <c r="F53" i="8"/>
  <c r="E53" i="8"/>
  <c r="D53" i="8"/>
  <c r="B53" i="8"/>
  <c r="T52" i="8"/>
  <c r="S52" i="8"/>
  <c r="R52" i="8"/>
  <c r="Q52" i="8"/>
  <c r="P52" i="8"/>
  <c r="O52" i="8"/>
  <c r="N52" i="8"/>
  <c r="M52" i="8"/>
  <c r="L52" i="8"/>
  <c r="K52" i="8"/>
  <c r="I52" i="8"/>
  <c r="J52" i="8" s="1"/>
  <c r="H52" i="8"/>
  <c r="G52" i="8"/>
  <c r="F52" i="8"/>
  <c r="E52" i="8"/>
  <c r="D52" i="8"/>
  <c r="B52" i="8"/>
  <c r="T51" i="8"/>
  <c r="S51" i="8"/>
  <c r="R51" i="8"/>
  <c r="Q51" i="8"/>
  <c r="P51" i="8"/>
  <c r="O51" i="8"/>
  <c r="N51" i="8"/>
  <c r="M51" i="8"/>
  <c r="L51" i="8"/>
  <c r="K51" i="8"/>
  <c r="I51" i="8"/>
  <c r="J51" i="8" s="1"/>
  <c r="AY51" i="8" s="1"/>
  <c r="H51" i="8"/>
  <c r="G51" i="8"/>
  <c r="F51" i="8"/>
  <c r="E51" i="8"/>
  <c r="D51" i="8"/>
  <c r="B51" i="8"/>
  <c r="C51" i="8" s="1"/>
  <c r="T50" i="8"/>
  <c r="S50" i="8"/>
  <c r="R50" i="8"/>
  <c r="Q50" i="8"/>
  <c r="P50" i="8"/>
  <c r="O50" i="8"/>
  <c r="N50" i="8"/>
  <c r="M50" i="8"/>
  <c r="L50" i="8"/>
  <c r="K50" i="8"/>
  <c r="I50" i="8"/>
  <c r="J50" i="8" s="1"/>
  <c r="AY50" i="8" s="1"/>
  <c r="H50" i="8"/>
  <c r="G50" i="8"/>
  <c r="F50" i="8"/>
  <c r="E50" i="8"/>
  <c r="D50" i="8"/>
  <c r="B50" i="8"/>
  <c r="T49" i="8"/>
  <c r="S49" i="8"/>
  <c r="R49" i="8"/>
  <c r="Q49" i="8"/>
  <c r="P49" i="8"/>
  <c r="O49" i="8"/>
  <c r="N49" i="8"/>
  <c r="M49" i="8"/>
  <c r="L49" i="8"/>
  <c r="K49" i="8"/>
  <c r="I49" i="8"/>
  <c r="J49" i="8" s="1"/>
  <c r="AY49" i="8" s="1"/>
  <c r="H49" i="8"/>
  <c r="G49" i="8"/>
  <c r="F49" i="8"/>
  <c r="E49" i="8"/>
  <c r="D49" i="8"/>
  <c r="B49" i="8"/>
  <c r="T48" i="8"/>
  <c r="S48" i="8"/>
  <c r="R48" i="8"/>
  <c r="Q48" i="8"/>
  <c r="P48" i="8"/>
  <c r="O48" i="8"/>
  <c r="N48" i="8"/>
  <c r="M48" i="8"/>
  <c r="L48" i="8"/>
  <c r="K48" i="8"/>
  <c r="I48" i="8"/>
  <c r="J48" i="8" s="1"/>
  <c r="H48" i="8"/>
  <c r="G48" i="8"/>
  <c r="F48" i="8"/>
  <c r="E48" i="8"/>
  <c r="D48" i="8"/>
  <c r="B48" i="8"/>
  <c r="T47" i="8"/>
  <c r="S47" i="8"/>
  <c r="R47" i="8"/>
  <c r="Q47" i="8"/>
  <c r="P47" i="8"/>
  <c r="O47" i="8"/>
  <c r="N47" i="8"/>
  <c r="M47" i="8"/>
  <c r="L47" i="8"/>
  <c r="K47" i="8"/>
  <c r="I47" i="8"/>
  <c r="J47" i="8" s="1"/>
  <c r="H47" i="8"/>
  <c r="G47" i="8"/>
  <c r="F47" i="8"/>
  <c r="E47" i="8"/>
  <c r="D47" i="8"/>
  <c r="B47" i="8"/>
  <c r="T46" i="8"/>
  <c r="S46" i="8"/>
  <c r="R46" i="8"/>
  <c r="Q46" i="8"/>
  <c r="P46" i="8"/>
  <c r="O46" i="8"/>
  <c r="N46" i="8"/>
  <c r="M46" i="8"/>
  <c r="L46" i="8"/>
  <c r="K46" i="8"/>
  <c r="I46" i="8"/>
  <c r="J46" i="8" s="1"/>
  <c r="AY46" i="8" s="1"/>
  <c r="H46" i="8"/>
  <c r="G46" i="8"/>
  <c r="F46" i="8"/>
  <c r="E46" i="8"/>
  <c r="D46" i="8"/>
  <c r="B46" i="8"/>
  <c r="T45" i="8"/>
  <c r="S45" i="8"/>
  <c r="R45" i="8"/>
  <c r="Q45" i="8"/>
  <c r="P45" i="8"/>
  <c r="O45" i="8"/>
  <c r="N45" i="8"/>
  <c r="M45" i="8"/>
  <c r="L45" i="8"/>
  <c r="K45" i="8"/>
  <c r="I45" i="8"/>
  <c r="J45" i="8" s="1"/>
  <c r="H45" i="8"/>
  <c r="G45" i="8"/>
  <c r="F45" i="8"/>
  <c r="E45" i="8"/>
  <c r="D45" i="8"/>
  <c r="B45" i="8"/>
  <c r="T44" i="8"/>
  <c r="S44" i="8"/>
  <c r="R44" i="8"/>
  <c r="Q44" i="8"/>
  <c r="P44" i="8"/>
  <c r="O44" i="8"/>
  <c r="N44" i="8"/>
  <c r="M44" i="8"/>
  <c r="L44" i="8"/>
  <c r="K44" i="8"/>
  <c r="I44" i="8"/>
  <c r="J44" i="8" s="1"/>
  <c r="AY44" i="8" s="1"/>
  <c r="H44" i="8"/>
  <c r="G44" i="8"/>
  <c r="F44" i="8"/>
  <c r="E44" i="8"/>
  <c r="D44" i="8"/>
  <c r="B44" i="8"/>
  <c r="T43" i="8"/>
  <c r="S43" i="8"/>
  <c r="R43" i="8"/>
  <c r="Q43" i="8"/>
  <c r="P43" i="8"/>
  <c r="O43" i="8"/>
  <c r="N43" i="8"/>
  <c r="M43" i="8"/>
  <c r="L43" i="8"/>
  <c r="K43" i="8"/>
  <c r="I43" i="8"/>
  <c r="J43" i="8" s="1"/>
  <c r="H43" i="8"/>
  <c r="G43" i="8"/>
  <c r="F43" i="8"/>
  <c r="E43" i="8"/>
  <c r="D43" i="8"/>
  <c r="B43" i="8"/>
  <c r="T42" i="8"/>
  <c r="S42" i="8"/>
  <c r="R42" i="8"/>
  <c r="Q42" i="8"/>
  <c r="P42" i="8"/>
  <c r="O42" i="8"/>
  <c r="N42" i="8"/>
  <c r="M42" i="8"/>
  <c r="L42" i="8"/>
  <c r="K42" i="8"/>
  <c r="I42" i="8"/>
  <c r="J42" i="8" s="1"/>
  <c r="AY42" i="8" s="1"/>
  <c r="H42" i="8"/>
  <c r="G42" i="8"/>
  <c r="F42" i="8"/>
  <c r="E42" i="8"/>
  <c r="D42" i="8"/>
  <c r="B42" i="8"/>
  <c r="T41" i="8"/>
  <c r="S41" i="8"/>
  <c r="R41" i="8"/>
  <c r="Q41" i="8"/>
  <c r="P41" i="8"/>
  <c r="O41" i="8"/>
  <c r="N41" i="8"/>
  <c r="M41" i="8"/>
  <c r="L41" i="8"/>
  <c r="K41" i="8"/>
  <c r="I41" i="8"/>
  <c r="J41" i="8" s="1"/>
  <c r="H41" i="8"/>
  <c r="G41" i="8"/>
  <c r="F41" i="8"/>
  <c r="E41" i="8"/>
  <c r="D41" i="8"/>
  <c r="B41" i="8"/>
  <c r="C41" i="8" s="1"/>
  <c r="T40" i="8"/>
  <c r="S40" i="8"/>
  <c r="R40" i="8"/>
  <c r="Q40" i="8"/>
  <c r="P40" i="8"/>
  <c r="O40" i="8"/>
  <c r="N40" i="8"/>
  <c r="M40" i="8"/>
  <c r="L40" i="8"/>
  <c r="K40" i="8"/>
  <c r="I40" i="8"/>
  <c r="J40" i="8" s="1"/>
  <c r="H40" i="8"/>
  <c r="G40" i="8"/>
  <c r="F40" i="8"/>
  <c r="E40" i="8"/>
  <c r="D40" i="8"/>
  <c r="B40" i="8"/>
  <c r="T39" i="8"/>
  <c r="S39" i="8"/>
  <c r="R39" i="8"/>
  <c r="Q39" i="8"/>
  <c r="P39" i="8"/>
  <c r="O39" i="8"/>
  <c r="N39" i="8"/>
  <c r="M39" i="8"/>
  <c r="L39" i="8"/>
  <c r="K39" i="8"/>
  <c r="I39" i="8"/>
  <c r="J39" i="8" s="1"/>
  <c r="H39" i="8"/>
  <c r="G39" i="8"/>
  <c r="F39" i="8"/>
  <c r="E39" i="8"/>
  <c r="D39" i="8"/>
  <c r="B39" i="8"/>
  <c r="T38" i="8"/>
  <c r="S38" i="8"/>
  <c r="R38" i="8"/>
  <c r="Q38" i="8"/>
  <c r="P38" i="8"/>
  <c r="O38" i="8"/>
  <c r="N38" i="8"/>
  <c r="M38" i="8"/>
  <c r="L38" i="8"/>
  <c r="K38" i="8"/>
  <c r="I38" i="8"/>
  <c r="J38" i="8" s="1"/>
  <c r="H38" i="8"/>
  <c r="G38" i="8"/>
  <c r="F38" i="8"/>
  <c r="E38" i="8"/>
  <c r="D38" i="8"/>
  <c r="B38" i="8"/>
  <c r="T37" i="8"/>
  <c r="S37" i="8"/>
  <c r="R37" i="8"/>
  <c r="Q37" i="8"/>
  <c r="P37" i="8"/>
  <c r="O37" i="8"/>
  <c r="N37" i="8"/>
  <c r="M37" i="8"/>
  <c r="L37" i="8"/>
  <c r="K37" i="8"/>
  <c r="I37" i="8"/>
  <c r="J37" i="8" s="1"/>
  <c r="AY37" i="8" s="1"/>
  <c r="H37" i="8"/>
  <c r="G37" i="8"/>
  <c r="F37" i="8"/>
  <c r="E37" i="8"/>
  <c r="D37" i="8"/>
  <c r="B37" i="8"/>
  <c r="T36" i="8"/>
  <c r="S36" i="8"/>
  <c r="R36" i="8"/>
  <c r="Q36" i="8"/>
  <c r="P36" i="8"/>
  <c r="O36" i="8"/>
  <c r="N36" i="8"/>
  <c r="M36" i="8"/>
  <c r="L36" i="8"/>
  <c r="K36" i="8"/>
  <c r="I36" i="8"/>
  <c r="J36" i="8" s="1"/>
  <c r="AY36" i="8" s="1"/>
  <c r="H36" i="8"/>
  <c r="G36" i="8"/>
  <c r="F36" i="8"/>
  <c r="E36" i="8"/>
  <c r="D36" i="8"/>
  <c r="B36" i="8"/>
  <c r="T35" i="8"/>
  <c r="S35" i="8"/>
  <c r="R35" i="8"/>
  <c r="Q35" i="8"/>
  <c r="P35" i="8"/>
  <c r="O35" i="8"/>
  <c r="N35" i="8"/>
  <c r="M35" i="8"/>
  <c r="L35" i="8"/>
  <c r="K35" i="8"/>
  <c r="I35" i="8"/>
  <c r="J35" i="8" s="1"/>
  <c r="H35" i="8"/>
  <c r="G35" i="8"/>
  <c r="F35" i="8"/>
  <c r="E35" i="8"/>
  <c r="D35" i="8"/>
  <c r="B35" i="8"/>
  <c r="T34" i="8"/>
  <c r="S34" i="8"/>
  <c r="R34" i="8"/>
  <c r="Q34" i="8"/>
  <c r="P34" i="8"/>
  <c r="O34" i="8"/>
  <c r="N34" i="8"/>
  <c r="M34" i="8"/>
  <c r="L34" i="8"/>
  <c r="K34" i="8"/>
  <c r="I34" i="8"/>
  <c r="J34" i="8" s="1"/>
  <c r="AY34" i="8" s="1"/>
  <c r="H34" i="8"/>
  <c r="G34" i="8"/>
  <c r="F34" i="8"/>
  <c r="E34" i="8"/>
  <c r="D34" i="8"/>
  <c r="B34" i="8"/>
  <c r="T33" i="8"/>
  <c r="S33" i="8"/>
  <c r="R33" i="8"/>
  <c r="Q33" i="8"/>
  <c r="P33" i="8"/>
  <c r="O33" i="8"/>
  <c r="N33" i="8"/>
  <c r="M33" i="8"/>
  <c r="L33" i="8"/>
  <c r="K33" i="8"/>
  <c r="I33" i="8"/>
  <c r="J33" i="8" s="1"/>
  <c r="H33" i="8"/>
  <c r="G33" i="8"/>
  <c r="F33" i="8"/>
  <c r="E33" i="8"/>
  <c r="D33" i="8"/>
  <c r="B33" i="8"/>
  <c r="T32" i="8"/>
  <c r="S32" i="8"/>
  <c r="R32" i="8"/>
  <c r="Q32" i="8"/>
  <c r="P32" i="8"/>
  <c r="O32" i="8"/>
  <c r="N32" i="8"/>
  <c r="M32" i="8"/>
  <c r="L32" i="8"/>
  <c r="K32" i="8"/>
  <c r="I32" i="8"/>
  <c r="J32" i="8" s="1"/>
  <c r="AY32" i="8" s="1"/>
  <c r="H32" i="8"/>
  <c r="G32" i="8"/>
  <c r="F32" i="8"/>
  <c r="E32" i="8"/>
  <c r="D32" i="8"/>
  <c r="B32" i="8"/>
  <c r="C32" i="8" s="1"/>
  <c r="T31" i="8"/>
  <c r="S31" i="8"/>
  <c r="R31" i="8"/>
  <c r="Q31" i="8"/>
  <c r="P31" i="8"/>
  <c r="O31" i="8"/>
  <c r="N31" i="8"/>
  <c r="M31" i="8"/>
  <c r="L31" i="8"/>
  <c r="K31" i="8"/>
  <c r="I31" i="8"/>
  <c r="J31" i="8" s="1"/>
  <c r="H31" i="8"/>
  <c r="G31" i="8"/>
  <c r="F31" i="8"/>
  <c r="E31" i="8"/>
  <c r="D31" i="8"/>
  <c r="B31" i="8"/>
  <c r="T30" i="8"/>
  <c r="S30" i="8"/>
  <c r="R30" i="8"/>
  <c r="Q30" i="8"/>
  <c r="P30" i="8"/>
  <c r="O30" i="8"/>
  <c r="N30" i="8"/>
  <c r="M30" i="8"/>
  <c r="L30" i="8"/>
  <c r="K30" i="8"/>
  <c r="I30" i="8"/>
  <c r="J30" i="8" s="1"/>
  <c r="AY30" i="8" s="1"/>
  <c r="H30" i="8"/>
  <c r="G30" i="8"/>
  <c r="F30" i="8"/>
  <c r="E30" i="8"/>
  <c r="D30" i="8"/>
  <c r="B30" i="8"/>
  <c r="T29" i="8"/>
  <c r="S29" i="8"/>
  <c r="R29" i="8"/>
  <c r="Q29" i="8"/>
  <c r="P29" i="8"/>
  <c r="O29" i="8"/>
  <c r="N29" i="8"/>
  <c r="M29" i="8"/>
  <c r="L29" i="8"/>
  <c r="K29" i="8"/>
  <c r="I29" i="8"/>
  <c r="J29" i="8" s="1"/>
  <c r="AY29" i="8" s="1"/>
  <c r="H29" i="8"/>
  <c r="G29" i="8"/>
  <c r="F29" i="8"/>
  <c r="E29" i="8"/>
  <c r="D29" i="8"/>
  <c r="B29" i="8"/>
  <c r="T28" i="8"/>
  <c r="S28" i="8"/>
  <c r="R28" i="8"/>
  <c r="Q28" i="8"/>
  <c r="P28" i="8"/>
  <c r="O28" i="8"/>
  <c r="N28" i="8"/>
  <c r="M28" i="8"/>
  <c r="L28" i="8"/>
  <c r="K28" i="8"/>
  <c r="I28" i="8"/>
  <c r="J28" i="8" s="1"/>
  <c r="AY28" i="8" s="1"/>
  <c r="H28" i="8"/>
  <c r="G28" i="8"/>
  <c r="F28" i="8"/>
  <c r="E28" i="8"/>
  <c r="D28" i="8"/>
  <c r="B28" i="8"/>
  <c r="T27" i="8"/>
  <c r="S27" i="8"/>
  <c r="R27" i="8"/>
  <c r="Q27" i="8"/>
  <c r="P27" i="8"/>
  <c r="O27" i="8"/>
  <c r="N27" i="8"/>
  <c r="M27" i="8"/>
  <c r="L27" i="8"/>
  <c r="K27" i="8"/>
  <c r="I27" i="8"/>
  <c r="J27" i="8" s="1"/>
  <c r="H27" i="8"/>
  <c r="G27" i="8"/>
  <c r="F27" i="8"/>
  <c r="E27" i="8"/>
  <c r="D27" i="8"/>
  <c r="B27" i="8"/>
  <c r="T26" i="8"/>
  <c r="S26" i="8"/>
  <c r="R26" i="8"/>
  <c r="Q26" i="8"/>
  <c r="P26" i="8"/>
  <c r="O26" i="8"/>
  <c r="N26" i="8"/>
  <c r="M26" i="8"/>
  <c r="L26" i="8"/>
  <c r="K26" i="8"/>
  <c r="I26" i="8"/>
  <c r="J26" i="8" s="1"/>
  <c r="H26" i="8"/>
  <c r="G26" i="8"/>
  <c r="F26" i="8"/>
  <c r="E26" i="8"/>
  <c r="D26" i="8"/>
  <c r="B26" i="8"/>
  <c r="T25" i="8"/>
  <c r="S25" i="8"/>
  <c r="R25" i="8"/>
  <c r="Q25" i="8"/>
  <c r="P25" i="8"/>
  <c r="O25" i="8"/>
  <c r="N25" i="8"/>
  <c r="M25" i="8"/>
  <c r="L25" i="8"/>
  <c r="K25" i="8"/>
  <c r="I25" i="8"/>
  <c r="J25" i="8" s="1"/>
  <c r="H25" i="8"/>
  <c r="G25" i="8"/>
  <c r="F25" i="8"/>
  <c r="E25" i="8"/>
  <c r="D25" i="8"/>
  <c r="B25" i="8"/>
  <c r="T24" i="8"/>
  <c r="S24" i="8"/>
  <c r="R24" i="8"/>
  <c r="Q24" i="8"/>
  <c r="P24" i="8"/>
  <c r="O24" i="8"/>
  <c r="N24" i="8"/>
  <c r="M24" i="8"/>
  <c r="L24" i="8"/>
  <c r="K24" i="8"/>
  <c r="I24" i="8"/>
  <c r="J24" i="8" s="1"/>
  <c r="H24" i="8"/>
  <c r="G24" i="8"/>
  <c r="F24" i="8"/>
  <c r="E24" i="8"/>
  <c r="D24" i="8"/>
  <c r="B24" i="8"/>
  <c r="T23" i="8"/>
  <c r="S23" i="8"/>
  <c r="R23" i="8"/>
  <c r="Q23" i="8"/>
  <c r="P23" i="8"/>
  <c r="O23" i="8"/>
  <c r="N23" i="8"/>
  <c r="M23" i="8"/>
  <c r="L23" i="8"/>
  <c r="K23" i="8"/>
  <c r="I23" i="8"/>
  <c r="J23" i="8" s="1"/>
  <c r="H23" i="8"/>
  <c r="G23" i="8"/>
  <c r="F23" i="8"/>
  <c r="E23" i="8"/>
  <c r="D23" i="8"/>
  <c r="B23" i="8"/>
  <c r="T22" i="8"/>
  <c r="S22" i="8"/>
  <c r="R22" i="8"/>
  <c r="Q22" i="8"/>
  <c r="P22" i="8"/>
  <c r="O22" i="8"/>
  <c r="N22" i="8"/>
  <c r="M22" i="8"/>
  <c r="L22" i="8"/>
  <c r="K22" i="8"/>
  <c r="I22" i="8"/>
  <c r="J22" i="8" s="1"/>
  <c r="H22" i="8"/>
  <c r="G22" i="8"/>
  <c r="F22" i="8"/>
  <c r="E22" i="8"/>
  <c r="D22" i="8"/>
  <c r="B22" i="8"/>
  <c r="T21" i="8"/>
  <c r="S21" i="8"/>
  <c r="R21" i="8"/>
  <c r="Q21" i="8"/>
  <c r="P21" i="8"/>
  <c r="O21" i="8"/>
  <c r="N21" i="8"/>
  <c r="M21" i="8"/>
  <c r="L21" i="8"/>
  <c r="K21" i="8"/>
  <c r="I21" i="8"/>
  <c r="J21" i="8" s="1"/>
  <c r="H21" i="8"/>
  <c r="G21" i="8"/>
  <c r="F21" i="8"/>
  <c r="E21" i="8"/>
  <c r="D21" i="8"/>
  <c r="B21" i="8"/>
  <c r="T20" i="8"/>
  <c r="S20" i="8"/>
  <c r="R20" i="8"/>
  <c r="Q20" i="8"/>
  <c r="P20" i="8"/>
  <c r="O20" i="8"/>
  <c r="N20" i="8"/>
  <c r="M20" i="8"/>
  <c r="L20" i="8"/>
  <c r="K20" i="8"/>
  <c r="I20" i="8"/>
  <c r="J20" i="8" s="1"/>
  <c r="H20" i="8"/>
  <c r="G20" i="8"/>
  <c r="F20" i="8"/>
  <c r="E20" i="8"/>
  <c r="D20" i="8"/>
  <c r="B20" i="8"/>
  <c r="T19" i="8"/>
  <c r="S19" i="8"/>
  <c r="R19" i="8"/>
  <c r="Q19" i="8"/>
  <c r="P19" i="8"/>
  <c r="O19" i="8"/>
  <c r="N19" i="8"/>
  <c r="M19" i="8"/>
  <c r="L19" i="8"/>
  <c r="K19" i="8"/>
  <c r="I19" i="8"/>
  <c r="J19" i="8" s="1"/>
  <c r="H19" i="8"/>
  <c r="G19" i="8"/>
  <c r="F19" i="8"/>
  <c r="E19" i="8"/>
  <c r="D19" i="8"/>
  <c r="B19" i="8"/>
  <c r="T18" i="8"/>
  <c r="S18" i="8"/>
  <c r="R18" i="8"/>
  <c r="Q18" i="8"/>
  <c r="P18" i="8"/>
  <c r="O18" i="8"/>
  <c r="N18" i="8"/>
  <c r="M18" i="8"/>
  <c r="L18" i="8"/>
  <c r="K18" i="8"/>
  <c r="I18" i="8"/>
  <c r="J18" i="8" s="1"/>
  <c r="H18" i="8"/>
  <c r="G18" i="8"/>
  <c r="F18" i="8"/>
  <c r="E18" i="8"/>
  <c r="D18" i="8"/>
  <c r="B18" i="8"/>
  <c r="T17" i="8"/>
  <c r="S17" i="8"/>
  <c r="R17" i="8"/>
  <c r="Q17" i="8"/>
  <c r="P17" i="8"/>
  <c r="O17" i="8"/>
  <c r="N17" i="8"/>
  <c r="M17" i="8"/>
  <c r="L17" i="8"/>
  <c r="K17" i="8"/>
  <c r="I17" i="8"/>
  <c r="J17" i="8" s="1"/>
  <c r="H17" i="8"/>
  <c r="G17" i="8"/>
  <c r="F17" i="8"/>
  <c r="E17" i="8"/>
  <c r="D17" i="8"/>
  <c r="B17" i="8"/>
  <c r="T16" i="8"/>
  <c r="S16" i="8"/>
  <c r="R16" i="8"/>
  <c r="Q16" i="8"/>
  <c r="P16" i="8"/>
  <c r="O16" i="8"/>
  <c r="N16" i="8"/>
  <c r="M16" i="8"/>
  <c r="L16" i="8"/>
  <c r="K16" i="8"/>
  <c r="I16" i="8"/>
  <c r="J16" i="8" s="1"/>
  <c r="AY16" i="8" s="1"/>
  <c r="H16" i="8"/>
  <c r="G16" i="8"/>
  <c r="F16" i="8"/>
  <c r="E16" i="8"/>
  <c r="D16" i="8"/>
  <c r="B16" i="8"/>
  <c r="T15" i="8"/>
  <c r="S15" i="8"/>
  <c r="R15" i="8"/>
  <c r="Q15" i="8"/>
  <c r="P15" i="8"/>
  <c r="O15" i="8"/>
  <c r="N15" i="8"/>
  <c r="M15" i="8"/>
  <c r="L15" i="8"/>
  <c r="K15" i="8"/>
  <c r="I15" i="8"/>
  <c r="J15" i="8" s="1"/>
  <c r="AY15" i="8" s="1"/>
  <c r="H15" i="8"/>
  <c r="G15" i="8"/>
  <c r="F15" i="8"/>
  <c r="E15" i="8"/>
  <c r="D15" i="8"/>
  <c r="B15" i="8"/>
  <c r="T14" i="8"/>
  <c r="S14" i="8"/>
  <c r="R14" i="8"/>
  <c r="Q14" i="8"/>
  <c r="P14" i="8"/>
  <c r="O14" i="8"/>
  <c r="N14" i="8"/>
  <c r="M14" i="8"/>
  <c r="L14" i="8"/>
  <c r="K14" i="8"/>
  <c r="I14" i="8"/>
  <c r="J14" i="8" s="1"/>
  <c r="H14" i="8"/>
  <c r="G14" i="8"/>
  <c r="F14" i="8"/>
  <c r="E14" i="8"/>
  <c r="D14" i="8"/>
  <c r="B14" i="8"/>
  <c r="T13" i="8"/>
  <c r="S13" i="8"/>
  <c r="R13" i="8"/>
  <c r="Q13" i="8"/>
  <c r="P13" i="8"/>
  <c r="O13" i="8"/>
  <c r="N13" i="8"/>
  <c r="M13" i="8"/>
  <c r="L13" i="8"/>
  <c r="K13" i="8"/>
  <c r="I13" i="8"/>
  <c r="J13" i="8" s="1"/>
  <c r="AY13" i="8" s="1"/>
  <c r="H13" i="8"/>
  <c r="G13" i="8"/>
  <c r="F13" i="8"/>
  <c r="E13" i="8"/>
  <c r="D13" i="8"/>
  <c r="B13" i="8"/>
  <c r="T12" i="8"/>
  <c r="S12" i="8"/>
  <c r="R12" i="8"/>
  <c r="Q12" i="8"/>
  <c r="P12" i="8"/>
  <c r="O12" i="8"/>
  <c r="N12" i="8"/>
  <c r="M12" i="8"/>
  <c r="L12" i="8"/>
  <c r="K12" i="8"/>
  <c r="I12" i="8"/>
  <c r="J12" i="8" s="1"/>
  <c r="H12" i="8"/>
  <c r="G12" i="8"/>
  <c r="F12" i="8"/>
  <c r="E12" i="8"/>
  <c r="D12" i="8"/>
  <c r="B12" i="8"/>
  <c r="T11" i="8"/>
  <c r="S11" i="8"/>
  <c r="R11" i="8"/>
  <c r="Q11" i="8"/>
  <c r="P11" i="8"/>
  <c r="O11" i="8"/>
  <c r="N11" i="8"/>
  <c r="M11" i="8"/>
  <c r="L11" i="8"/>
  <c r="K11" i="8"/>
  <c r="I11" i="8"/>
  <c r="J11" i="8" s="1"/>
  <c r="H11" i="8"/>
  <c r="G11" i="8"/>
  <c r="F11" i="8"/>
  <c r="E11" i="8"/>
  <c r="D11" i="8"/>
  <c r="B11" i="8"/>
  <c r="T10" i="8"/>
  <c r="S10" i="8"/>
  <c r="R10" i="8"/>
  <c r="Q10" i="8"/>
  <c r="P10" i="8"/>
  <c r="O10" i="8"/>
  <c r="N10" i="8"/>
  <c r="M10" i="8"/>
  <c r="L10" i="8"/>
  <c r="K10" i="8"/>
  <c r="I10" i="8"/>
  <c r="J10" i="8" s="1"/>
  <c r="AY10" i="8" s="1"/>
  <c r="H10" i="8"/>
  <c r="G10" i="8"/>
  <c r="F10" i="8"/>
  <c r="E10" i="8"/>
  <c r="D10" i="8"/>
  <c r="B10" i="8"/>
  <c r="T9" i="8"/>
  <c r="S9" i="8"/>
  <c r="R9" i="8"/>
  <c r="Q9" i="8"/>
  <c r="P9" i="8"/>
  <c r="O9" i="8"/>
  <c r="N9" i="8"/>
  <c r="M9" i="8"/>
  <c r="L9" i="8"/>
  <c r="K9" i="8"/>
  <c r="I9" i="8"/>
  <c r="J9" i="8" s="1"/>
  <c r="AY9" i="8" s="1"/>
  <c r="H9" i="8"/>
  <c r="G9" i="8"/>
  <c r="F9" i="8"/>
  <c r="E9" i="8"/>
  <c r="D9" i="8"/>
  <c r="B9" i="8"/>
  <c r="T8" i="8"/>
  <c r="S8" i="8"/>
  <c r="R8" i="8"/>
  <c r="Q8" i="8"/>
  <c r="P8" i="8"/>
  <c r="O8" i="8"/>
  <c r="N8" i="8"/>
  <c r="M8" i="8"/>
  <c r="L8" i="8"/>
  <c r="K8" i="8"/>
  <c r="I8" i="8"/>
  <c r="J8" i="8" s="1"/>
  <c r="AY8" i="8" s="1"/>
  <c r="H8" i="8"/>
  <c r="G8" i="8"/>
  <c r="F8" i="8"/>
  <c r="E8" i="8"/>
  <c r="D8" i="8"/>
  <c r="B8" i="8"/>
  <c r="CD4" i="8"/>
  <c r="T157" i="7"/>
  <c r="S157" i="7"/>
  <c r="R157" i="7"/>
  <c r="Q157" i="7"/>
  <c r="P157" i="7"/>
  <c r="O157" i="7"/>
  <c r="N157" i="7"/>
  <c r="M157" i="7"/>
  <c r="L157" i="7"/>
  <c r="K157" i="7"/>
  <c r="I157" i="7"/>
  <c r="J157" i="7" s="1"/>
  <c r="AY157" i="7" s="1"/>
  <c r="H157" i="7"/>
  <c r="G157" i="7"/>
  <c r="F157" i="7"/>
  <c r="E157" i="7"/>
  <c r="D157" i="7"/>
  <c r="B157" i="7"/>
  <c r="T156" i="7"/>
  <c r="S156" i="7"/>
  <c r="R156" i="7"/>
  <c r="Q156" i="7"/>
  <c r="P156" i="7"/>
  <c r="O156" i="7"/>
  <c r="N156" i="7"/>
  <c r="M156" i="7"/>
  <c r="L156" i="7"/>
  <c r="K156" i="7"/>
  <c r="I156" i="7"/>
  <c r="J156" i="7" s="1"/>
  <c r="AY156" i="7" s="1"/>
  <c r="H156" i="7"/>
  <c r="G156" i="7"/>
  <c r="F156" i="7"/>
  <c r="E156" i="7"/>
  <c r="D156" i="7"/>
  <c r="B156" i="7"/>
  <c r="T155" i="7"/>
  <c r="S155" i="7"/>
  <c r="R155" i="7"/>
  <c r="Q155" i="7"/>
  <c r="P155" i="7"/>
  <c r="O155" i="7"/>
  <c r="N155" i="7"/>
  <c r="M155" i="7"/>
  <c r="L155" i="7"/>
  <c r="K155" i="7"/>
  <c r="I155" i="7"/>
  <c r="J155" i="7" s="1"/>
  <c r="H155" i="7"/>
  <c r="G155" i="7"/>
  <c r="F155" i="7"/>
  <c r="E155" i="7"/>
  <c r="D155" i="7"/>
  <c r="B155" i="7"/>
  <c r="T154" i="7"/>
  <c r="S154" i="7"/>
  <c r="R154" i="7"/>
  <c r="Q154" i="7"/>
  <c r="P154" i="7"/>
  <c r="O154" i="7"/>
  <c r="N154" i="7"/>
  <c r="M154" i="7"/>
  <c r="L154" i="7"/>
  <c r="K154" i="7"/>
  <c r="I154" i="7"/>
  <c r="J154" i="7" s="1"/>
  <c r="AY154" i="7" s="1"/>
  <c r="H154" i="7"/>
  <c r="G154" i="7"/>
  <c r="F154" i="7"/>
  <c r="E154" i="7"/>
  <c r="D154" i="7"/>
  <c r="B154" i="7"/>
  <c r="T153" i="7"/>
  <c r="S153" i="7"/>
  <c r="R153" i="7"/>
  <c r="Q153" i="7"/>
  <c r="P153" i="7"/>
  <c r="O153" i="7"/>
  <c r="N153" i="7"/>
  <c r="M153" i="7"/>
  <c r="L153" i="7"/>
  <c r="K153" i="7"/>
  <c r="I153" i="7"/>
  <c r="J153" i="7" s="1"/>
  <c r="H153" i="7"/>
  <c r="G153" i="7"/>
  <c r="F153" i="7"/>
  <c r="E153" i="7"/>
  <c r="D153" i="7"/>
  <c r="B153" i="7"/>
  <c r="T152" i="7"/>
  <c r="S152" i="7"/>
  <c r="R152" i="7"/>
  <c r="Q152" i="7"/>
  <c r="P152" i="7"/>
  <c r="O152" i="7"/>
  <c r="N152" i="7"/>
  <c r="M152" i="7"/>
  <c r="L152" i="7"/>
  <c r="K152" i="7"/>
  <c r="I152" i="7"/>
  <c r="J152" i="7" s="1"/>
  <c r="H152" i="7"/>
  <c r="G152" i="7"/>
  <c r="F152" i="7"/>
  <c r="E152" i="7"/>
  <c r="D152" i="7"/>
  <c r="B152" i="7"/>
  <c r="T151" i="7"/>
  <c r="S151" i="7"/>
  <c r="R151" i="7"/>
  <c r="Q151" i="7"/>
  <c r="P151" i="7"/>
  <c r="O151" i="7"/>
  <c r="N151" i="7"/>
  <c r="M151" i="7"/>
  <c r="L151" i="7"/>
  <c r="K151" i="7"/>
  <c r="I151" i="7"/>
  <c r="J151" i="7" s="1"/>
  <c r="AY151" i="7" s="1"/>
  <c r="H151" i="7"/>
  <c r="G151" i="7"/>
  <c r="F151" i="7"/>
  <c r="E151" i="7"/>
  <c r="D151" i="7"/>
  <c r="B151" i="7"/>
  <c r="T150" i="7"/>
  <c r="S150" i="7"/>
  <c r="R150" i="7"/>
  <c r="Q150" i="7"/>
  <c r="P150" i="7"/>
  <c r="O150" i="7"/>
  <c r="N150" i="7"/>
  <c r="M150" i="7"/>
  <c r="L150" i="7"/>
  <c r="K150" i="7"/>
  <c r="I150" i="7"/>
  <c r="J150" i="7" s="1"/>
  <c r="AY150" i="7" s="1"/>
  <c r="H150" i="7"/>
  <c r="G150" i="7"/>
  <c r="F150" i="7"/>
  <c r="E150" i="7"/>
  <c r="D150" i="7"/>
  <c r="B150" i="7"/>
  <c r="T149" i="7"/>
  <c r="S149" i="7"/>
  <c r="R149" i="7"/>
  <c r="Q149" i="7"/>
  <c r="P149" i="7"/>
  <c r="O149" i="7"/>
  <c r="N149" i="7"/>
  <c r="M149" i="7"/>
  <c r="L149" i="7"/>
  <c r="K149" i="7"/>
  <c r="I149" i="7"/>
  <c r="J149" i="7" s="1"/>
  <c r="H149" i="7"/>
  <c r="G149" i="7"/>
  <c r="F149" i="7"/>
  <c r="E149" i="7"/>
  <c r="D149" i="7"/>
  <c r="B149" i="7"/>
  <c r="T148" i="7"/>
  <c r="S148" i="7"/>
  <c r="R148" i="7"/>
  <c r="Q148" i="7"/>
  <c r="P148" i="7"/>
  <c r="O148" i="7"/>
  <c r="N148" i="7"/>
  <c r="M148" i="7"/>
  <c r="L148" i="7"/>
  <c r="K148" i="7"/>
  <c r="I148" i="7"/>
  <c r="J148" i="7" s="1"/>
  <c r="H148" i="7"/>
  <c r="G148" i="7"/>
  <c r="F148" i="7"/>
  <c r="E148" i="7"/>
  <c r="D148" i="7"/>
  <c r="B148" i="7"/>
  <c r="T147" i="7"/>
  <c r="S147" i="7"/>
  <c r="R147" i="7"/>
  <c r="Q147" i="7"/>
  <c r="P147" i="7"/>
  <c r="O147" i="7"/>
  <c r="N147" i="7"/>
  <c r="M147" i="7"/>
  <c r="L147" i="7"/>
  <c r="K147" i="7"/>
  <c r="I147" i="7"/>
  <c r="J147" i="7" s="1"/>
  <c r="H147" i="7"/>
  <c r="G147" i="7"/>
  <c r="F147" i="7"/>
  <c r="E147" i="7"/>
  <c r="D147" i="7"/>
  <c r="B147" i="7"/>
  <c r="T146" i="7"/>
  <c r="S146" i="7"/>
  <c r="R146" i="7"/>
  <c r="Q146" i="7"/>
  <c r="P146" i="7"/>
  <c r="O146" i="7"/>
  <c r="N146" i="7"/>
  <c r="M146" i="7"/>
  <c r="L146" i="7"/>
  <c r="K146" i="7"/>
  <c r="I146" i="7"/>
  <c r="J146" i="7" s="1"/>
  <c r="H146" i="7"/>
  <c r="G146" i="7"/>
  <c r="F146" i="7"/>
  <c r="E146" i="7"/>
  <c r="D146" i="7"/>
  <c r="B146" i="7"/>
  <c r="T145" i="7"/>
  <c r="S145" i="7"/>
  <c r="R145" i="7"/>
  <c r="Q145" i="7"/>
  <c r="P145" i="7"/>
  <c r="O145" i="7"/>
  <c r="N145" i="7"/>
  <c r="M145" i="7"/>
  <c r="L145" i="7"/>
  <c r="K145" i="7"/>
  <c r="I145" i="7"/>
  <c r="J145" i="7" s="1"/>
  <c r="AY145" i="7" s="1"/>
  <c r="H145" i="7"/>
  <c r="G145" i="7"/>
  <c r="F145" i="7"/>
  <c r="E145" i="7"/>
  <c r="D145" i="7"/>
  <c r="B145" i="7"/>
  <c r="T144" i="7"/>
  <c r="S144" i="7"/>
  <c r="R144" i="7"/>
  <c r="Q144" i="7"/>
  <c r="P144" i="7"/>
  <c r="O144" i="7"/>
  <c r="N144" i="7"/>
  <c r="M144" i="7"/>
  <c r="L144" i="7"/>
  <c r="K144" i="7"/>
  <c r="I144" i="7"/>
  <c r="J144" i="7" s="1"/>
  <c r="H144" i="7"/>
  <c r="G144" i="7"/>
  <c r="F144" i="7"/>
  <c r="E144" i="7"/>
  <c r="D144" i="7"/>
  <c r="B144" i="7"/>
  <c r="T143" i="7"/>
  <c r="S143" i="7"/>
  <c r="R143" i="7"/>
  <c r="Q143" i="7"/>
  <c r="P143" i="7"/>
  <c r="O143" i="7"/>
  <c r="N143" i="7"/>
  <c r="M143" i="7"/>
  <c r="L143" i="7"/>
  <c r="K143" i="7"/>
  <c r="I143" i="7"/>
  <c r="J143" i="7" s="1"/>
  <c r="AY143" i="7" s="1"/>
  <c r="H143" i="7"/>
  <c r="G143" i="7"/>
  <c r="F143" i="7"/>
  <c r="E143" i="7"/>
  <c r="D143" i="7"/>
  <c r="B143" i="7"/>
  <c r="T142" i="7"/>
  <c r="S142" i="7"/>
  <c r="R142" i="7"/>
  <c r="Q142" i="7"/>
  <c r="P142" i="7"/>
  <c r="O142" i="7"/>
  <c r="N142" i="7"/>
  <c r="M142" i="7"/>
  <c r="L142" i="7"/>
  <c r="K142" i="7"/>
  <c r="I142" i="7"/>
  <c r="J142" i="7" s="1"/>
  <c r="H142" i="7"/>
  <c r="G142" i="7"/>
  <c r="F142" i="7"/>
  <c r="E142" i="7"/>
  <c r="D142" i="7"/>
  <c r="B142" i="7"/>
  <c r="T141" i="7"/>
  <c r="S141" i="7"/>
  <c r="R141" i="7"/>
  <c r="Q141" i="7"/>
  <c r="P141" i="7"/>
  <c r="O141" i="7"/>
  <c r="N141" i="7"/>
  <c r="M141" i="7"/>
  <c r="L141" i="7"/>
  <c r="K141" i="7"/>
  <c r="I141" i="7"/>
  <c r="J141" i="7" s="1"/>
  <c r="H141" i="7"/>
  <c r="G141" i="7"/>
  <c r="F141" i="7"/>
  <c r="E141" i="7"/>
  <c r="D141" i="7"/>
  <c r="B141" i="7"/>
  <c r="T140" i="7"/>
  <c r="S140" i="7"/>
  <c r="R140" i="7"/>
  <c r="Q140" i="7"/>
  <c r="P140" i="7"/>
  <c r="O140" i="7"/>
  <c r="N140" i="7"/>
  <c r="M140" i="7"/>
  <c r="L140" i="7"/>
  <c r="K140" i="7"/>
  <c r="I140" i="7"/>
  <c r="J140" i="7" s="1"/>
  <c r="H140" i="7"/>
  <c r="G140" i="7"/>
  <c r="F140" i="7"/>
  <c r="E140" i="7"/>
  <c r="D140" i="7"/>
  <c r="B140" i="7"/>
  <c r="T139" i="7"/>
  <c r="S139" i="7"/>
  <c r="R139" i="7"/>
  <c r="Q139" i="7"/>
  <c r="P139" i="7"/>
  <c r="O139" i="7"/>
  <c r="N139" i="7"/>
  <c r="M139" i="7"/>
  <c r="L139" i="7"/>
  <c r="K139" i="7"/>
  <c r="I139" i="7"/>
  <c r="J139" i="7" s="1"/>
  <c r="AY139" i="7" s="1"/>
  <c r="H139" i="7"/>
  <c r="G139" i="7"/>
  <c r="F139" i="7"/>
  <c r="E139" i="7"/>
  <c r="D139" i="7"/>
  <c r="B139" i="7"/>
  <c r="T138" i="7"/>
  <c r="S138" i="7"/>
  <c r="R138" i="7"/>
  <c r="Q138" i="7"/>
  <c r="P138" i="7"/>
  <c r="O138" i="7"/>
  <c r="N138" i="7"/>
  <c r="M138" i="7"/>
  <c r="L138" i="7"/>
  <c r="K138" i="7"/>
  <c r="I138" i="7"/>
  <c r="J138" i="7" s="1"/>
  <c r="H138" i="7"/>
  <c r="G138" i="7"/>
  <c r="F138" i="7"/>
  <c r="E138" i="7"/>
  <c r="D138" i="7"/>
  <c r="B138" i="7"/>
  <c r="T137" i="7"/>
  <c r="S137" i="7"/>
  <c r="R137" i="7"/>
  <c r="Q137" i="7"/>
  <c r="P137" i="7"/>
  <c r="O137" i="7"/>
  <c r="N137" i="7"/>
  <c r="M137" i="7"/>
  <c r="L137" i="7"/>
  <c r="K137" i="7"/>
  <c r="I137" i="7"/>
  <c r="J137" i="7" s="1"/>
  <c r="H137" i="7"/>
  <c r="G137" i="7"/>
  <c r="F137" i="7"/>
  <c r="E137" i="7"/>
  <c r="D137" i="7"/>
  <c r="B137" i="7"/>
  <c r="T136" i="7"/>
  <c r="S136" i="7"/>
  <c r="R136" i="7"/>
  <c r="Q136" i="7"/>
  <c r="P136" i="7"/>
  <c r="O136" i="7"/>
  <c r="N136" i="7"/>
  <c r="M136" i="7"/>
  <c r="L136" i="7"/>
  <c r="K136" i="7"/>
  <c r="I136" i="7"/>
  <c r="J136" i="7" s="1"/>
  <c r="H136" i="7"/>
  <c r="G136" i="7"/>
  <c r="F136" i="7"/>
  <c r="E136" i="7"/>
  <c r="D136" i="7"/>
  <c r="B136" i="7"/>
  <c r="T135" i="7"/>
  <c r="S135" i="7"/>
  <c r="R135" i="7"/>
  <c r="Q135" i="7"/>
  <c r="P135" i="7"/>
  <c r="O135" i="7"/>
  <c r="N135" i="7"/>
  <c r="M135" i="7"/>
  <c r="L135" i="7"/>
  <c r="K135" i="7"/>
  <c r="I135" i="7"/>
  <c r="J135" i="7" s="1"/>
  <c r="H135" i="7"/>
  <c r="G135" i="7"/>
  <c r="F135" i="7"/>
  <c r="E135" i="7"/>
  <c r="D135" i="7"/>
  <c r="B135" i="7"/>
  <c r="T134" i="7"/>
  <c r="S134" i="7"/>
  <c r="R134" i="7"/>
  <c r="Q134" i="7"/>
  <c r="P134" i="7"/>
  <c r="O134" i="7"/>
  <c r="N134" i="7"/>
  <c r="M134" i="7"/>
  <c r="L134" i="7"/>
  <c r="K134" i="7"/>
  <c r="I134" i="7"/>
  <c r="J134" i="7" s="1"/>
  <c r="H134" i="7"/>
  <c r="G134" i="7"/>
  <c r="F134" i="7"/>
  <c r="E134" i="7"/>
  <c r="D134" i="7"/>
  <c r="B134" i="7"/>
  <c r="T133" i="7"/>
  <c r="S133" i="7"/>
  <c r="R133" i="7"/>
  <c r="Q133" i="7"/>
  <c r="P133" i="7"/>
  <c r="O133" i="7"/>
  <c r="N133" i="7"/>
  <c r="M133" i="7"/>
  <c r="L133" i="7"/>
  <c r="K133" i="7"/>
  <c r="I133" i="7"/>
  <c r="J133" i="7" s="1"/>
  <c r="H133" i="7"/>
  <c r="G133" i="7"/>
  <c r="F133" i="7"/>
  <c r="E133" i="7"/>
  <c r="D133" i="7"/>
  <c r="B133" i="7"/>
  <c r="C133" i="7" s="1"/>
  <c r="T132" i="7"/>
  <c r="S132" i="7"/>
  <c r="R132" i="7"/>
  <c r="Q132" i="7"/>
  <c r="P132" i="7"/>
  <c r="O132" i="7"/>
  <c r="N132" i="7"/>
  <c r="M132" i="7"/>
  <c r="L132" i="7"/>
  <c r="K132" i="7"/>
  <c r="I132" i="7"/>
  <c r="J132" i="7" s="1"/>
  <c r="AY132" i="7" s="1"/>
  <c r="H132" i="7"/>
  <c r="G132" i="7"/>
  <c r="F132" i="7"/>
  <c r="E132" i="7"/>
  <c r="D132" i="7"/>
  <c r="B132" i="7"/>
  <c r="T131" i="7"/>
  <c r="S131" i="7"/>
  <c r="R131" i="7"/>
  <c r="Q131" i="7"/>
  <c r="P131" i="7"/>
  <c r="O131" i="7"/>
  <c r="N131" i="7"/>
  <c r="M131" i="7"/>
  <c r="L131" i="7"/>
  <c r="K131" i="7"/>
  <c r="I131" i="7"/>
  <c r="J131" i="7" s="1"/>
  <c r="H131" i="7"/>
  <c r="G131" i="7"/>
  <c r="F131" i="7"/>
  <c r="E131" i="7"/>
  <c r="D131" i="7"/>
  <c r="B131" i="7"/>
  <c r="T130" i="7"/>
  <c r="S130" i="7"/>
  <c r="R130" i="7"/>
  <c r="Q130" i="7"/>
  <c r="P130" i="7"/>
  <c r="O130" i="7"/>
  <c r="N130" i="7"/>
  <c r="M130" i="7"/>
  <c r="L130" i="7"/>
  <c r="K130" i="7"/>
  <c r="I130" i="7"/>
  <c r="J130" i="7" s="1"/>
  <c r="AY130" i="7" s="1"/>
  <c r="H130" i="7"/>
  <c r="G130" i="7"/>
  <c r="F130" i="7"/>
  <c r="E130" i="7"/>
  <c r="D130" i="7"/>
  <c r="B130" i="7"/>
  <c r="T129" i="7"/>
  <c r="S129" i="7"/>
  <c r="R129" i="7"/>
  <c r="Q129" i="7"/>
  <c r="P129" i="7"/>
  <c r="O129" i="7"/>
  <c r="N129" i="7"/>
  <c r="M129" i="7"/>
  <c r="L129" i="7"/>
  <c r="K129" i="7"/>
  <c r="I129" i="7"/>
  <c r="J129" i="7" s="1"/>
  <c r="H129" i="7"/>
  <c r="G129" i="7"/>
  <c r="F129" i="7"/>
  <c r="E129" i="7"/>
  <c r="D129" i="7"/>
  <c r="B129" i="7"/>
  <c r="T128" i="7"/>
  <c r="S128" i="7"/>
  <c r="R128" i="7"/>
  <c r="Q128" i="7"/>
  <c r="P128" i="7"/>
  <c r="O128" i="7"/>
  <c r="N128" i="7"/>
  <c r="M128" i="7"/>
  <c r="L128" i="7"/>
  <c r="K128" i="7"/>
  <c r="I128" i="7"/>
  <c r="J128" i="7" s="1"/>
  <c r="H128" i="7"/>
  <c r="G128" i="7"/>
  <c r="F128" i="7"/>
  <c r="E128" i="7"/>
  <c r="D128" i="7"/>
  <c r="B128" i="7"/>
  <c r="T127" i="7"/>
  <c r="S127" i="7"/>
  <c r="R127" i="7"/>
  <c r="Q127" i="7"/>
  <c r="P127" i="7"/>
  <c r="O127" i="7"/>
  <c r="N127" i="7"/>
  <c r="M127" i="7"/>
  <c r="L127" i="7"/>
  <c r="K127" i="7"/>
  <c r="I127" i="7"/>
  <c r="J127" i="7" s="1"/>
  <c r="H127" i="7"/>
  <c r="G127" i="7"/>
  <c r="F127" i="7"/>
  <c r="E127" i="7"/>
  <c r="D127" i="7"/>
  <c r="B127" i="7"/>
  <c r="T126" i="7"/>
  <c r="S126" i="7"/>
  <c r="R126" i="7"/>
  <c r="Q126" i="7"/>
  <c r="P126" i="7"/>
  <c r="O126" i="7"/>
  <c r="N126" i="7"/>
  <c r="M126" i="7"/>
  <c r="L126" i="7"/>
  <c r="K126" i="7"/>
  <c r="I126" i="7"/>
  <c r="J126" i="7" s="1"/>
  <c r="H126" i="7"/>
  <c r="G126" i="7"/>
  <c r="F126" i="7"/>
  <c r="E126" i="7"/>
  <c r="D126" i="7"/>
  <c r="B126" i="7"/>
  <c r="T125" i="7"/>
  <c r="S125" i="7"/>
  <c r="R125" i="7"/>
  <c r="Q125" i="7"/>
  <c r="P125" i="7"/>
  <c r="O125" i="7"/>
  <c r="N125" i="7"/>
  <c r="M125" i="7"/>
  <c r="L125" i="7"/>
  <c r="K125" i="7"/>
  <c r="I125" i="7"/>
  <c r="J125" i="7" s="1"/>
  <c r="H125" i="7"/>
  <c r="G125" i="7"/>
  <c r="F125" i="7"/>
  <c r="E125" i="7"/>
  <c r="D125" i="7"/>
  <c r="B125" i="7"/>
  <c r="T124" i="7"/>
  <c r="S124" i="7"/>
  <c r="R124" i="7"/>
  <c r="Q124" i="7"/>
  <c r="P124" i="7"/>
  <c r="O124" i="7"/>
  <c r="N124" i="7"/>
  <c r="M124" i="7"/>
  <c r="L124" i="7"/>
  <c r="K124" i="7"/>
  <c r="I124" i="7"/>
  <c r="J124" i="7" s="1"/>
  <c r="AY124" i="7" s="1"/>
  <c r="H124" i="7"/>
  <c r="G124" i="7"/>
  <c r="F124" i="7"/>
  <c r="E124" i="7"/>
  <c r="D124" i="7"/>
  <c r="B124" i="7"/>
  <c r="T123" i="7"/>
  <c r="S123" i="7"/>
  <c r="R123" i="7"/>
  <c r="Q123" i="7"/>
  <c r="P123" i="7"/>
  <c r="O123" i="7"/>
  <c r="N123" i="7"/>
  <c r="M123" i="7"/>
  <c r="L123" i="7"/>
  <c r="K123" i="7"/>
  <c r="I123" i="7"/>
  <c r="J123" i="7" s="1"/>
  <c r="AY123" i="7" s="1"/>
  <c r="H123" i="7"/>
  <c r="G123" i="7"/>
  <c r="F123" i="7"/>
  <c r="E123" i="7"/>
  <c r="D123" i="7"/>
  <c r="B123" i="7"/>
  <c r="T122" i="7"/>
  <c r="S122" i="7"/>
  <c r="R122" i="7"/>
  <c r="Q122" i="7"/>
  <c r="P122" i="7"/>
  <c r="O122" i="7"/>
  <c r="N122" i="7"/>
  <c r="M122" i="7"/>
  <c r="L122" i="7"/>
  <c r="K122" i="7"/>
  <c r="I122" i="7"/>
  <c r="J122" i="7" s="1"/>
  <c r="H122" i="7"/>
  <c r="G122" i="7"/>
  <c r="F122" i="7"/>
  <c r="E122" i="7"/>
  <c r="D122" i="7"/>
  <c r="B122" i="7"/>
  <c r="T121" i="7"/>
  <c r="S121" i="7"/>
  <c r="R121" i="7"/>
  <c r="Q121" i="7"/>
  <c r="P121" i="7"/>
  <c r="O121" i="7"/>
  <c r="N121" i="7"/>
  <c r="M121" i="7"/>
  <c r="L121" i="7"/>
  <c r="K121" i="7"/>
  <c r="I121" i="7"/>
  <c r="J121" i="7" s="1"/>
  <c r="H121" i="7"/>
  <c r="G121" i="7"/>
  <c r="F121" i="7"/>
  <c r="E121" i="7"/>
  <c r="D121" i="7"/>
  <c r="B121" i="7"/>
  <c r="T120" i="7"/>
  <c r="S120" i="7"/>
  <c r="R120" i="7"/>
  <c r="Q120" i="7"/>
  <c r="P120" i="7"/>
  <c r="O120" i="7"/>
  <c r="N120" i="7"/>
  <c r="M120" i="7"/>
  <c r="L120" i="7"/>
  <c r="K120" i="7"/>
  <c r="I120" i="7"/>
  <c r="J120" i="7" s="1"/>
  <c r="AY120" i="7" s="1"/>
  <c r="H120" i="7"/>
  <c r="G120" i="7"/>
  <c r="F120" i="7"/>
  <c r="E120" i="7"/>
  <c r="D120" i="7"/>
  <c r="B120" i="7"/>
  <c r="T119" i="7"/>
  <c r="S119" i="7"/>
  <c r="R119" i="7"/>
  <c r="Q119" i="7"/>
  <c r="P119" i="7"/>
  <c r="O119" i="7"/>
  <c r="N119" i="7"/>
  <c r="M119" i="7"/>
  <c r="L119" i="7"/>
  <c r="K119" i="7"/>
  <c r="I119" i="7"/>
  <c r="J119" i="7" s="1"/>
  <c r="H119" i="7"/>
  <c r="G119" i="7"/>
  <c r="F119" i="7"/>
  <c r="E119" i="7"/>
  <c r="D119" i="7"/>
  <c r="B119" i="7"/>
  <c r="T118" i="7"/>
  <c r="S118" i="7"/>
  <c r="R118" i="7"/>
  <c r="Q118" i="7"/>
  <c r="P118" i="7"/>
  <c r="O118" i="7"/>
  <c r="N118" i="7"/>
  <c r="M118" i="7"/>
  <c r="L118" i="7"/>
  <c r="K118" i="7"/>
  <c r="I118" i="7"/>
  <c r="J118" i="7" s="1"/>
  <c r="H118" i="7"/>
  <c r="G118" i="7"/>
  <c r="F118" i="7"/>
  <c r="E118" i="7"/>
  <c r="D118" i="7"/>
  <c r="B118" i="7"/>
  <c r="C118" i="7" s="1"/>
  <c r="T117" i="7"/>
  <c r="S117" i="7"/>
  <c r="R117" i="7"/>
  <c r="Q117" i="7"/>
  <c r="P117" i="7"/>
  <c r="O117" i="7"/>
  <c r="N117" i="7"/>
  <c r="M117" i="7"/>
  <c r="L117" i="7"/>
  <c r="K117" i="7"/>
  <c r="I117" i="7"/>
  <c r="J117" i="7" s="1"/>
  <c r="AY117" i="7" s="1"/>
  <c r="H117" i="7"/>
  <c r="G117" i="7"/>
  <c r="F117" i="7"/>
  <c r="E117" i="7"/>
  <c r="D117" i="7"/>
  <c r="B117" i="7"/>
  <c r="T116" i="7"/>
  <c r="S116" i="7"/>
  <c r="R116" i="7"/>
  <c r="Q116" i="7"/>
  <c r="P116" i="7"/>
  <c r="O116" i="7"/>
  <c r="N116" i="7"/>
  <c r="M116" i="7"/>
  <c r="L116" i="7"/>
  <c r="K116" i="7"/>
  <c r="I116" i="7"/>
  <c r="J116" i="7" s="1"/>
  <c r="AY116" i="7" s="1"/>
  <c r="H116" i="7"/>
  <c r="G116" i="7"/>
  <c r="F116" i="7"/>
  <c r="E116" i="7"/>
  <c r="D116" i="7"/>
  <c r="B116" i="7"/>
  <c r="T115" i="7"/>
  <c r="S115" i="7"/>
  <c r="R115" i="7"/>
  <c r="Q115" i="7"/>
  <c r="P115" i="7"/>
  <c r="O115" i="7"/>
  <c r="N115" i="7"/>
  <c r="M115" i="7"/>
  <c r="L115" i="7"/>
  <c r="K115" i="7"/>
  <c r="I115" i="7"/>
  <c r="J115" i="7" s="1"/>
  <c r="AY115" i="7" s="1"/>
  <c r="H115" i="7"/>
  <c r="G115" i="7"/>
  <c r="F115" i="7"/>
  <c r="E115" i="7"/>
  <c r="D115" i="7"/>
  <c r="B115" i="7"/>
  <c r="T114" i="7"/>
  <c r="S114" i="7"/>
  <c r="R114" i="7"/>
  <c r="Q114" i="7"/>
  <c r="P114" i="7"/>
  <c r="O114" i="7"/>
  <c r="N114" i="7"/>
  <c r="M114" i="7"/>
  <c r="L114" i="7"/>
  <c r="K114" i="7"/>
  <c r="I114" i="7"/>
  <c r="J114" i="7" s="1"/>
  <c r="H114" i="7"/>
  <c r="G114" i="7"/>
  <c r="F114" i="7"/>
  <c r="E114" i="7"/>
  <c r="D114" i="7"/>
  <c r="B114" i="7"/>
  <c r="T113" i="7"/>
  <c r="S113" i="7"/>
  <c r="R113" i="7"/>
  <c r="Q113" i="7"/>
  <c r="P113" i="7"/>
  <c r="O113" i="7"/>
  <c r="N113" i="7"/>
  <c r="M113" i="7"/>
  <c r="L113" i="7"/>
  <c r="K113" i="7"/>
  <c r="I113" i="7"/>
  <c r="J113" i="7" s="1"/>
  <c r="AY113" i="7" s="1"/>
  <c r="H113" i="7"/>
  <c r="G113" i="7"/>
  <c r="F113" i="7"/>
  <c r="E113" i="7"/>
  <c r="D113" i="7"/>
  <c r="B113" i="7"/>
  <c r="T112" i="7"/>
  <c r="S112" i="7"/>
  <c r="R112" i="7"/>
  <c r="Q112" i="7"/>
  <c r="P112" i="7"/>
  <c r="O112" i="7"/>
  <c r="N112" i="7"/>
  <c r="M112" i="7"/>
  <c r="L112" i="7"/>
  <c r="K112" i="7"/>
  <c r="I112" i="7"/>
  <c r="J112" i="7" s="1"/>
  <c r="H112" i="7"/>
  <c r="G112" i="7"/>
  <c r="F112" i="7"/>
  <c r="E112" i="7"/>
  <c r="D112" i="7"/>
  <c r="B112" i="7"/>
  <c r="T111" i="7"/>
  <c r="S111" i="7"/>
  <c r="R111" i="7"/>
  <c r="Q111" i="7"/>
  <c r="P111" i="7"/>
  <c r="O111" i="7"/>
  <c r="N111" i="7"/>
  <c r="M111" i="7"/>
  <c r="L111" i="7"/>
  <c r="K111" i="7"/>
  <c r="I111" i="7"/>
  <c r="J111" i="7" s="1"/>
  <c r="AY111" i="7" s="1"/>
  <c r="H111" i="7"/>
  <c r="G111" i="7"/>
  <c r="F111" i="7"/>
  <c r="E111" i="7"/>
  <c r="D111" i="7"/>
  <c r="B111" i="7"/>
  <c r="T110" i="7"/>
  <c r="S110" i="7"/>
  <c r="R110" i="7"/>
  <c r="Q110" i="7"/>
  <c r="P110" i="7"/>
  <c r="O110" i="7"/>
  <c r="N110" i="7"/>
  <c r="M110" i="7"/>
  <c r="L110" i="7"/>
  <c r="K110" i="7"/>
  <c r="I110" i="7"/>
  <c r="J110" i="7" s="1"/>
  <c r="AY110" i="7" s="1"/>
  <c r="H110" i="7"/>
  <c r="G110" i="7"/>
  <c r="F110" i="7"/>
  <c r="E110" i="7"/>
  <c r="D110" i="7"/>
  <c r="B110" i="7"/>
  <c r="T109" i="7"/>
  <c r="S109" i="7"/>
  <c r="R109" i="7"/>
  <c r="Q109" i="7"/>
  <c r="P109" i="7"/>
  <c r="O109" i="7"/>
  <c r="N109" i="7"/>
  <c r="M109" i="7"/>
  <c r="L109" i="7"/>
  <c r="K109" i="7"/>
  <c r="I109" i="7"/>
  <c r="J109" i="7" s="1"/>
  <c r="H109" i="7"/>
  <c r="G109" i="7"/>
  <c r="F109" i="7"/>
  <c r="E109" i="7"/>
  <c r="D109" i="7"/>
  <c r="B109" i="7"/>
  <c r="T108" i="7"/>
  <c r="S108" i="7"/>
  <c r="R108" i="7"/>
  <c r="Q108" i="7"/>
  <c r="P108" i="7"/>
  <c r="O108" i="7"/>
  <c r="N108" i="7"/>
  <c r="M108" i="7"/>
  <c r="L108" i="7"/>
  <c r="K108" i="7"/>
  <c r="I108" i="7"/>
  <c r="J108" i="7" s="1"/>
  <c r="H108" i="7"/>
  <c r="G108" i="7"/>
  <c r="F108" i="7"/>
  <c r="E108" i="7"/>
  <c r="D108" i="7"/>
  <c r="B108" i="7"/>
  <c r="T107" i="7"/>
  <c r="S107" i="7"/>
  <c r="R107" i="7"/>
  <c r="Q107" i="7"/>
  <c r="P107" i="7"/>
  <c r="O107" i="7"/>
  <c r="N107" i="7"/>
  <c r="M107" i="7"/>
  <c r="L107" i="7"/>
  <c r="K107" i="7"/>
  <c r="I107" i="7"/>
  <c r="J107" i="7" s="1"/>
  <c r="H107" i="7"/>
  <c r="G107" i="7"/>
  <c r="F107" i="7"/>
  <c r="E107" i="7"/>
  <c r="D107" i="7"/>
  <c r="B107" i="7"/>
  <c r="T106" i="7"/>
  <c r="S106" i="7"/>
  <c r="R106" i="7"/>
  <c r="Q106" i="7"/>
  <c r="P106" i="7"/>
  <c r="O106" i="7"/>
  <c r="N106" i="7"/>
  <c r="M106" i="7"/>
  <c r="L106" i="7"/>
  <c r="K106" i="7"/>
  <c r="I106" i="7"/>
  <c r="J106" i="7" s="1"/>
  <c r="AY106" i="7" s="1"/>
  <c r="H106" i="7"/>
  <c r="G106" i="7"/>
  <c r="F106" i="7"/>
  <c r="E106" i="7"/>
  <c r="D106" i="7"/>
  <c r="B106" i="7"/>
  <c r="T105" i="7"/>
  <c r="S105" i="7"/>
  <c r="R105" i="7"/>
  <c r="Q105" i="7"/>
  <c r="P105" i="7"/>
  <c r="O105" i="7"/>
  <c r="N105" i="7"/>
  <c r="M105" i="7"/>
  <c r="L105" i="7"/>
  <c r="K105" i="7"/>
  <c r="I105" i="7"/>
  <c r="J105" i="7" s="1"/>
  <c r="AY105" i="7" s="1"/>
  <c r="H105" i="7"/>
  <c r="G105" i="7"/>
  <c r="F105" i="7"/>
  <c r="E105" i="7"/>
  <c r="D105" i="7"/>
  <c r="B105" i="7"/>
  <c r="T104" i="7"/>
  <c r="S104" i="7"/>
  <c r="R104" i="7"/>
  <c r="Q104" i="7"/>
  <c r="P104" i="7"/>
  <c r="O104" i="7"/>
  <c r="N104" i="7"/>
  <c r="M104" i="7"/>
  <c r="L104" i="7"/>
  <c r="K104" i="7"/>
  <c r="I104" i="7"/>
  <c r="J104" i="7" s="1"/>
  <c r="H104" i="7"/>
  <c r="G104" i="7"/>
  <c r="F104" i="7"/>
  <c r="E104" i="7"/>
  <c r="D104" i="7"/>
  <c r="B104" i="7"/>
  <c r="T103" i="7"/>
  <c r="S103" i="7"/>
  <c r="R103" i="7"/>
  <c r="Q103" i="7"/>
  <c r="P103" i="7"/>
  <c r="O103" i="7"/>
  <c r="N103" i="7"/>
  <c r="M103" i="7"/>
  <c r="L103" i="7"/>
  <c r="K103" i="7"/>
  <c r="I103" i="7"/>
  <c r="J103" i="7" s="1"/>
  <c r="H103" i="7"/>
  <c r="G103" i="7"/>
  <c r="F103" i="7"/>
  <c r="E103" i="7"/>
  <c r="D103" i="7"/>
  <c r="B103" i="7"/>
  <c r="C103" i="7" s="1"/>
  <c r="T102" i="7"/>
  <c r="S102" i="7"/>
  <c r="R102" i="7"/>
  <c r="Q102" i="7"/>
  <c r="P102" i="7"/>
  <c r="O102" i="7"/>
  <c r="N102" i="7"/>
  <c r="M102" i="7"/>
  <c r="L102" i="7"/>
  <c r="K102" i="7"/>
  <c r="I102" i="7"/>
  <c r="J102" i="7" s="1"/>
  <c r="H102" i="7"/>
  <c r="G102" i="7"/>
  <c r="F102" i="7"/>
  <c r="E102" i="7"/>
  <c r="D102" i="7"/>
  <c r="B102" i="7"/>
  <c r="T101" i="7"/>
  <c r="S101" i="7"/>
  <c r="R101" i="7"/>
  <c r="Q101" i="7"/>
  <c r="P101" i="7"/>
  <c r="O101" i="7"/>
  <c r="N101" i="7"/>
  <c r="M101" i="7"/>
  <c r="L101" i="7"/>
  <c r="K101" i="7"/>
  <c r="I101" i="7"/>
  <c r="J101" i="7" s="1"/>
  <c r="AY101" i="7" s="1"/>
  <c r="H101" i="7"/>
  <c r="G101" i="7"/>
  <c r="F101" i="7"/>
  <c r="E101" i="7"/>
  <c r="D101" i="7"/>
  <c r="B101" i="7"/>
  <c r="C101" i="7" s="1"/>
  <c r="T100" i="7"/>
  <c r="S100" i="7"/>
  <c r="R100" i="7"/>
  <c r="Q100" i="7"/>
  <c r="P100" i="7"/>
  <c r="O100" i="7"/>
  <c r="N100" i="7"/>
  <c r="M100" i="7"/>
  <c r="L100" i="7"/>
  <c r="K100" i="7"/>
  <c r="I100" i="7"/>
  <c r="J100" i="7" s="1"/>
  <c r="H100" i="7"/>
  <c r="G100" i="7"/>
  <c r="F100" i="7"/>
  <c r="E100" i="7"/>
  <c r="D100" i="7"/>
  <c r="B100" i="7"/>
  <c r="T99" i="7"/>
  <c r="S99" i="7"/>
  <c r="R99" i="7"/>
  <c r="Q99" i="7"/>
  <c r="P99" i="7"/>
  <c r="O99" i="7"/>
  <c r="N99" i="7"/>
  <c r="M99" i="7"/>
  <c r="L99" i="7"/>
  <c r="K99" i="7"/>
  <c r="I99" i="7"/>
  <c r="J99" i="7" s="1"/>
  <c r="H99" i="7"/>
  <c r="G99" i="7"/>
  <c r="F99" i="7"/>
  <c r="E99" i="7"/>
  <c r="D99" i="7"/>
  <c r="B99" i="7"/>
  <c r="C99" i="7" s="1"/>
  <c r="AD99" i="7" s="1"/>
  <c r="T98" i="7"/>
  <c r="S98" i="7"/>
  <c r="R98" i="7"/>
  <c r="Q98" i="7"/>
  <c r="P98" i="7"/>
  <c r="O98" i="7"/>
  <c r="N98" i="7"/>
  <c r="M98" i="7"/>
  <c r="L98" i="7"/>
  <c r="K98" i="7"/>
  <c r="I98" i="7"/>
  <c r="J98" i="7" s="1"/>
  <c r="AY98" i="7" s="1"/>
  <c r="H98" i="7"/>
  <c r="G98" i="7"/>
  <c r="F98" i="7"/>
  <c r="E98" i="7"/>
  <c r="D98" i="7"/>
  <c r="B98" i="7"/>
  <c r="T97" i="7"/>
  <c r="S97" i="7"/>
  <c r="R97" i="7"/>
  <c r="Q97" i="7"/>
  <c r="P97" i="7"/>
  <c r="O97" i="7"/>
  <c r="N97" i="7"/>
  <c r="M97" i="7"/>
  <c r="L97" i="7"/>
  <c r="K97" i="7"/>
  <c r="I97" i="7"/>
  <c r="J97" i="7" s="1"/>
  <c r="H97" i="7"/>
  <c r="G97" i="7"/>
  <c r="F97" i="7"/>
  <c r="E97" i="7"/>
  <c r="D97" i="7"/>
  <c r="B97" i="7"/>
  <c r="T96" i="7"/>
  <c r="S96" i="7"/>
  <c r="R96" i="7"/>
  <c r="Q96" i="7"/>
  <c r="P96" i="7"/>
  <c r="O96" i="7"/>
  <c r="N96" i="7"/>
  <c r="M96" i="7"/>
  <c r="L96" i="7"/>
  <c r="K96" i="7"/>
  <c r="I96" i="7"/>
  <c r="J96" i="7" s="1"/>
  <c r="H96" i="7"/>
  <c r="G96" i="7"/>
  <c r="F96" i="7"/>
  <c r="E96" i="7"/>
  <c r="D96" i="7"/>
  <c r="B96" i="7"/>
  <c r="T95" i="7"/>
  <c r="S95" i="7"/>
  <c r="R95" i="7"/>
  <c r="Q95" i="7"/>
  <c r="P95" i="7"/>
  <c r="O95" i="7"/>
  <c r="N95" i="7"/>
  <c r="M95" i="7"/>
  <c r="L95" i="7"/>
  <c r="K95" i="7"/>
  <c r="I95" i="7"/>
  <c r="J95" i="7" s="1"/>
  <c r="AY95" i="7" s="1"/>
  <c r="H95" i="7"/>
  <c r="G95" i="7"/>
  <c r="F95" i="7"/>
  <c r="E95" i="7"/>
  <c r="D95" i="7"/>
  <c r="B95" i="7"/>
  <c r="T94" i="7"/>
  <c r="S94" i="7"/>
  <c r="R94" i="7"/>
  <c r="Q94" i="7"/>
  <c r="P94" i="7"/>
  <c r="O94" i="7"/>
  <c r="N94" i="7"/>
  <c r="M94" i="7"/>
  <c r="L94" i="7"/>
  <c r="K94" i="7"/>
  <c r="I94" i="7"/>
  <c r="J94" i="7" s="1"/>
  <c r="H94" i="7"/>
  <c r="G94" i="7"/>
  <c r="F94" i="7"/>
  <c r="E94" i="7"/>
  <c r="D94" i="7"/>
  <c r="B94" i="7"/>
  <c r="T93" i="7"/>
  <c r="S93" i="7"/>
  <c r="R93" i="7"/>
  <c r="Q93" i="7"/>
  <c r="P93" i="7"/>
  <c r="O93" i="7"/>
  <c r="N93" i="7"/>
  <c r="M93" i="7"/>
  <c r="L93" i="7"/>
  <c r="K93" i="7"/>
  <c r="I93" i="7"/>
  <c r="J93" i="7" s="1"/>
  <c r="H93" i="7"/>
  <c r="G93" i="7"/>
  <c r="F93" i="7"/>
  <c r="E93" i="7"/>
  <c r="D93" i="7"/>
  <c r="B93" i="7"/>
  <c r="T92" i="7"/>
  <c r="S92" i="7"/>
  <c r="R92" i="7"/>
  <c r="Q92" i="7"/>
  <c r="P92" i="7"/>
  <c r="O92" i="7"/>
  <c r="N92" i="7"/>
  <c r="M92" i="7"/>
  <c r="L92" i="7"/>
  <c r="K92" i="7"/>
  <c r="I92" i="7"/>
  <c r="J92" i="7" s="1"/>
  <c r="H92" i="7"/>
  <c r="G92" i="7"/>
  <c r="F92" i="7"/>
  <c r="E92" i="7"/>
  <c r="D92" i="7"/>
  <c r="B92" i="7"/>
  <c r="T91" i="7"/>
  <c r="S91" i="7"/>
  <c r="R91" i="7"/>
  <c r="Q91" i="7"/>
  <c r="P91" i="7"/>
  <c r="O91" i="7"/>
  <c r="N91" i="7"/>
  <c r="M91" i="7"/>
  <c r="L91" i="7"/>
  <c r="K91" i="7"/>
  <c r="I91" i="7"/>
  <c r="J91" i="7" s="1"/>
  <c r="AY91" i="7" s="1"/>
  <c r="H91" i="7"/>
  <c r="G91" i="7"/>
  <c r="F91" i="7"/>
  <c r="E91" i="7"/>
  <c r="D91" i="7"/>
  <c r="B91" i="7"/>
  <c r="C91" i="7" s="1"/>
  <c r="T90" i="7"/>
  <c r="S90" i="7"/>
  <c r="R90" i="7"/>
  <c r="Q90" i="7"/>
  <c r="P90" i="7"/>
  <c r="O90" i="7"/>
  <c r="N90" i="7"/>
  <c r="M90" i="7"/>
  <c r="L90" i="7"/>
  <c r="K90" i="7"/>
  <c r="I90" i="7"/>
  <c r="J90" i="7" s="1"/>
  <c r="H90" i="7"/>
  <c r="G90" i="7"/>
  <c r="F90" i="7"/>
  <c r="E90" i="7"/>
  <c r="D90" i="7"/>
  <c r="B90" i="7"/>
  <c r="T89" i="7"/>
  <c r="S89" i="7"/>
  <c r="R89" i="7"/>
  <c r="Q89" i="7"/>
  <c r="P89" i="7"/>
  <c r="O89" i="7"/>
  <c r="N89" i="7"/>
  <c r="M89" i="7"/>
  <c r="L89" i="7"/>
  <c r="K89" i="7"/>
  <c r="I89" i="7"/>
  <c r="J89" i="7" s="1"/>
  <c r="H89" i="7"/>
  <c r="G89" i="7"/>
  <c r="F89" i="7"/>
  <c r="E89" i="7"/>
  <c r="D89" i="7"/>
  <c r="B89" i="7"/>
  <c r="C89" i="7" s="1"/>
  <c r="T88" i="7"/>
  <c r="S88" i="7"/>
  <c r="R88" i="7"/>
  <c r="Q88" i="7"/>
  <c r="P88" i="7"/>
  <c r="O88" i="7"/>
  <c r="N88" i="7"/>
  <c r="M88" i="7"/>
  <c r="L88" i="7"/>
  <c r="K88" i="7"/>
  <c r="I88" i="7"/>
  <c r="J88" i="7" s="1"/>
  <c r="AY88" i="7" s="1"/>
  <c r="H88" i="7"/>
  <c r="G88" i="7"/>
  <c r="F88" i="7"/>
  <c r="E88" i="7"/>
  <c r="D88" i="7"/>
  <c r="B88" i="7"/>
  <c r="T87" i="7"/>
  <c r="S87" i="7"/>
  <c r="R87" i="7"/>
  <c r="Q87" i="7"/>
  <c r="P87" i="7"/>
  <c r="O87" i="7"/>
  <c r="N87" i="7"/>
  <c r="M87" i="7"/>
  <c r="L87" i="7"/>
  <c r="K87" i="7"/>
  <c r="I87" i="7"/>
  <c r="J87" i="7" s="1"/>
  <c r="AY87" i="7" s="1"/>
  <c r="H87" i="7"/>
  <c r="G87" i="7"/>
  <c r="F87" i="7"/>
  <c r="E87" i="7"/>
  <c r="D87" i="7"/>
  <c r="B87" i="7"/>
  <c r="T86" i="7"/>
  <c r="S86" i="7"/>
  <c r="R86" i="7"/>
  <c r="Q86" i="7"/>
  <c r="P86" i="7"/>
  <c r="O86" i="7"/>
  <c r="N86" i="7"/>
  <c r="M86" i="7"/>
  <c r="L86" i="7"/>
  <c r="K86" i="7"/>
  <c r="I86" i="7"/>
  <c r="J86" i="7" s="1"/>
  <c r="AY86" i="7" s="1"/>
  <c r="H86" i="7"/>
  <c r="G86" i="7"/>
  <c r="F86" i="7"/>
  <c r="E86" i="7"/>
  <c r="D86" i="7"/>
  <c r="B86" i="7"/>
  <c r="T85" i="7"/>
  <c r="S85" i="7"/>
  <c r="R85" i="7"/>
  <c r="Q85" i="7"/>
  <c r="P85" i="7"/>
  <c r="O85" i="7"/>
  <c r="N85" i="7"/>
  <c r="M85" i="7"/>
  <c r="L85" i="7"/>
  <c r="K85" i="7"/>
  <c r="I85" i="7"/>
  <c r="J85" i="7" s="1"/>
  <c r="H85" i="7"/>
  <c r="G85" i="7"/>
  <c r="F85" i="7"/>
  <c r="E85" i="7"/>
  <c r="D85" i="7"/>
  <c r="B85" i="7"/>
  <c r="T84" i="7"/>
  <c r="S84" i="7"/>
  <c r="R84" i="7"/>
  <c r="Q84" i="7"/>
  <c r="P84" i="7"/>
  <c r="O84" i="7"/>
  <c r="N84" i="7"/>
  <c r="M84" i="7"/>
  <c r="L84" i="7"/>
  <c r="K84" i="7"/>
  <c r="I84" i="7"/>
  <c r="J84" i="7" s="1"/>
  <c r="AY84" i="7" s="1"/>
  <c r="H84" i="7"/>
  <c r="G84" i="7"/>
  <c r="F84" i="7"/>
  <c r="E84" i="7"/>
  <c r="D84" i="7"/>
  <c r="B84" i="7"/>
  <c r="C84" i="7" s="1"/>
  <c r="T83" i="7"/>
  <c r="S83" i="7"/>
  <c r="R83" i="7"/>
  <c r="Q83" i="7"/>
  <c r="P83" i="7"/>
  <c r="O83" i="7"/>
  <c r="N83" i="7"/>
  <c r="M83" i="7"/>
  <c r="L83" i="7"/>
  <c r="K83" i="7"/>
  <c r="I83" i="7"/>
  <c r="J83" i="7" s="1"/>
  <c r="H83" i="7"/>
  <c r="G83" i="7"/>
  <c r="F83" i="7"/>
  <c r="E83" i="7"/>
  <c r="D83" i="7"/>
  <c r="B83" i="7"/>
  <c r="T82" i="7"/>
  <c r="S82" i="7"/>
  <c r="R82" i="7"/>
  <c r="Q82" i="7"/>
  <c r="P82" i="7"/>
  <c r="O82" i="7"/>
  <c r="N82" i="7"/>
  <c r="M82" i="7"/>
  <c r="L82" i="7"/>
  <c r="K82" i="7"/>
  <c r="I82" i="7"/>
  <c r="J82" i="7" s="1"/>
  <c r="AY82" i="7" s="1"/>
  <c r="H82" i="7"/>
  <c r="G82" i="7"/>
  <c r="F82" i="7"/>
  <c r="E82" i="7"/>
  <c r="D82" i="7"/>
  <c r="B82" i="7"/>
  <c r="T81" i="7"/>
  <c r="S81" i="7"/>
  <c r="R81" i="7"/>
  <c r="Q81" i="7"/>
  <c r="P81" i="7"/>
  <c r="O81" i="7"/>
  <c r="N81" i="7"/>
  <c r="M81" i="7"/>
  <c r="L81" i="7"/>
  <c r="K81" i="7"/>
  <c r="I81" i="7"/>
  <c r="J81" i="7" s="1"/>
  <c r="H81" i="7"/>
  <c r="G81" i="7"/>
  <c r="F81" i="7"/>
  <c r="E81" i="7"/>
  <c r="D81" i="7"/>
  <c r="B81" i="7"/>
  <c r="T80" i="7"/>
  <c r="S80" i="7"/>
  <c r="R80" i="7"/>
  <c r="Q80" i="7"/>
  <c r="P80" i="7"/>
  <c r="O80" i="7"/>
  <c r="N80" i="7"/>
  <c r="M80" i="7"/>
  <c r="L80" i="7"/>
  <c r="K80" i="7"/>
  <c r="I80" i="7"/>
  <c r="J80" i="7" s="1"/>
  <c r="AY80" i="7" s="1"/>
  <c r="H80" i="7"/>
  <c r="G80" i="7"/>
  <c r="F80" i="7"/>
  <c r="E80" i="7"/>
  <c r="D80" i="7"/>
  <c r="B80" i="7"/>
  <c r="T79" i="7"/>
  <c r="S79" i="7"/>
  <c r="R79" i="7"/>
  <c r="Q79" i="7"/>
  <c r="P79" i="7"/>
  <c r="O79" i="7"/>
  <c r="N79" i="7"/>
  <c r="M79" i="7"/>
  <c r="L79" i="7"/>
  <c r="K79" i="7"/>
  <c r="I79" i="7"/>
  <c r="J79" i="7" s="1"/>
  <c r="H79" i="7"/>
  <c r="G79" i="7"/>
  <c r="F79" i="7"/>
  <c r="E79" i="7"/>
  <c r="D79" i="7"/>
  <c r="B79" i="7"/>
  <c r="C79" i="7" s="1"/>
  <c r="AC79" i="7" s="1"/>
  <c r="T78" i="7"/>
  <c r="S78" i="7"/>
  <c r="R78" i="7"/>
  <c r="Q78" i="7"/>
  <c r="P78" i="7"/>
  <c r="O78" i="7"/>
  <c r="N78" i="7"/>
  <c r="M78" i="7"/>
  <c r="L78" i="7"/>
  <c r="K78" i="7"/>
  <c r="I78" i="7"/>
  <c r="J78" i="7" s="1"/>
  <c r="AY78" i="7" s="1"/>
  <c r="H78" i="7"/>
  <c r="G78" i="7"/>
  <c r="F78" i="7"/>
  <c r="E78" i="7"/>
  <c r="D78" i="7"/>
  <c r="B78" i="7"/>
  <c r="T77" i="7"/>
  <c r="S77" i="7"/>
  <c r="R77" i="7"/>
  <c r="Q77" i="7"/>
  <c r="P77" i="7"/>
  <c r="O77" i="7"/>
  <c r="N77" i="7"/>
  <c r="M77" i="7"/>
  <c r="L77" i="7"/>
  <c r="K77" i="7"/>
  <c r="I77" i="7"/>
  <c r="J77" i="7" s="1"/>
  <c r="AY77" i="7" s="1"/>
  <c r="H77" i="7"/>
  <c r="G77" i="7"/>
  <c r="F77" i="7"/>
  <c r="E77" i="7"/>
  <c r="D77" i="7"/>
  <c r="B77" i="7"/>
  <c r="C77" i="7" s="1"/>
  <c r="T76" i="7"/>
  <c r="S76" i="7"/>
  <c r="R76" i="7"/>
  <c r="Q76" i="7"/>
  <c r="P76" i="7"/>
  <c r="O76" i="7"/>
  <c r="N76" i="7"/>
  <c r="M76" i="7"/>
  <c r="L76" i="7"/>
  <c r="K76" i="7"/>
  <c r="I76" i="7"/>
  <c r="J76" i="7" s="1"/>
  <c r="H76" i="7"/>
  <c r="G76" i="7"/>
  <c r="F76" i="7"/>
  <c r="E76" i="7"/>
  <c r="D76" i="7"/>
  <c r="B76" i="7"/>
  <c r="T75" i="7"/>
  <c r="S75" i="7"/>
  <c r="R75" i="7"/>
  <c r="Q75" i="7"/>
  <c r="P75" i="7"/>
  <c r="O75" i="7"/>
  <c r="N75" i="7"/>
  <c r="M75" i="7"/>
  <c r="L75" i="7"/>
  <c r="K75" i="7"/>
  <c r="I75" i="7"/>
  <c r="J75" i="7" s="1"/>
  <c r="H75" i="7"/>
  <c r="G75" i="7"/>
  <c r="F75" i="7"/>
  <c r="E75" i="7"/>
  <c r="D75" i="7"/>
  <c r="B75" i="7"/>
  <c r="T74" i="7"/>
  <c r="S74" i="7"/>
  <c r="R74" i="7"/>
  <c r="Q74" i="7"/>
  <c r="P74" i="7"/>
  <c r="O74" i="7"/>
  <c r="N74" i="7"/>
  <c r="M74" i="7"/>
  <c r="L74" i="7"/>
  <c r="K74" i="7"/>
  <c r="I74" i="7"/>
  <c r="J74" i="7" s="1"/>
  <c r="H74" i="7"/>
  <c r="G74" i="7"/>
  <c r="F74" i="7"/>
  <c r="E74" i="7"/>
  <c r="D74" i="7"/>
  <c r="B74" i="7"/>
  <c r="T73" i="7"/>
  <c r="S73" i="7"/>
  <c r="R73" i="7"/>
  <c r="Q73" i="7"/>
  <c r="P73" i="7"/>
  <c r="O73" i="7"/>
  <c r="N73" i="7"/>
  <c r="M73" i="7"/>
  <c r="L73" i="7"/>
  <c r="K73" i="7"/>
  <c r="I73" i="7"/>
  <c r="J73" i="7" s="1"/>
  <c r="AY73" i="7" s="1"/>
  <c r="H73" i="7"/>
  <c r="G73" i="7"/>
  <c r="F73" i="7"/>
  <c r="E73" i="7"/>
  <c r="D73" i="7"/>
  <c r="B73" i="7"/>
  <c r="T72" i="7"/>
  <c r="S72" i="7"/>
  <c r="R72" i="7"/>
  <c r="Q72" i="7"/>
  <c r="P72" i="7"/>
  <c r="O72" i="7"/>
  <c r="N72" i="7"/>
  <c r="M72" i="7"/>
  <c r="L72" i="7"/>
  <c r="K72" i="7"/>
  <c r="I72" i="7"/>
  <c r="J72" i="7" s="1"/>
  <c r="H72" i="7"/>
  <c r="G72" i="7"/>
  <c r="F72" i="7"/>
  <c r="E72" i="7"/>
  <c r="D72" i="7"/>
  <c r="B72" i="7"/>
  <c r="T71" i="7"/>
  <c r="S71" i="7"/>
  <c r="R71" i="7"/>
  <c r="Q71" i="7"/>
  <c r="P71" i="7"/>
  <c r="O71" i="7"/>
  <c r="N71" i="7"/>
  <c r="M71" i="7"/>
  <c r="L71" i="7"/>
  <c r="K71" i="7"/>
  <c r="I71" i="7"/>
  <c r="J71" i="7" s="1"/>
  <c r="AY71" i="7" s="1"/>
  <c r="H71" i="7"/>
  <c r="G71" i="7"/>
  <c r="F71" i="7"/>
  <c r="E71" i="7"/>
  <c r="D71" i="7"/>
  <c r="B71" i="7"/>
  <c r="T70" i="7"/>
  <c r="S70" i="7"/>
  <c r="R70" i="7"/>
  <c r="Q70" i="7"/>
  <c r="P70" i="7"/>
  <c r="O70" i="7"/>
  <c r="N70" i="7"/>
  <c r="M70" i="7"/>
  <c r="L70" i="7"/>
  <c r="K70" i="7"/>
  <c r="I70" i="7"/>
  <c r="J70" i="7" s="1"/>
  <c r="H70" i="7"/>
  <c r="G70" i="7"/>
  <c r="F70" i="7"/>
  <c r="E70" i="7"/>
  <c r="D70" i="7"/>
  <c r="B70" i="7"/>
  <c r="T69" i="7"/>
  <c r="S69" i="7"/>
  <c r="R69" i="7"/>
  <c r="Q69" i="7"/>
  <c r="P69" i="7"/>
  <c r="O69" i="7"/>
  <c r="N69" i="7"/>
  <c r="M69" i="7"/>
  <c r="L69" i="7"/>
  <c r="K69" i="7"/>
  <c r="I69" i="7"/>
  <c r="J69" i="7" s="1"/>
  <c r="H69" i="7"/>
  <c r="G69" i="7"/>
  <c r="F69" i="7"/>
  <c r="E69" i="7"/>
  <c r="D69" i="7"/>
  <c r="B69" i="7"/>
  <c r="T68" i="7"/>
  <c r="S68" i="7"/>
  <c r="R68" i="7"/>
  <c r="Q68" i="7"/>
  <c r="P68" i="7"/>
  <c r="O68" i="7"/>
  <c r="N68" i="7"/>
  <c r="M68" i="7"/>
  <c r="L68" i="7"/>
  <c r="K68" i="7"/>
  <c r="I68" i="7"/>
  <c r="J68" i="7" s="1"/>
  <c r="AY68" i="7" s="1"/>
  <c r="H68" i="7"/>
  <c r="G68" i="7"/>
  <c r="F68" i="7"/>
  <c r="E68" i="7"/>
  <c r="D68" i="7"/>
  <c r="B68" i="7"/>
  <c r="T67" i="7"/>
  <c r="S67" i="7"/>
  <c r="R67" i="7"/>
  <c r="Q67" i="7"/>
  <c r="P67" i="7"/>
  <c r="O67" i="7"/>
  <c r="N67" i="7"/>
  <c r="M67" i="7"/>
  <c r="L67" i="7"/>
  <c r="K67" i="7"/>
  <c r="I67" i="7"/>
  <c r="J67" i="7" s="1"/>
  <c r="H67" i="7"/>
  <c r="G67" i="7"/>
  <c r="F67" i="7"/>
  <c r="E67" i="7"/>
  <c r="D67" i="7"/>
  <c r="B67" i="7"/>
  <c r="T66" i="7"/>
  <c r="S66" i="7"/>
  <c r="R66" i="7"/>
  <c r="Q66" i="7"/>
  <c r="P66" i="7"/>
  <c r="O66" i="7"/>
  <c r="N66" i="7"/>
  <c r="M66" i="7"/>
  <c r="L66" i="7"/>
  <c r="K66" i="7"/>
  <c r="I66" i="7"/>
  <c r="J66" i="7" s="1"/>
  <c r="AY66" i="7" s="1"/>
  <c r="H66" i="7"/>
  <c r="G66" i="7"/>
  <c r="F66" i="7"/>
  <c r="E66" i="7"/>
  <c r="D66" i="7"/>
  <c r="B66" i="7"/>
  <c r="T65" i="7"/>
  <c r="S65" i="7"/>
  <c r="R65" i="7"/>
  <c r="Q65" i="7"/>
  <c r="P65" i="7"/>
  <c r="O65" i="7"/>
  <c r="N65" i="7"/>
  <c r="M65" i="7"/>
  <c r="L65" i="7"/>
  <c r="K65" i="7"/>
  <c r="I65" i="7"/>
  <c r="J65" i="7" s="1"/>
  <c r="H65" i="7"/>
  <c r="G65" i="7"/>
  <c r="F65" i="7"/>
  <c r="E65" i="7"/>
  <c r="D65" i="7"/>
  <c r="B65" i="7"/>
  <c r="T64" i="7"/>
  <c r="S64" i="7"/>
  <c r="R64" i="7"/>
  <c r="Q64" i="7"/>
  <c r="P64" i="7"/>
  <c r="O64" i="7"/>
  <c r="N64" i="7"/>
  <c r="M64" i="7"/>
  <c r="L64" i="7"/>
  <c r="K64" i="7"/>
  <c r="I64" i="7"/>
  <c r="J64" i="7" s="1"/>
  <c r="H64" i="7"/>
  <c r="G64" i="7"/>
  <c r="F64" i="7"/>
  <c r="E64" i="7"/>
  <c r="D64" i="7"/>
  <c r="B64" i="7"/>
  <c r="T63" i="7"/>
  <c r="S63" i="7"/>
  <c r="R63" i="7"/>
  <c r="Q63" i="7"/>
  <c r="P63" i="7"/>
  <c r="O63" i="7"/>
  <c r="N63" i="7"/>
  <c r="M63" i="7"/>
  <c r="L63" i="7"/>
  <c r="K63" i="7"/>
  <c r="I63" i="7"/>
  <c r="J63" i="7" s="1"/>
  <c r="H63" i="7"/>
  <c r="G63" i="7"/>
  <c r="F63" i="7"/>
  <c r="E63" i="7"/>
  <c r="D63" i="7"/>
  <c r="B63" i="7"/>
  <c r="T62" i="7"/>
  <c r="S62" i="7"/>
  <c r="R62" i="7"/>
  <c r="Q62" i="7"/>
  <c r="P62" i="7"/>
  <c r="O62" i="7"/>
  <c r="N62" i="7"/>
  <c r="M62" i="7"/>
  <c r="L62" i="7"/>
  <c r="K62" i="7"/>
  <c r="I62" i="7"/>
  <c r="J62" i="7" s="1"/>
  <c r="H62" i="7"/>
  <c r="G62" i="7"/>
  <c r="F62" i="7"/>
  <c r="E62" i="7"/>
  <c r="D62" i="7"/>
  <c r="B62" i="7"/>
  <c r="T61" i="7"/>
  <c r="S61" i="7"/>
  <c r="R61" i="7"/>
  <c r="Q61" i="7"/>
  <c r="P61" i="7"/>
  <c r="O61" i="7"/>
  <c r="N61" i="7"/>
  <c r="M61" i="7"/>
  <c r="L61" i="7"/>
  <c r="K61" i="7"/>
  <c r="I61" i="7"/>
  <c r="J61" i="7" s="1"/>
  <c r="H61" i="7"/>
  <c r="G61" i="7"/>
  <c r="F61" i="7"/>
  <c r="E61" i="7"/>
  <c r="D61" i="7"/>
  <c r="B61" i="7"/>
  <c r="T60" i="7"/>
  <c r="S60" i="7"/>
  <c r="R60" i="7"/>
  <c r="Q60" i="7"/>
  <c r="P60" i="7"/>
  <c r="O60" i="7"/>
  <c r="N60" i="7"/>
  <c r="M60" i="7"/>
  <c r="L60" i="7"/>
  <c r="K60" i="7"/>
  <c r="I60" i="7"/>
  <c r="J60" i="7" s="1"/>
  <c r="AY60" i="7" s="1"/>
  <c r="H60" i="7"/>
  <c r="G60" i="7"/>
  <c r="F60" i="7"/>
  <c r="E60" i="7"/>
  <c r="D60" i="7"/>
  <c r="B60" i="7"/>
  <c r="T59" i="7"/>
  <c r="S59" i="7"/>
  <c r="R59" i="7"/>
  <c r="Q59" i="7"/>
  <c r="P59" i="7"/>
  <c r="O59" i="7"/>
  <c r="N59" i="7"/>
  <c r="M59" i="7"/>
  <c r="L59" i="7"/>
  <c r="K59" i="7"/>
  <c r="I59" i="7"/>
  <c r="J59" i="7" s="1"/>
  <c r="AY59" i="7" s="1"/>
  <c r="H59" i="7"/>
  <c r="G59" i="7"/>
  <c r="F59" i="7"/>
  <c r="E59" i="7"/>
  <c r="D59" i="7"/>
  <c r="B59" i="7"/>
  <c r="T58" i="7"/>
  <c r="S58" i="7"/>
  <c r="R58" i="7"/>
  <c r="Q58" i="7"/>
  <c r="P58" i="7"/>
  <c r="O58" i="7"/>
  <c r="N58" i="7"/>
  <c r="M58" i="7"/>
  <c r="L58" i="7"/>
  <c r="K58" i="7"/>
  <c r="I58" i="7"/>
  <c r="J58" i="7" s="1"/>
  <c r="AY58" i="7" s="1"/>
  <c r="H58" i="7"/>
  <c r="G58" i="7"/>
  <c r="F58" i="7"/>
  <c r="E58" i="7"/>
  <c r="D58" i="7"/>
  <c r="B58" i="7"/>
  <c r="T57" i="7"/>
  <c r="S57" i="7"/>
  <c r="R57" i="7"/>
  <c r="Q57" i="7"/>
  <c r="P57" i="7"/>
  <c r="O57" i="7"/>
  <c r="N57" i="7"/>
  <c r="M57" i="7"/>
  <c r="L57" i="7"/>
  <c r="K57" i="7"/>
  <c r="I57" i="7"/>
  <c r="J57" i="7" s="1"/>
  <c r="AY57" i="7" s="1"/>
  <c r="H57" i="7"/>
  <c r="G57" i="7"/>
  <c r="F57" i="7"/>
  <c r="E57" i="7"/>
  <c r="D57" i="7"/>
  <c r="B57" i="7"/>
  <c r="C57" i="7" s="1"/>
  <c r="AC57" i="7" s="1"/>
  <c r="T56" i="7"/>
  <c r="S56" i="7"/>
  <c r="R56" i="7"/>
  <c r="Q56" i="7"/>
  <c r="P56" i="7"/>
  <c r="O56" i="7"/>
  <c r="N56" i="7"/>
  <c r="M56" i="7"/>
  <c r="L56" i="7"/>
  <c r="K56" i="7"/>
  <c r="I56" i="7"/>
  <c r="J56" i="7" s="1"/>
  <c r="H56" i="7"/>
  <c r="G56" i="7"/>
  <c r="F56" i="7"/>
  <c r="E56" i="7"/>
  <c r="D56" i="7"/>
  <c r="B56" i="7"/>
  <c r="T55" i="7"/>
  <c r="S55" i="7"/>
  <c r="R55" i="7"/>
  <c r="Q55" i="7"/>
  <c r="P55" i="7"/>
  <c r="O55" i="7"/>
  <c r="N55" i="7"/>
  <c r="M55" i="7"/>
  <c r="L55" i="7"/>
  <c r="K55" i="7"/>
  <c r="I55" i="7"/>
  <c r="J55" i="7" s="1"/>
  <c r="AY55" i="7" s="1"/>
  <c r="H55" i="7"/>
  <c r="G55" i="7"/>
  <c r="F55" i="7"/>
  <c r="E55" i="7"/>
  <c r="D55" i="7"/>
  <c r="B55" i="7"/>
  <c r="T54" i="7"/>
  <c r="S54" i="7"/>
  <c r="R54" i="7"/>
  <c r="Q54" i="7"/>
  <c r="P54" i="7"/>
  <c r="O54" i="7"/>
  <c r="N54" i="7"/>
  <c r="M54" i="7"/>
  <c r="L54" i="7"/>
  <c r="K54" i="7"/>
  <c r="I54" i="7"/>
  <c r="J54" i="7" s="1"/>
  <c r="AY54" i="7" s="1"/>
  <c r="H54" i="7"/>
  <c r="G54" i="7"/>
  <c r="F54" i="7"/>
  <c r="E54" i="7"/>
  <c r="D54" i="7"/>
  <c r="B54" i="7"/>
  <c r="T53" i="7"/>
  <c r="S53" i="7"/>
  <c r="R53" i="7"/>
  <c r="Q53" i="7"/>
  <c r="P53" i="7"/>
  <c r="O53" i="7"/>
  <c r="N53" i="7"/>
  <c r="M53" i="7"/>
  <c r="L53" i="7"/>
  <c r="K53" i="7"/>
  <c r="I53" i="7"/>
  <c r="J53" i="7" s="1"/>
  <c r="H53" i="7"/>
  <c r="G53" i="7"/>
  <c r="F53" i="7"/>
  <c r="E53" i="7"/>
  <c r="D53" i="7"/>
  <c r="B53" i="7"/>
  <c r="T52" i="7"/>
  <c r="S52" i="7"/>
  <c r="R52" i="7"/>
  <c r="Q52" i="7"/>
  <c r="P52" i="7"/>
  <c r="O52" i="7"/>
  <c r="N52" i="7"/>
  <c r="M52" i="7"/>
  <c r="L52" i="7"/>
  <c r="K52" i="7"/>
  <c r="I52" i="7"/>
  <c r="J52" i="7" s="1"/>
  <c r="AY52" i="7" s="1"/>
  <c r="H52" i="7"/>
  <c r="G52" i="7"/>
  <c r="F52" i="7"/>
  <c r="E52" i="7"/>
  <c r="D52" i="7"/>
  <c r="B52" i="7"/>
  <c r="T51" i="7"/>
  <c r="S51" i="7"/>
  <c r="R51" i="7"/>
  <c r="Q51" i="7"/>
  <c r="P51" i="7"/>
  <c r="O51" i="7"/>
  <c r="N51" i="7"/>
  <c r="M51" i="7"/>
  <c r="L51" i="7"/>
  <c r="K51" i="7"/>
  <c r="I51" i="7"/>
  <c r="J51" i="7" s="1"/>
  <c r="H51" i="7"/>
  <c r="G51" i="7"/>
  <c r="F51" i="7"/>
  <c r="E51" i="7"/>
  <c r="D51" i="7"/>
  <c r="B51" i="7"/>
  <c r="T50" i="7"/>
  <c r="S50" i="7"/>
  <c r="R50" i="7"/>
  <c r="Q50" i="7"/>
  <c r="P50" i="7"/>
  <c r="O50" i="7"/>
  <c r="N50" i="7"/>
  <c r="M50" i="7"/>
  <c r="L50" i="7"/>
  <c r="K50" i="7"/>
  <c r="I50" i="7"/>
  <c r="J50" i="7" s="1"/>
  <c r="AY50" i="7" s="1"/>
  <c r="H50" i="7"/>
  <c r="G50" i="7"/>
  <c r="F50" i="7"/>
  <c r="E50" i="7"/>
  <c r="D50" i="7"/>
  <c r="B50" i="7"/>
  <c r="T49" i="7"/>
  <c r="S49" i="7"/>
  <c r="R49" i="7"/>
  <c r="Q49" i="7"/>
  <c r="P49" i="7"/>
  <c r="O49" i="7"/>
  <c r="N49" i="7"/>
  <c r="M49" i="7"/>
  <c r="L49" i="7"/>
  <c r="K49" i="7"/>
  <c r="I49" i="7"/>
  <c r="J49" i="7" s="1"/>
  <c r="H49" i="7"/>
  <c r="G49" i="7"/>
  <c r="F49" i="7"/>
  <c r="E49" i="7"/>
  <c r="D49" i="7"/>
  <c r="B49" i="7"/>
  <c r="T48" i="7"/>
  <c r="S48" i="7"/>
  <c r="R48" i="7"/>
  <c r="Q48" i="7"/>
  <c r="P48" i="7"/>
  <c r="O48" i="7"/>
  <c r="N48" i="7"/>
  <c r="M48" i="7"/>
  <c r="L48" i="7"/>
  <c r="K48" i="7"/>
  <c r="I48" i="7"/>
  <c r="J48" i="7" s="1"/>
  <c r="H48" i="7"/>
  <c r="G48" i="7"/>
  <c r="F48" i="7"/>
  <c r="E48" i="7"/>
  <c r="D48" i="7"/>
  <c r="B48" i="7"/>
  <c r="C48" i="7" s="1"/>
  <c r="T47" i="7"/>
  <c r="S47" i="7"/>
  <c r="R47" i="7"/>
  <c r="Q47" i="7"/>
  <c r="P47" i="7"/>
  <c r="O47" i="7"/>
  <c r="N47" i="7"/>
  <c r="M47" i="7"/>
  <c r="L47" i="7"/>
  <c r="K47" i="7"/>
  <c r="I47" i="7"/>
  <c r="J47" i="7" s="1"/>
  <c r="H47" i="7"/>
  <c r="G47" i="7"/>
  <c r="F47" i="7"/>
  <c r="E47" i="7"/>
  <c r="D47" i="7"/>
  <c r="B47" i="7"/>
  <c r="T46" i="7"/>
  <c r="S46" i="7"/>
  <c r="R46" i="7"/>
  <c r="Q46" i="7"/>
  <c r="P46" i="7"/>
  <c r="O46" i="7"/>
  <c r="N46" i="7"/>
  <c r="M46" i="7"/>
  <c r="L46" i="7"/>
  <c r="K46" i="7"/>
  <c r="I46" i="7"/>
  <c r="J46" i="7" s="1"/>
  <c r="AY46" i="7" s="1"/>
  <c r="H46" i="7"/>
  <c r="G46" i="7"/>
  <c r="F46" i="7"/>
  <c r="E46" i="7"/>
  <c r="D46" i="7"/>
  <c r="B46" i="7"/>
  <c r="T45" i="7"/>
  <c r="S45" i="7"/>
  <c r="R45" i="7"/>
  <c r="Q45" i="7"/>
  <c r="P45" i="7"/>
  <c r="O45" i="7"/>
  <c r="N45" i="7"/>
  <c r="M45" i="7"/>
  <c r="L45" i="7"/>
  <c r="K45" i="7"/>
  <c r="I45" i="7"/>
  <c r="J45" i="7" s="1"/>
  <c r="H45" i="7"/>
  <c r="G45" i="7"/>
  <c r="F45" i="7"/>
  <c r="E45" i="7"/>
  <c r="D45" i="7"/>
  <c r="B45" i="7"/>
  <c r="T44" i="7"/>
  <c r="S44" i="7"/>
  <c r="R44" i="7"/>
  <c r="Q44" i="7"/>
  <c r="P44" i="7"/>
  <c r="O44" i="7"/>
  <c r="N44" i="7"/>
  <c r="M44" i="7"/>
  <c r="L44" i="7"/>
  <c r="K44" i="7"/>
  <c r="I44" i="7"/>
  <c r="J44" i="7" s="1"/>
  <c r="AY44" i="7" s="1"/>
  <c r="H44" i="7"/>
  <c r="G44" i="7"/>
  <c r="F44" i="7"/>
  <c r="E44" i="7"/>
  <c r="D44" i="7"/>
  <c r="B44" i="7"/>
  <c r="T43" i="7"/>
  <c r="S43" i="7"/>
  <c r="R43" i="7"/>
  <c r="Q43" i="7"/>
  <c r="P43" i="7"/>
  <c r="O43" i="7"/>
  <c r="N43" i="7"/>
  <c r="M43" i="7"/>
  <c r="L43" i="7"/>
  <c r="K43" i="7"/>
  <c r="I43" i="7"/>
  <c r="J43" i="7" s="1"/>
  <c r="H43" i="7"/>
  <c r="G43" i="7"/>
  <c r="F43" i="7"/>
  <c r="E43" i="7"/>
  <c r="D43" i="7"/>
  <c r="B43" i="7"/>
  <c r="T42" i="7"/>
  <c r="S42" i="7"/>
  <c r="R42" i="7"/>
  <c r="Q42" i="7"/>
  <c r="P42" i="7"/>
  <c r="O42" i="7"/>
  <c r="N42" i="7"/>
  <c r="M42" i="7"/>
  <c r="L42" i="7"/>
  <c r="K42" i="7"/>
  <c r="I42" i="7"/>
  <c r="J42" i="7" s="1"/>
  <c r="H42" i="7"/>
  <c r="G42" i="7"/>
  <c r="F42" i="7"/>
  <c r="E42" i="7"/>
  <c r="D42" i="7"/>
  <c r="B42" i="7"/>
  <c r="C42" i="7" s="1"/>
  <c r="T41" i="7"/>
  <c r="S41" i="7"/>
  <c r="R41" i="7"/>
  <c r="Q41" i="7"/>
  <c r="P41" i="7"/>
  <c r="O41" i="7"/>
  <c r="N41" i="7"/>
  <c r="M41" i="7"/>
  <c r="L41" i="7"/>
  <c r="K41" i="7"/>
  <c r="I41" i="7"/>
  <c r="J41" i="7" s="1"/>
  <c r="H41" i="7"/>
  <c r="G41" i="7"/>
  <c r="F41" i="7"/>
  <c r="E41" i="7"/>
  <c r="D41" i="7"/>
  <c r="B41" i="7"/>
  <c r="C41" i="7" s="1"/>
  <c r="T40" i="7"/>
  <c r="S40" i="7"/>
  <c r="R40" i="7"/>
  <c r="Q40" i="7"/>
  <c r="P40" i="7"/>
  <c r="O40" i="7"/>
  <c r="N40" i="7"/>
  <c r="M40" i="7"/>
  <c r="L40" i="7"/>
  <c r="K40" i="7"/>
  <c r="I40" i="7"/>
  <c r="J40" i="7" s="1"/>
  <c r="AY40" i="7" s="1"/>
  <c r="H40" i="7"/>
  <c r="G40" i="7"/>
  <c r="F40" i="7"/>
  <c r="E40" i="7"/>
  <c r="D40" i="7"/>
  <c r="B40" i="7"/>
  <c r="C40" i="7" s="1"/>
  <c r="AE40" i="7" s="1"/>
  <c r="T39" i="7"/>
  <c r="S39" i="7"/>
  <c r="R39" i="7"/>
  <c r="Q39" i="7"/>
  <c r="P39" i="7"/>
  <c r="O39" i="7"/>
  <c r="N39" i="7"/>
  <c r="M39" i="7"/>
  <c r="L39" i="7"/>
  <c r="K39" i="7"/>
  <c r="I39" i="7"/>
  <c r="J39" i="7" s="1"/>
  <c r="H39" i="7"/>
  <c r="G39" i="7"/>
  <c r="F39" i="7"/>
  <c r="E39" i="7"/>
  <c r="D39" i="7"/>
  <c r="B39" i="7"/>
  <c r="T38" i="7"/>
  <c r="S38" i="7"/>
  <c r="R38" i="7"/>
  <c r="Q38" i="7"/>
  <c r="P38" i="7"/>
  <c r="O38" i="7"/>
  <c r="N38" i="7"/>
  <c r="M38" i="7"/>
  <c r="L38" i="7"/>
  <c r="K38" i="7"/>
  <c r="I38" i="7"/>
  <c r="J38" i="7" s="1"/>
  <c r="H38" i="7"/>
  <c r="G38" i="7"/>
  <c r="F38" i="7"/>
  <c r="E38" i="7"/>
  <c r="D38" i="7"/>
  <c r="B38" i="7"/>
  <c r="C38" i="7" s="1"/>
  <c r="T37" i="7"/>
  <c r="S37" i="7"/>
  <c r="R37" i="7"/>
  <c r="Q37" i="7"/>
  <c r="P37" i="7"/>
  <c r="O37" i="7"/>
  <c r="N37" i="7"/>
  <c r="M37" i="7"/>
  <c r="L37" i="7"/>
  <c r="K37" i="7"/>
  <c r="I37" i="7"/>
  <c r="J37" i="7" s="1"/>
  <c r="H37" i="7"/>
  <c r="G37" i="7"/>
  <c r="F37" i="7"/>
  <c r="E37" i="7"/>
  <c r="D37" i="7"/>
  <c r="B37" i="7"/>
  <c r="T36" i="7"/>
  <c r="S36" i="7"/>
  <c r="R36" i="7"/>
  <c r="Q36" i="7"/>
  <c r="P36" i="7"/>
  <c r="O36" i="7"/>
  <c r="N36" i="7"/>
  <c r="M36" i="7"/>
  <c r="L36" i="7"/>
  <c r="K36" i="7"/>
  <c r="I36" i="7"/>
  <c r="J36" i="7" s="1"/>
  <c r="H36" i="7"/>
  <c r="G36" i="7"/>
  <c r="F36" i="7"/>
  <c r="E36" i="7"/>
  <c r="D36" i="7"/>
  <c r="B36" i="7"/>
  <c r="T35" i="7"/>
  <c r="S35" i="7"/>
  <c r="R35" i="7"/>
  <c r="Q35" i="7"/>
  <c r="P35" i="7"/>
  <c r="O35" i="7"/>
  <c r="N35" i="7"/>
  <c r="M35" i="7"/>
  <c r="L35" i="7"/>
  <c r="K35" i="7"/>
  <c r="I35" i="7"/>
  <c r="J35" i="7" s="1"/>
  <c r="H35" i="7"/>
  <c r="G35" i="7"/>
  <c r="F35" i="7"/>
  <c r="E35" i="7"/>
  <c r="D35" i="7"/>
  <c r="B35" i="7"/>
  <c r="C35" i="7" s="1"/>
  <c r="T34" i="7"/>
  <c r="S34" i="7"/>
  <c r="R34" i="7"/>
  <c r="Q34" i="7"/>
  <c r="P34" i="7"/>
  <c r="O34" i="7"/>
  <c r="N34" i="7"/>
  <c r="M34" i="7"/>
  <c r="L34" i="7"/>
  <c r="K34" i="7"/>
  <c r="I34" i="7"/>
  <c r="J34" i="7" s="1"/>
  <c r="AY34" i="7" s="1"/>
  <c r="H34" i="7"/>
  <c r="G34" i="7"/>
  <c r="F34" i="7"/>
  <c r="E34" i="7"/>
  <c r="D34" i="7"/>
  <c r="B34" i="7"/>
  <c r="T33" i="7"/>
  <c r="S33" i="7"/>
  <c r="R33" i="7"/>
  <c r="Q33" i="7"/>
  <c r="P33" i="7"/>
  <c r="O33" i="7"/>
  <c r="N33" i="7"/>
  <c r="M33" i="7"/>
  <c r="L33" i="7"/>
  <c r="K33" i="7"/>
  <c r="I33" i="7"/>
  <c r="J33" i="7" s="1"/>
  <c r="AY33" i="7" s="1"/>
  <c r="H33" i="7"/>
  <c r="G33" i="7"/>
  <c r="F33" i="7"/>
  <c r="E33" i="7"/>
  <c r="D33" i="7"/>
  <c r="B33" i="7"/>
  <c r="T32" i="7"/>
  <c r="S32" i="7"/>
  <c r="R32" i="7"/>
  <c r="Q32" i="7"/>
  <c r="P32" i="7"/>
  <c r="O32" i="7"/>
  <c r="N32" i="7"/>
  <c r="M32" i="7"/>
  <c r="L32" i="7"/>
  <c r="K32" i="7"/>
  <c r="I32" i="7"/>
  <c r="J32" i="7" s="1"/>
  <c r="AY32" i="7" s="1"/>
  <c r="H32" i="7"/>
  <c r="G32" i="7"/>
  <c r="F32" i="7"/>
  <c r="E32" i="7"/>
  <c r="D32" i="7"/>
  <c r="B32" i="7"/>
  <c r="T31" i="7"/>
  <c r="S31" i="7"/>
  <c r="R31" i="7"/>
  <c r="Q31" i="7"/>
  <c r="P31" i="7"/>
  <c r="O31" i="7"/>
  <c r="N31" i="7"/>
  <c r="M31" i="7"/>
  <c r="L31" i="7"/>
  <c r="K31" i="7"/>
  <c r="I31" i="7"/>
  <c r="J31" i="7" s="1"/>
  <c r="H31" i="7"/>
  <c r="G31" i="7"/>
  <c r="F31" i="7"/>
  <c r="E31" i="7"/>
  <c r="D31" i="7"/>
  <c r="B31" i="7"/>
  <c r="T30" i="7"/>
  <c r="S30" i="7"/>
  <c r="R30" i="7"/>
  <c r="Q30" i="7"/>
  <c r="P30" i="7"/>
  <c r="O30" i="7"/>
  <c r="N30" i="7"/>
  <c r="M30" i="7"/>
  <c r="L30" i="7"/>
  <c r="K30" i="7"/>
  <c r="I30" i="7"/>
  <c r="J30" i="7" s="1"/>
  <c r="H30" i="7"/>
  <c r="G30" i="7"/>
  <c r="F30" i="7"/>
  <c r="E30" i="7"/>
  <c r="D30" i="7"/>
  <c r="B30" i="7"/>
  <c r="T29" i="7"/>
  <c r="S29" i="7"/>
  <c r="R29" i="7"/>
  <c r="Q29" i="7"/>
  <c r="P29" i="7"/>
  <c r="O29" i="7"/>
  <c r="N29" i="7"/>
  <c r="M29" i="7"/>
  <c r="L29" i="7"/>
  <c r="K29" i="7"/>
  <c r="I29" i="7"/>
  <c r="J29" i="7" s="1"/>
  <c r="AY29" i="7" s="1"/>
  <c r="H29" i="7"/>
  <c r="G29" i="7"/>
  <c r="F29" i="7"/>
  <c r="E29" i="7"/>
  <c r="D29" i="7"/>
  <c r="B29" i="7"/>
  <c r="T28" i="7"/>
  <c r="S28" i="7"/>
  <c r="R28" i="7"/>
  <c r="Q28" i="7"/>
  <c r="P28" i="7"/>
  <c r="O28" i="7"/>
  <c r="N28" i="7"/>
  <c r="M28" i="7"/>
  <c r="L28" i="7"/>
  <c r="K28" i="7"/>
  <c r="I28" i="7"/>
  <c r="J28" i="7" s="1"/>
  <c r="H28" i="7"/>
  <c r="G28" i="7"/>
  <c r="F28" i="7"/>
  <c r="E28" i="7"/>
  <c r="D28" i="7"/>
  <c r="B28" i="7"/>
  <c r="C28" i="7" s="1"/>
  <c r="T27" i="7"/>
  <c r="S27" i="7"/>
  <c r="R27" i="7"/>
  <c r="Q27" i="7"/>
  <c r="P27" i="7"/>
  <c r="O27" i="7"/>
  <c r="N27" i="7"/>
  <c r="M27" i="7"/>
  <c r="L27" i="7"/>
  <c r="K27" i="7"/>
  <c r="I27" i="7"/>
  <c r="J27" i="7" s="1"/>
  <c r="AY27" i="7" s="1"/>
  <c r="H27" i="7"/>
  <c r="G27" i="7"/>
  <c r="F27" i="7"/>
  <c r="E27" i="7"/>
  <c r="D27" i="7"/>
  <c r="B27" i="7"/>
  <c r="C27" i="7" s="1"/>
  <c r="T26" i="7"/>
  <c r="S26" i="7"/>
  <c r="R26" i="7"/>
  <c r="Q26" i="7"/>
  <c r="P26" i="7"/>
  <c r="O26" i="7"/>
  <c r="N26" i="7"/>
  <c r="M26" i="7"/>
  <c r="L26" i="7"/>
  <c r="K26" i="7"/>
  <c r="I26" i="7"/>
  <c r="J26" i="7" s="1"/>
  <c r="AY26" i="7" s="1"/>
  <c r="H26" i="7"/>
  <c r="G26" i="7"/>
  <c r="F26" i="7"/>
  <c r="E26" i="7"/>
  <c r="D26" i="7"/>
  <c r="B26" i="7"/>
  <c r="T25" i="7"/>
  <c r="S25" i="7"/>
  <c r="R25" i="7"/>
  <c r="Q25" i="7"/>
  <c r="P25" i="7"/>
  <c r="O25" i="7"/>
  <c r="N25" i="7"/>
  <c r="M25" i="7"/>
  <c r="L25" i="7"/>
  <c r="K25" i="7"/>
  <c r="I25" i="7"/>
  <c r="J25" i="7" s="1"/>
  <c r="H25" i="7"/>
  <c r="G25" i="7"/>
  <c r="F25" i="7"/>
  <c r="E25" i="7"/>
  <c r="D25" i="7"/>
  <c r="B25" i="7"/>
  <c r="T24" i="7"/>
  <c r="S24" i="7"/>
  <c r="R24" i="7"/>
  <c r="Q24" i="7"/>
  <c r="P24" i="7"/>
  <c r="O24" i="7"/>
  <c r="N24" i="7"/>
  <c r="M24" i="7"/>
  <c r="L24" i="7"/>
  <c r="K24" i="7"/>
  <c r="I24" i="7"/>
  <c r="J24" i="7" s="1"/>
  <c r="H24" i="7"/>
  <c r="G24" i="7"/>
  <c r="F24" i="7"/>
  <c r="E24" i="7"/>
  <c r="D24" i="7"/>
  <c r="B24" i="7"/>
  <c r="C24" i="7" s="1"/>
  <c r="T23" i="7"/>
  <c r="S23" i="7"/>
  <c r="R23" i="7"/>
  <c r="Q23" i="7"/>
  <c r="P23" i="7"/>
  <c r="O23" i="7"/>
  <c r="N23" i="7"/>
  <c r="M23" i="7"/>
  <c r="L23" i="7"/>
  <c r="K23" i="7"/>
  <c r="I23" i="7"/>
  <c r="J23" i="7" s="1"/>
  <c r="AY23" i="7" s="1"/>
  <c r="H23" i="7"/>
  <c r="G23" i="7"/>
  <c r="F23" i="7"/>
  <c r="E23" i="7"/>
  <c r="D23" i="7"/>
  <c r="B23" i="7"/>
  <c r="T22" i="7"/>
  <c r="S22" i="7"/>
  <c r="R22" i="7"/>
  <c r="Q22" i="7"/>
  <c r="P22" i="7"/>
  <c r="O22" i="7"/>
  <c r="N22" i="7"/>
  <c r="M22" i="7"/>
  <c r="L22" i="7"/>
  <c r="K22" i="7"/>
  <c r="I22" i="7"/>
  <c r="J22" i="7" s="1"/>
  <c r="AY22" i="7" s="1"/>
  <c r="H22" i="7"/>
  <c r="G22" i="7"/>
  <c r="F22" i="7"/>
  <c r="E22" i="7"/>
  <c r="D22" i="7"/>
  <c r="B22" i="7"/>
  <c r="T21" i="7"/>
  <c r="S21" i="7"/>
  <c r="R21" i="7"/>
  <c r="Q21" i="7"/>
  <c r="P21" i="7"/>
  <c r="O21" i="7"/>
  <c r="N21" i="7"/>
  <c r="M21" i="7"/>
  <c r="L21" i="7"/>
  <c r="K21" i="7"/>
  <c r="I21" i="7"/>
  <c r="J21" i="7" s="1"/>
  <c r="AY21" i="7" s="1"/>
  <c r="H21" i="7"/>
  <c r="G21" i="7"/>
  <c r="F21" i="7"/>
  <c r="E21" i="7"/>
  <c r="D21" i="7"/>
  <c r="B21" i="7"/>
  <c r="C21" i="7" s="1"/>
  <c r="T20" i="7"/>
  <c r="S20" i="7"/>
  <c r="R20" i="7"/>
  <c r="Q20" i="7"/>
  <c r="P20" i="7"/>
  <c r="O20" i="7"/>
  <c r="N20" i="7"/>
  <c r="M20" i="7"/>
  <c r="L20" i="7"/>
  <c r="K20" i="7"/>
  <c r="I20" i="7"/>
  <c r="J20" i="7" s="1"/>
  <c r="H20" i="7"/>
  <c r="G20" i="7"/>
  <c r="F20" i="7"/>
  <c r="E20" i="7"/>
  <c r="D20" i="7"/>
  <c r="B20" i="7"/>
  <c r="T19" i="7"/>
  <c r="S19" i="7"/>
  <c r="R19" i="7"/>
  <c r="Q19" i="7"/>
  <c r="P19" i="7"/>
  <c r="O19" i="7"/>
  <c r="N19" i="7"/>
  <c r="M19" i="7"/>
  <c r="L19" i="7"/>
  <c r="K19" i="7"/>
  <c r="I19" i="7"/>
  <c r="J19" i="7" s="1"/>
  <c r="AY19" i="7" s="1"/>
  <c r="H19" i="7"/>
  <c r="G19" i="7"/>
  <c r="F19" i="7"/>
  <c r="E19" i="7"/>
  <c r="D19" i="7"/>
  <c r="B19" i="7"/>
  <c r="T18" i="7"/>
  <c r="S18" i="7"/>
  <c r="R18" i="7"/>
  <c r="Q18" i="7"/>
  <c r="P18" i="7"/>
  <c r="O18" i="7"/>
  <c r="N18" i="7"/>
  <c r="M18" i="7"/>
  <c r="L18" i="7"/>
  <c r="K18" i="7"/>
  <c r="I18" i="7"/>
  <c r="J18" i="7" s="1"/>
  <c r="H18" i="7"/>
  <c r="G18" i="7"/>
  <c r="F18" i="7"/>
  <c r="E18" i="7"/>
  <c r="D18" i="7"/>
  <c r="B18" i="7"/>
  <c r="T17" i="7"/>
  <c r="S17" i="7"/>
  <c r="R17" i="7"/>
  <c r="Q17" i="7"/>
  <c r="P17" i="7"/>
  <c r="O17" i="7"/>
  <c r="N17" i="7"/>
  <c r="M17" i="7"/>
  <c r="L17" i="7"/>
  <c r="K17" i="7"/>
  <c r="I17" i="7"/>
  <c r="J17" i="7" s="1"/>
  <c r="AY17" i="7" s="1"/>
  <c r="H17" i="7"/>
  <c r="G17" i="7"/>
  <c r="F17" i="7"/>
  <c r="E17" i="7"/>
  <c r="D17" i="7"/>
  <c r="B17" i="7"/>
  <c r="T16" i="7"/>
  <c r="S16" i="7"/>
  <c r="R16" i="7"/>
  <c r="Q16" i="7"/>
  <c r="P16" i="7"/>
  <c r="O16" i="7"/>
  <c r="N16" i="7"/>
  <c r="M16" i="7"/>
  <c r="L16" i="7"/>
  <c r="K16" i="7"/>
  <c r="I16" i="7"/>
  <c r="J16" i="7" s="1"/>
  <c r="H16" i="7"/>
  <c r="G16" i="7"/>
  <c r="F16" i="7"/>
  <c r="E16" i="7"/>
  <c r="D16" i="7"/>
  <c r="B16" i="7"/>
  <c r="C16" i="7" s="1"/>
  <c r="T15" i="7"/>
  <c r="S15" i="7"/>
  <c r="R15" i="7"/>
  <c r="Q15" i="7"/>
  <c r="P15" i="7"/>
  <c r="O15" i="7"/>
  <c r="N15" i="7"/>
  <c r="M15" i="7"/>
  <c r="L15" i="7"/>
  <c r="K15" i="7"/>
  <c r="I15" i="7"/>
  <c r="J15" i="7" s="1"/>
  <c r="AY15" i="7" s="1"/>
  <c r="H15" i="7"/>
  <c r="G15" i="7"/>
  <c r="F15" i="7"/>
  <c r="E15" i="7"/>
  <c r="D15" i="7"/>
  <c r="B15" i="7"/>
  <c r="T14" i="7"/>
  <c r="S14" i="7"/>
  <c r="R14" i="7"/>
  <c r="Q14" i="7"/>
  <c r="P14" i="7"/>
  <c r="O14" i="7"/>
  <c r="N14" i="7"/>
  <c r="M14" i="7"/>
  <c r="L14" i="7"/>
  <c r="K14" i="7"/>
  <c r="I14" i="7"/>
  <c r="J14" i="7" s="1"/>
  <c r="AY14" i="7" s="1"/>
  <c r="H14" i="7"/>
  <c r="G14" i="7"/>
  <c r="F14" i="7"/>
  <c r="E14" i="7"/>
  <c r="D14" i="7"/>
  <c r="B14" i="7"/>
  <c r="C14" i="7" s="1"/>
  <c r="T13" i="7"/>
  <c r="S13" i="7"/>
  <c r="R13" i="7"/>
  <c r="Q13" i="7"/>
  <c r="P13" i="7"/>
  <c r="O13" i="7"/>
  <c r="N13" i="7"/>
  <c r="M13" i="7"/>
  <c r="L13" i="7"/>
  <c r="K13" i="7"/>
  <c r="I13" i="7"/>
  <c r="J13" i="7" s="1"/>
  <c r="H13" i="7"/>
  <c r="G13" i="7"/>
  <c r="F13" i="7"/>
  <c r="E13" i="7"/>
  <c r="D13" i="7"/>
  <c r="B13" i="7"/>
  <c r="T12" i="7"/>
  <c r="S12" i="7"/>
  <c r="R12" i="7"/>
  <c r="Q12" i="7"/>
  <c r="P12" i="7"/>
  <c r="O12" i="7"/>
  <c r="N12" i="7"/>
  <c r="M12" i="7"/>
  <c r="L12" i="7"/>
  <c r="K12" i="7"/>
  <c r="I12" i="7"/>
  <c r="J12" i="7" s="1"/>
  <c r="AY12" i="7" s="1"/>
  <c r="H12" i="7"/>
  <c r="G12" i="7"/>
  <c r="F12" i="7"/>
  <c r="E12" i="7"/>
  <c r="D12" i="7"/>
  <c r="B12" i="7"/>
  <c r="T11" i="7"/>
  <c r="S11" i="7"/>
  <c r="R11" i="7"/>
  <c r="Q11" i="7"/>
  <c r="P11" i="7"/>
  <c r="O11" i="7"/>
  <c r="N11" i="7"/>
  <c r="M11" i="7"/>
  <c r="L11" i="7"/>
  <c r="K11" i="7"/>
  <c r="I11" i="7"/>
  <c r="J11" i="7" s="1"/>
  <c r="AY11" i="7" s="1"/>
  <c r="H11" i="7"/>
  <c r="G11" i="7"/>
  <c r="F11" i="7"/>
  <c r="E11" i="7"/>
  <c r="D11" i="7"/>
  <c r="B11" i="7"/>
  <c r="T10" i="7"/>
  <c r="S10" i="7"/>
  <c r="R10" i="7"/>
  <c r="Q10" i="7"/>
  <c r="P10" i="7"/>
  <c r="O10" i="7"/>
  <c r="N10" i="7"/>
  <c r="M10" i="7"/>
  <c r="L10" i="7"/>
  <c r="K10" i="7"/>
  <c r="I10" i="7"/>
  <c r="J10" i="7" s="1"/>
  <c r="H10" i="7"/>
  <c r="G10" i="7"/>
  <c r="F10" i="7"/>
  <c r="E10" i="7"/>
  <c r="D10" i="7"/>
  <c r="B10" i="7"/>
  <c r="C10" i="7" s="1"/>
  <c r="T9" i="7"/>
  <c r="S9" i="7"/>
  <c r="R9" i="7"/>
  <c r="Q9" i="7"/>
  <c r="P9" i="7"/>
  <c r="O9" i="7"/>
  <c r="N9" i="7"/>
  <c r="M9" i="7"/>
  <c r="L9" i="7"/>
  <c r="K9" i="7"/>
  <c r="I9" i="7"/>
  <c r="J9" i="7" s="1"/>
  <c r="AY9" i="7" s="1"/>
  <c r="H9" i="7"/>
  <c r="G9" i="7"/>
  <c r="F9" i="7"/>
  <c r="E9" i="7"/>
  <c r="D9" i="7"/>
  <c r="B9" i="7"/>
  <c r="C9" i="7" s="1"/>
  <c r="T8" i="7"/>
  <c r="S8" i="7"/>
  <c r="R8" i="7"/>
  <c r="Q8" i="7"/>
  <c r="P8" i="7"/>
  <c r="O8" i="7"/>
  <c r="N8" i="7"/>
  <c r="M8" i="7"/>
  <c r="L8" i="7"/>
  <c r="K8" i="7"/>
  <c r="I8" i="7"/>
  <c r="J8" i="7" s="1"/>
  <c r="H8" i="7"/>
  <c r="G8" i="7"/>
  <c r="F8" i="7"/>
  <c r="E8" i="7"/>
  <c r="D8" i="7"/>
  <c r="B8" i="7"/>
  <c r="C8" i="7" s="1"/>
  <c r="CD4" i="7"/>
  <c r="D7" i="6"/>
  <c r="C7" i="6"/>
  <c r="B7" i="6"/>
  <c r="D5" i="6"/>
  <c r="C5" i="6"/>
  <c r="B5" i="6"/>
  <c r="F50" i="5"/>
  <c r="F45" i="5"/>
  <c r="F49" i="5" s="1"/>
  <c r="D4" i="6" s="1"/>
  <c r="F43" i="5"/>
  <c r="D40" i="5"/>
  <c r="G40" i="5" s="1"/>
  <c r="C40" i="5"/>
  <c r="F40" i="5" s="1"/>
  <c r="B40" i="5"/>
  <c r="E40" i="5" s="1"/>
  <c r="H40" i="5" s="1"/>
  <c r="E39" i="5"/>
  <c r="D39" i="5"/>
  <c r="G39" i="5" s="1"/>
  <c r="G41" i="5" s="1"/>
  <c r="C39" i="5"/>
  <c r="F39" i="5" s="1"/>
  <c r="B39" i="5"/>
  <c r="D38" i="5"/>
  <c r="G38" i="5" s="1"/>
  <c r="C38" i="5"/>
  <c r="F38" i="5" s="1"/>
  <c r="B38" i="5"/>
  <c r="E38" i="5" s="1"/>
  <c r="H38" i="5" s="1"/>
  <c r="D37" i="5"/>
  <c r="G37" i="5" s="1"/>
  <c r="C37" i="5"/>
  <c r="F37" i="5" s="1"/>
  <c r="B37" i="5"/>
  <c r="E37" i="5" s="1"/>
  <c r="H37" i="5" s="1"/>
  <c r="G36" i="5"/>
  <c r="D36" i="5"/>
  <c r="C36" i="5"/>
  <c r="B36" i="5"/>
  <c r="F32" i="5"/>
  <c r="G32" i="5" s="1"/>
  <c r="F31" i="5"/>
  <c r="G31" i="5" s="1"/>
  <c r="F28" i="5"/>
  <c r="E28" i="5"/>
  <c r="D28" i="5"/>
  <c r="H28" i="5" s="1"/>
  <c r="B28" i="5"/>
  <c r="E27" i="5"/>
  <c r="B27" i="5"/>
  <c r="F27" i="5" s="1"/>
  <c r="E26" i="5"/>
  <c r="F26" i="5" s="1"/>
  <c r="D26" i="5"/>
  <c r="B26" i="5"/>
  <c r="E25" i="5"/>
  <c r="B25" i="5"/>
  <c r="F25" i="5" s="1"/>
  <c r="E24" i="5"/>
  <c r="D24" i="5"/>
  <c r="H24" i="5" s="1"/>
  <c r="B24" i="5"/>
  <c r="F24" i="5" s="1"/>
  <c r="H20" i="5"/>
  <c r="C20" i="5"/>
  <c r="B20" i="5"/>
  <c r="D25" i="5" s="1"/>
  <c r="H25" i="5" s="1"/>
  <c r="H19" i="5"/>
  <c r="E19" i="5"/>
  <c r="C19" i="5"/>
  <c r="B19" i="5"/>
  <c r="H18" i="5"/>
  <c r="F18" i="5"/>
  <c r="G18" i="5" s="1"/>
  <c r="C18" i="5"/>
  <c r="E18" i="5" s="1"/>
  <c r="B18" i="5"/>
  <c r="E14" i="5"/>
  <c r="D14" i="5"/>
  <c r="C14" i="5"/>
  <c r="B14" i="5"/>
  <c r="G13" i="5"/>
  <c r="F13" i="5"/>
  <c r="I13" i="5" s="1"/>
  <c r="I12" i="5"/>
  <c r="G12" i="5"/>
  <c r="H12" i="5" s="1"/>
  <c r="F12" i="5"/>
  <c r="G11" i="5"/>
  <c r="F11" i="5"/>
  <c r="H11" i="5" s="1"/>
  <c r="G10" i="5"/>
  <c r="I10" i="5" s="1"/>
  <c r="F10" i="5"/>
  <c r="G9" i="5"/>
  <c r="F9" i="5"/>
  <c r="D5" i="5"/>
  <c r="F49" i="4"/>
  <c r="C4" i="6" s="1"/>
  <c r="F45" i="4"/>
  <c r="F43" i="4"/>
  <c r="G40" i="4"/>
  <c r="F40" i="4"/>
  <c r="D40" i="4"/>
  <c r="C40" i="4"/>
  <c r="B40" i="4"/>
  <c r="E40" i="4" s="1"/>
  <c r="H40" i="4" s="1"/>
  <c r="F39" i="4"/>
  <c r="D39" i="4"/>
  <c r="G39" i="4" s="1"/>
  <c r="C39" i="4"/>
  <c r="B39" i="4"/>
  <c r="E39" i="4" s="1"/>
  <c r="G38" i="4"/>
  <c r="F38" i="4"/>
  <c r="D38" i="4"/>
  <c r="C38" i="4"/>
  <c r="B38" i="4"/>
  <c r="E38" i="4" s="1"/>
  <c r="H38" i="4" s="1"/>
  <c r="F37" i="4"/>
  <c r="D37" i="4"/>
  <c r="G37" i="4" s="1"/>
  <c r="C37" i="4"/>
  <c r="B37" i="4"/>
  <c r="E37" i="4" s="1"/>
  <c r="H37" i="4" s="1"/>
  <c r="G36" i="4"/>
  <c r="G41" i="4" s="1"/>
  <c r="F36" i="4"/>
  <c r="D36" i="4"/>
  <c r="C36" i="4"/>
  <c r="CB4" i="8" s="1"/>
  <c r="B36" i="4"/>
  <c r="G32" i="4"/>
  <c r="F32" i="4"/>
  <c r="F31" i="4"/>
  <c r="G31" i="4" s="1"/>
  <c r="E28" i="4"/>
  <c r="D28" i="4"/>
  <c r="H28" i="4" s="1"/>
  <c r="C28" i="4"/>
  <c r="G28" i="4" s="1"/>
  <c r="B28" i="4"/>
  <c r="F28" i="4" s="1"/>
  <c r="E27" i="4"/>
  <c r="D27" i="4"/>
  <c r="H27" i="4" s="1"/>
  <c r="B27" i="4"/>
  <c r="F27" i="4" s="1"/>
  <c r="E26" i="4"/>
  <c r="D26" i="4"/>
  <c r="H26" i="4" s="1"/>
  <c r="B26" i="4"/>
  <c r="F26" i="4" s="1"/>
  <c r="E25" i="4"/>
  <c r="B25" i="4"/>
  <c r="F25" i="4" s="1"/>
  <c r="E24" i="4"/>
  <c r="F24" i="4" s="1"/>
  <c r="D24" i="4"/>
  <c r="H24" i="4" s="1"/>
  <c r="C24" i="4"/>
  <c r="G24" i="4" s="1"/>
  <c r="B24" i="4"/>
  <c r="H20" i="4"/>
  <c r="C20" i="4"/>
  <c r="B20" i="4"/>
  <c r="E20" i="4" s="1"/>
  <c r="F20" i="4" s="1"/>
  <c r="G20" i="4" s="1"/>
  <c r="H19" i="4"/>
  <c r="C19" i="4"/>
  <c r="B19" i="4"/>
  <c r="H18" i="4"/>
  <c r="C18" i="4"/>
  <c r="B18" i="4"/>
  <c r="E14" i="4"/>
  <c r="D14" i="4"/>
  <c r="C14" i="4"/>
  <c r="B14" i="4"/>
  <c r="G13" i="4"/>
  <c r="H13" i="4" s="1"/>
  <c r="F13" i="4"/>
  <c r="I13" i="4" s="1"/>
  <c r="I12" i="4"/>
  <c r="H12" i="4"/>
  <c r="G12" i="4"/>
  <c r="F12" i="4"/>
  <c r="G11" i="4"/>
  <c r="H11" i="4" s="1"/>
  <c r="F11" i="4"/>
  <c r="G10" i="4"/>
  <c r="H10" i="4" s="1"/>
  <c r="F10" i="4"/>
  <c r="I10" i="4" s="1"/>
  <c r="H9" i="4"/>
  <c r="G9" i="4"/>
  <c r="F9" i="4"/>
  <c r="D5" i="4"/>
  <c r="F50" i="3"/>
  <c r="F45" i="3"/>
  <c r="F49" i="3" s="1"/>
  <c r="B4" i="6" s="1"/>
  <c r="F43" i="3"/>
  <c r="G40" i="3"/>
  <c r="F40" i="3"/>
  <c r="E40" i="3"/>
  <c r="H40" i="3" s="1"/>
  <c r="D40" i="3"/>
  <c r="C40" i="3"/>
  <c r="B40" i="3"/>
  <c r="D39" i="3"/>
  <c r="G39" i="3" s="1"/>
  <c r="C39" i="3"/>
  <c r="F39" i="3" s="1"/>
  <c r="B39" i="3"/>
  <c r="E39" i="3" s="1"/>
  <c r="H39" i="3" s="1"/>
  <c r="G38" i="3"/>
  <c r="F38" i="3"/>
  <c r="E38" i="3"/>
  <c r="H38" i="3" s="1"/>
  <c r="D38" i="3"/>
  <c r="C38" i="3"/>
  <c r="B38" i="3"/>
  <c r="D37" i="3"/>
  <c r="G37" i="3" s="1"/>
  <c r="C37" i="3"/>
  <c r="F37" i="3" s="1"/>
  <c r="B37" i="3"/>
  <c r="E37" i="3" s="1"/>
  <c r="E36" i="3"/>
  <c r="D36" i="3"/>
  <c r="G36" i="3" s="1"/>
  <c r="G41" i="3" s="1"/>
  <c r="C36" i="3"/>
  <c r="CB4" i="7" s="1"/>
  <c r="B36" i="3"/>
  <c r="G32" i="3"/>
  <c r="F32" i="3"/>
  <c r="F31" i="3"/>
  <c r="G31" i="3" s="1"/>
  <c r="E28" i="3"/>
  <c r="D28" i="3"/>
  <c r="H28" i="3" s="1"/>
  <c r="B28" i="3"/>
  <c r="F28" i="3" s="1"/>
  <c r="E27" i="3"/>
  <c r="B27" i="3"/>
  <c r="F27" i="3" s="1"/>
  <c r="E26" i="3"/>
  <c r="F26" i="3" s="1"/>
  <c r="D26" i="3"/>
  <c r="H26" i="3" s="1"/>
  <c r="B26" i="3"/>
  <c r="E25" i="3"/>
  <c r="B25" i="3"/>
  <c r="F25" i="3" s="1"/>
  <c r="E24" i="3"/>
  <c r="D24" i="3"/>
  <c r="H24" i="3" s="1"/>
  <c r="C24" i="3"/>
  <c r="G24" i="3" s="1"/>
  <c r="B24" i="3"/>
  <c r="F24" i="3" s="1"/>
  <c r="H20" i="3"/>
  <c r="G20" i="3"/>
  <c r="C20" i="3"/>
  <c r="B20" i="3"/>
  <c r="E20" i="3" s="1"/>
  <c r="F20" i="3" s="1"/>
  <c r="H19" i="3"/>
  <c r="C19" i="3"/>
  <c r="B19" i="3"/>
  <c r="E19" i="3" s="1"/>
  <c r="H18" i="3"/>
  <c r="E18" i="3"/>
  <c r="C18" i="3"/>
  <c r="B18" i="3"/>
  <c r="E14" i="3"/>
  <c r="D14" i="3"/>
  <c r="C14" i="3"/>
  <c r="B14" i="3"/>
  <c r="G13" i="3"/>
  <c r="H13" i="3" s="1"/>
  <c r="F13" i="3"/>
  <c r="I13" i="3" s="1"/>
  <c r="I12" i="3"/>
  <c r="G12" i="3"/>
  <c r="H12" i="3" s="1"/>
  <c r="F12" i="3"/>
  <c r="G11" i="3"/>
  <c r="F11" i="3"/>
  <c r="I11" i="3" s="1"/>
  <c r="G10" i="3"/>
  <c r="H10" i="3" s="1"/>
  <c r="F14" i="3"/>
  <c r="G9" i="3"/>
  <c r="F9" i="3"/>
  <c r="C48" i="2"/>
  <c r="C47" i="2"/>
  <c r="C46" i="2"/>
  <c r="C42" i="2"/>
  <c r="C41" i="2"/>
  <c r="C40" i="2"/>
  <c r="X139" i="9" l="1"/>
  <c r="V99" i="9"/>
  <c r="W107" i="9"/>
  <c r="W149" i="9"/>
  <c r="Y154" i="9"/>
  <c r="X136" i="9"/>
  <c r="X45" i="8"/>
  <c r="U116" i="8"/>
  <c r="Y50" i="8"/>
  <c r="V78" i="9"/>
  <c r="V115" i="9"/>
  <c r="W51" i="8"/>
  <c r="X119" i="9"/>
  <c r="W98" i="8"/>
  <c r="V79" i="8"/>
  <c r="W156" i="7"/>
  <c r="X72" i="7"/>
  <c r="Y53" i="7"/>
  <c r="W34" i="8"/>
  <c r="V13" i="8"/>
  <c r="U83" i="8"/>
  <c r="W97" i="8"/>
  <c r="V125" i="8"/>
  <c r="V148" i="8"/>
  <c r="Y17" i="8"/>
  <c r="V18" i="8"/>
  <c r="Y146" i="9"/>
  <c r="W75" i="7"/>
  <c r="V24" i="8"/>
  <c r="W40" i="9"/>
  <c r="U138" i="7"/>
  <c r="U11" i="8"/>
  <c r="W105" i="8"/>
  <c r="Y64" i="9"/>
  <c r="W8" i="7"/>
  <c r="Y154" i="8"/>
  <c r="Y74" i="8"/>
  <c r="W93" i="8"/>
  <c r="V112" i="8"/>
  <c r="X81" i="9"/>
  <c r="Y99" i="9"/>
  <c r="U105" i="9"/>
  <c r="Y141" i="9"/>
  <c r="W145" i="7"/>
  <c r="V9" i="8"/>
  <c r="X151" i="7"/>
  <c r="Y21" i="7"/>
  <c r="Y72" i="7"/>
  <c r="X142" i="7"/>
  <c r="X61" i="8"/>
  <c r="U62" i="8"/>
  <c r="U131" i="8"/>
  <c r="Y139" i="8"/>
  <c r="V140" i="8"/>
  <c r="Y86" i="9"/>
  <c r="W147" i="9"/>
  <c r="Y128" i="7"/>
  <c r="Y126" i="8"/>
  <c r="V69" i="9"/>
  <c r="W15" i="7"/>
  <c r="Y36" i="7"/>
  <c r="W72" i="8"/>
  <c r="U91" i="8"/>
  <c r="U119" i="8"/>
  <c r="Y150" i="8"/>
  <c r="V151" i="8"/>
  <c r="U10" i="9"/>
  <c r="X51" i="9"/>
  <c r="Y60" i="9"/>
  <c r="X74" i="9"/>
  <c r="U28" i="8"/>
  <c r="Y70" i="7"/>
  <c r="X13" i="8"/>
  <c r="W18" i="8"/>
  <c r="Y154" i="7"/>
  <c r="W9" i="8"/>
  <c r="U97" i="7"/>
  <c r="W62" i="8"/>
  <c r="V70" i="9"/>
  <c r="V106" i="9"/>
  <c r="Y27" i="8"/>
  <c r="W48" i="7"/>
  <c r="Y57" i="7"/>
  <c r="X53" i="7"/>
  <c r="U105" i="7"/>
  <c r="V68" i="9"/>
  <c r="U55" i="9"/>
  <c r="W50" i="9"/>
  <c r="X157" i="7"/>
  <c r="W44" i="8"/>
  <c r="Y141" i="8"/>
  <c r="Y96" i="9"/>
  <c r="U102" i="9"/>
  <c r="W106" i="9"/>
  <c r="W12" i="8"/>
  <c r="U31" i="8"/>
  <c r="Y42" i="9"/>
  <c r="V57" i="9"/>
  <c r="X83" i="9"/>
  <c r="X66" i="7"/>
  <c r="V155" i="7"/>
  <c r="X57" i="7"/>
  <c r="W155" i="7"/>
  <c r="V58" i="7"/>
  <c r="V130" i="8"/>
  <c r="W58" i="9"/>
  <c r="U77" i="9"/>
  <c r="W44" i="7"/>
  <c r="U135" i="8"/>
  <c r="X54" i="9"/>
  <c r="X97" i="7"/>
  <c r="X12" i="8"/>
  <c r="W17" i="8"/>
  <c r="U97" i="8"/>
  <c r="V120" i="8"/>
  <c r="X24" i="9"/>
  <c r="W29" i="9"/>
  <c r="X98" i="9"/>
  <c r="X121" i="8"/>
  <c r="W54" i="9"/>
  <c r="U72" i="9"/>
  <c r="W112" i="7"/>
  <c r="Y153" i="7"/>
  <c r="X48" i="8"/>
  <c r="Y67" i="8"/>
  <c r="U73" i="8"/>
  <c r="U110" i="8"/>
  <c r="V118" i="8"/>
  <c r="W27" i="9"/>
  <c r="U51" i="9"/>
  <c r="Y49" i="8"/>
  <c r="Y72" i="8"/>
  <c r="X77" i="8"/>
  <c r="U78" i="8"/>
  <c r="Y109" i="8"/>
  <c r="V23" i="9"/>
  <c r="U28" i="9"/>
  <c r="V68" i="7"/>
  <c r="U150" i="9"/>
  <c r="W154" i="9"/>
  <c r="V34" i="7"/>
  <c r="V48" i="7"/>
  <c r="U69" i="8"/>
  <c r="U105" i="8"/>
  <c r="Y38" i="7"/>
  <c r="Y54" i="8"/>
  <c r="Y120" i="9"/>
  <c r="U135" i="9"/>
  <c r="X148" i="9"/>
  <c r="U149" i="9"/>
  <c r="W14" i="8"/>
  <c r="U117" i="9"/>
  <c r="X67" i="7"/>
  <c r="X35" i="7"/>
  <c r="W40" i="7"/>
  <c r="W132" i="7"/>
  <c r="V138" i="7"/>
  <c r="X156" i="7"/>
  <c r="U47" i="8"/>
  <c r="X73" i="8"/>
  <c r="U74" i="8"/>
  <c r="V92" i="8"/>
  <c r="V28" i="9"/>
  <c r="X46" i="9"/>
  <c r="V18" i="7"/>
  <c r="Y113" i="7"/>
  <c r="V128" i="7"/>
  <c r="V142" i="7"/>
  <c r="Y73" i="8"/>
  <c r="V74" i="8"/>
  <c r="Y9" i="9"/>
  <c r="V19" i="9"/>
  <c r="X23" i="9"/>
  <c r="U24" i="9"/>
  <c r="W42" i="9"/>
  <c r="Y46" i="9"/>
  <c r="V47" i="9"/>
  <c r="Y55" i="9"/>
  <c r="V32" i="7"/>
  <c r="U47" i="7"/>
  <c r="Y100" i="7"/>
  <c r="X69" i="8"/>
  <c r="U70" i="8"/>
  <c r="X92" i="8"/>
  <c r="X14" i="9"/>
  <c r="U15" i="9"/>
  <c r="U128" i="9"/>
  <c r="U116" i="7"/>
  <c r="W80" i="8"/>
  <c r="V138" i="8"/>
  <c r="X10" i="9"/>
  <c r="X57" i="9"/>
  <c r="X121" i="9"/>
  <c r="X14" i="7"/>
  <c r="Y18" i="7"/>
  <c r="V88" i="7"/>
  <c r="V97" i="7"/>
  <c r="U44" i="8"/>
  <c r="Y51" i="8"/>
  <c r="V144" i="8"/>
  <c r="U71" i="9"/>
  <c r="U34" i="7"/>
  <c r="Y78" i="7"/>
  <c r="V79" i="7"/>
  <c r="W97" i="7"/>
  <c r="U154" i="7"/>
  <c r="W76" i="8"/>
  <c r="U130" i="8"/>
  <c r="Y133" i="8"/>
  <c r="AB133" i="8" s="1"/>
  <c r="X30" i="9"/>
  <c r="U54" i="9"/>
  <c r="Y100" i="9"/>
  <c r="U106" i="9"/>
  <c r="U121" i="9"/>
  <c r="Y135" i="8"/>
  <c r="X67" i="9"/>
  <c r="Y102" i="9"/>
  <c r="Y139" i="9"/>
  <c r="U18" i="7"/>
  <c r="U94" i="7"/>
  <c r="Y101" i="7"/>
  <c r="U115" i="7"/>
  <c r="W102" i="7"/>
  <c r="V63" i="7"/>
  <c r="V107" i="7"/>
  <c r="W32" i="7"/>
  <c r="U56" i="8"/>
  <c r="U154" i="8"/>
  <c r="V8" i="9"/>
  <c r="X132" i="9"/>
  <c r="U156" i="9"/>
  <c r="Y32" i="7"/>
  <c r="X54" i="7"/>
  <c r="V64" i="7"/>
  <c r="W68" i="7"/>
  <c r="V88" i="8"/>
  <c r="W92" i="8"/>
  <c r="V110" i="8"/>
  <c r="Y122" i="8"/>
  <c r="U124" i="9"/>
  <c r="U138" i="9"/>
  <c r="W56" i="9"/>
  <c r="X79" i="7"/>
  <c r="W15" i="9"/>
  <c r="W118" i="8"/>
  <c r="W126" i="8"/>
  <c r="V12" i="9"/>
  <c r="U64" i="7"/>
  <c r="X122" i="8"/>
  <c r="Y148" i="8"/>
  <c r="U20" i="7"/>
  <c r="Y45" i="7"/>
  <c r="V46" i="7"/>
  <c r="Y69" i="8"/>
  <c r="U84" i="8"/>
  <c r="V97" i="8"/>
  <c r="X137" i="7"/>
  <c r="V15" i="9"/>
  <c r="Y152" i="8"/>
  <c r="W81" i="9"/>
  <c r="W93" i="9"/>
  <c r="V98" i="9"/>
  <c r="X115" i="9"/>
  <c r="W124" i="9"/>
  <c r="X19" i="9"/>
  <c r="X106" i="7"/>
  <c r="V15" i="8"/>
  <c r="Y62" i="7"/>
  <c r="U12" i="9"/>
  <c r="X40" i="7"/>
  <c r="U50" i="7"/>
  <c r="W122" i="8"/>
  <c r="X148" i="8"/>
  <c r="Y49" i="7"/>
  <c r="X63" i="7"/>
  <c r="W27" i="8"/>
  <c r="Y83" i="8"/>
  <c r="Y92" i="8"/>
  <c r="W146" i="7"/>
  <c r="W52" i="8"/>
  <c r="Y79" i="8"/>
  <c r="W84" i="8"/>
  <c r="Y88" i="8"/>
  <c r="U89" i="8"/>
  <c r="U98" i="8"/>
  <c r="U64" i="9"/>
  <c r="V73" i="9"/>
  <c r="U85" i="9"/>
  <c r="U112" i="9"/>
  <c r="Y115" i="9"/>
  <c r="W128" i="7"/>
  <c r="X155" i="7"/>
  <c r="Y23" i="9"/>
  <c r="W147" i="7"/>
  <c r="X33" i="9"/>
  <c r="U107" i="7"/>
  <c r="V20" i="9"/>
  <c r="Y106" i="7"/>
  <c r="U125" i="7"/>
  <c r="V134" i="7"/>
  <c r="U139" i="7"/>
  <c r="U19" i="9"/>
  <c r="W141" i="9"/>
  <c r="X145" i="9"/>
  <c r="U72" i="7"/>
  <c r="X32" i="7"/>
  <c r="Y52" i="8"/>
  <c r="U57" i="8"/>
  <c r="U58" i="8"/>
  <c r="U80" i="8"/>
  <c r="V84" i="8"/>
  <c r="V106" i="8"/>
  <c r="X41" i="9"/>
  <c r="V47" i="7"/>
  <c r="X146" i="7"/>
  <c r="W31" i="8"/>
  <c r="Y48" i="8"/>
  <c r="X53" i="8"/>
  <c r="V62" i="8"/>
  <c r="W66" i="8"/>
  <c r="U107" i="8"/>
  <c r="U60" i="9"/>
  <c r="V64" i="9"/>
  <c r="Y67" i="9"/>
  <c r="V85" i="9"/>
  <c r="U51" i="7"/>
  <c r="U60" i="7"/>
  <c r="X68" i="7"/>
  <c r="Y80" i="7"/>
  <c r="X86" i="7"/>
  <c r="V125" i="7"/>
  <c r="U25" i="7"/>
  <c r="Y68" i="7"/>
  <c r="V116" i="7"/>
  <c r="V42" i="8"/>
  <c r="W58" i="8"/>
  <c r="W89" i="8"/>
  <c r="Y38" i="9"/>
  <c r="W43" i="9"/>
  <c r="U74" i="9"/>
  <c r="W60" i="7"/>
  <c r="W139" i="7"/>
  <c r="W148" i="7"/>
  <c r="V29" i="8"/>
  <c r="X58" i="8"/>
  <c r="Y8" i="9"/>
  <c r="Y16" i="9"/>
  <c r="U44" i="9"/>
  <c r="X53" i="9"/>
  <c r="Y103" i="9"/>
  <c r="W156" i="9"/>
  <c r="U96" i="7"/>
  <c r="X139" i="7"/>
  <c r="V157" i="7"/>
  <c r="V38" i="8"/>
  <c r="X76" i="8"/>
  <c r="Y34" i="9"/>
  <c r="V35" i="9"/>
  <c r="W74" i="9"/>
  <c r="X99" i="9"/>
  <c r="W152" i="9"/>
  <c r="V95" i="7"/>
  <c r="X148" i="7"/>
  <c r="W29" i="7"/>
  <c r="V38" i="7"/>
  <c r="Y41" i="8"/>
  <c r="X81" i="8"/>
  <c r="U128" i="8"/>
  <c r="X149" i="8"/>
  <c r="Y29" i="9"/>
  <c r="U104" i="9"/>
  <c r="X98" i="8"/>
  <c r="W111" i="8"/>
  <c r="X119" i="8"/>
  <c r="V17" i="9"/>
  <c r="U35" i="9"/>
  <c r="X52" i="9"/>
  <c r="X21" i="7"/>
  <c r="W34" i="7"/>
  <c r="Y58" i="8"/>
  <c r="U64" i="8"/>
  <c r="U86" i="8"/>
  <c r="W22" i="7"/>
  <c r="U26" i="7"/>
  <c r="X47" i="7"/>
  <c r="Y52" i="7"/>
  <c r="X69" i="7"/>
  <c r="X74" i="7"/>
  <c r="V78" i="7"/>
  <c r="Y87" i="7"/>
  <c r="U92" i="7"/>
  <c r="U109" i="7"/>
  <c r="X109" i="7"/>
  <c r="X112" i="7"/>
  <c r="V117" i="7"/>
  <c r="U122" i="7"/>
  <c r="X135" i="7"/>
  <c r="W157" i="7"/>
  <c r="Y24" i="8"/>
  <c r="V25" i="8"/>
  <c r="W30" i="8"/>
  <c r="X34" i="8"/>
  <c r="X50" i="8"/>
  <c r="U55" i="8"/>
  <c r="Y68" i="8"/>
  <c r="Y86" i="8"/>
  <c r="Y107" i="8"/>
  <c r="U138" i="8"/>
  <c r="U149" i="8"/>
  <c r="V14" i="9"/>
  <c r="Y30" i="9"/>
  <c r="Y31" i="9"/>
  <c r="U32" i="9"/>
  <c r="U40" i="9"/>
  <c r="Y70" i="9"/>
  <c r="V91" i="9"/>
  <c r="U109" i="9"/>
  <c r="X109" i="9"/>
  <c r="W113" i="9"/>
  <c r="W131" i="9"/>
  <c r="W139" i="9"/>
  <c r="Y147" i="9"/>
  <c r="V148" i="9"/>
  <c r="U42" i="8"/>
  <c r="U76" i="8"/>
  <c r="X106" i="8"/>
  <c r="U111" i="8"/>
  <c r="X144" i="8"/>
  <c r="W8" i="9"/>
  <c r="U21" i="9"/>
  <c r="Y33" i="9"/>
  <c r="U69" i="9"/>
  <c r="W73" i="9"/>
  <c r="Y89" i="9"/>
  <c r="W94" i="9"/>
  <c r="X133" i="9"/>
  <c r="U29" i="8"/>
  <c r="X103" i="9"/>
  <c r="Y107" i="9"/>
  <c r="Y124" i="9"/>
  <c r="V134" i="9"/>
  <c r="V137" i="8"/>
  <c r="W147" i="8"/>
  <c r="Y151" i="8"/>
  <c r="Y18" i="9"/>
  <c r="X26" i="9"/>
  <c r="U27" i="9"/>
  <c r="W31" i="9"/>
  <c r="V41" i="9"/>
  <c r="Y65" i="9"/>
  <c r="W70" i="9"/>
  <c r="Y87" i="9"/>
  <c r="V105" i="9"/>
  <c r="Y108" i="9"/>
  <c r="V109" i="9"/>
  <c r="Y117" i="9"/>
  <c r="V118" i="9"/>
  <c r="U131" i="9"/>
  <c r="X131" i="9"/>
  <c r="U132" i="9"/>
  <c r="W135" i="9"/>
  <c r="U144" i="9"/>
  <c r="W46" i="7"/>
  <c r="W64" i="7"/>
  <c r="U86" i="7"/>
  <c r="W120" i="7"/>
  <c r="U148" i="7"/>
  <c r="X41" i="8"/>
  <c r="Y66" i="8"/>
  <c r="W17" i="7"/>
  <c r="V60" i="7"/>
  <c r="X111" i="7"/>
  <c r="U81" i="8"/>
  <c r="Y144" i="8"/>
  <c r="Y81" i="9"/>
  <c r="U99" i="8"/>
  <c r="Y127" i="8"/>
  <c r="V39" i="9"/>
  <c r="X44" i="9"/>
  <c r="V56" i="7"/>
  <c r="X130" i="7"/>
  <c r="V144" i="7"/>
  <c r="W18" i="7"/>
  <c r="U19" i="7"/>
  <c r="V40" i="7"/>
  <c r="W61" i="7"/>
  <c r="Y65" i="7"/>
  <c r="V66" i="7"/>
  <c r="W100" i="7"/>
  <c r="Y108" i="7"/>
  <c r="V109" i="7"/>
  <c r="U110" i="7"/>
  <c r="Y112" i="7"/>
  <c r="W117" i="7"/>
  <c r="U137" i="7"/>
  <c r="V140" i="7"/>
  <c r="U21" i="8"/>
  <c r="W25" i="8"/>
  <c r="X39" i="8"/>
  <c r="W47" i="8"/>
  <c r="W64" i="8"/>
  <c r="Y64" i="8"/>
  <c r="U92" i="8"/>
  <c r="U100" i="8"/>
  <c r="W117" i="8"/>
  <c r="W14" i="7"/>
  <c r="X18" i="7"/>
  <c r="V31" i="7"/>
  <c r="X52" i="7"/>
  <c r="V83" i="7"/>
  <c r="W93" i="7"/>
  <c r="X101" i="7"/>
  <c r="W140" i="7"/>
  <c r="Y20" i="8"/>
  <c r="U26" i="8"/>
  <c r="Y59" i="8"/>
  <c r="V91" i="8"/>
  <c r="X116" i="8"/>
  <c r="U117" i="8"/>
  <c r="X120" i="8"/>
  <c r="W133" i="8"/>
  <c r="W137" i="8"/>
  <c r="V156" i="8"/>
  <c r="U23" i="9"/>
  <c r="X31" i="9"/>
  <c r="V58" i="9"/>
  <c r="X62" i="9"/>
  <c r="V83" i="9"/>
  <c r="V114" i="9"/>
  <c r="W153" i="9"/>
  <c r="X29" i="7"/>
  <c r="U30" i="7"/>
  <c r="V149" i="7"/>
  <c r="V131" i="8"/>
  <c r="V26" i="7"/>
  <c r="Y32" i="8"/>
  <c r="W123" i="8"/>
  <c r="Y10" i="7"/>
  <c r="W77" i="8"/>
  <c r="U65" i="8"/>
  <c r="V69" i="8"/>
  <c r="W120" i="8"/>
  <c r="W137" i="7"/>
  <c r="U49" i="9"/>
  <c r="Y52" i="9"/>
  <c r="Y56" i="9"/>
  <c r="U46" i="7"/>
  <c r="V82" i="7"/>
  <c r="X127" i="8"/>
  <c r="W44" i="9"/>
  <c r="X70" i="7"/>
  <c r="Y140" i="7"/>
  <c r="X33" i="8"/>
  <c r="W42" i="8"/>
  <c r="Y45" i="8"/>
  <c r="V104" i="8"/>
  <c r="W112" i="8"/>
  <c r="Y123" i="8"/>
  <c r="V155" i="9"/>
  <c r="Y11" i="7"/>
  <c r="U31" i="7"/>
  <c r="X42" i="8"/>
  <c r="W95" i="8"/>
  <c r="V36" i="9"/>
  <c r="Y22" i="7"/>
  <c r="V94" i="7"/>
  <c r="U121" i="7"/>
  <c r="X38" i="8"/>
  <c r="U39" i="8"/>
  <c r="U63" i="8"/>
  <c r="W79" i="8"/>
  <c r="V74" i="9"/>
  <c r="V151" i="9"/>
  <c r="V27" i="7"/>
  <c r="X34" i="7"/>
  <c r="U55" i="7"/>
  <c r="U56" i="7"/>
  <c r="W63" i="7"/>
  <c r="U68" i="7"/>
  <c r="V84" i="7"/>
  <c r="Y111" i="7"/>
  <c r="Y133" i="7"/>
  <c r="W26" i="8"/>
  <c r="X54" i="8"/>
  <c r="W67" i="8"/>
  <c r="X78" i="8"/>
  <c r="U88" i="8"/>
  <c r="Y91" i="8"/>
  <c r="Y104" i="8"/>
  <c r="U106" i="8"/>
  <c r="V109" i="8"/>
  <c r="X16" i="9"/>
  <c r="Y24" i="9"/>
  <c r="X28" i="9"/>
  <c r="V55" i="9"/>
  <c r="V95" i="9"/>
  <c r="U148" i="9"/>
  <c r="U53" i="9"/>
  <c r="V61" i="9"/>
  <c r="Y97" i="9"/>
  <c r="X15" i="7"/>
  <c r="W26" i="7"/>
  <c r="W41" i="7"/>
  <c r="W49" i="8"/>
  <c r="U124" i="8"/>
  <c r="U155" i="9"/>
  <c r="W62" i="7"/>
  <c r="V12" i="8"/>
  <c r="U46" i="8"/>
  <c r="X86" i="8"/>
  <c r="X99" i="8"/>
  <c r="V12" i="7"/>
  <c r="U23" i="7"/>
  <c r="V54" i="7"/>
  <c r="W111" i="7"/>
  <c r="Y33" i="8"/>
  <c r="U34" i="8"/>
  <c r="W38" i="8"/>
  <c r="U151" i="9"/>
  <c r="V8" i="7"/>
  <c r="W12" i="7"/>
  <c r="U100" i="7"/>
  <c r="X120" i="7"/>
  <c r="W125" i="7"/>
  <c r="V26" i="8"/>
  <c r="W46" i="8"/>
  <c r="U41" i="9"/>
  <c r="V17" i="7"/>
  <c r="W20" i="7"/>
  <c r="U40" i="7"/>
  <c r="V52" i="7"/>
  <c r="Y54" i="7"/>
  <c r="V80" i="7"/>
  <c r="X83" i="7"/>
  <c r="X126" i="7"/>
  <c r="U152" i="7"/>
  <c r="W13" i="8"/>
  <c r="X17" i="8"/>
  <c r="Y21" i="8"/>
  <c r="U27" i="8"/>
  <c r="Y145" i="8"/>
  <c r="W117" i="9"/>
  <c r="W121" i="9"/>
  <c r="V122" i="9"/>
  <c r="W138" i="9"/>
  <c r="W142" i="9"/>
  <c r="U102" i="7"/>
  <c r="Y109" i="7"/>
  <c r="V142" i="8"/>
  <c r="U33" i="7"/>
  <c r="W36" i="7"/>
  <c r="Y43" i="7"/>
  <c r="U44" i="7"/>
  <c r="U98" i="7"/>
  <c r="X93" i="8"/>
  <c r="V13" i="9"/>
  <c r="V15" i="7"/>
  <c r="V33" i="7"/>
  <c r="X36" i="7"/>
  <c r="W56" i="7"/>
  <c r="X60" i="7"/>
  <c r="V65" i="7"/>
  <c r="X76" i="7"/>
  <c r="W80" i="7"/>
  <c r="W113" i="7"/>
  <c r="Y117" i="7"/>
  <c r="U123" i="7"/>
  <c r="U60" i="8"/>
  <c r="V123" i="8"/>
  <c r="W130" i="8"/>
  <c r="V134" i="8"/>
  <c r="W146" i="8"/>
  <c r="W17" i="9"/>
  <c r="W21" i="9"/>
  <c r="W48" i="9"/>
  <c r="Y68" i="9"/>
  <c r="Y120" i="7"/>
  <c r="X125" i="7"/>
  <c r="Y129" i="7"/>
  <c r="W152" i="7"/>
  <c r="W10" i="8"/>
  <c r="X18" i="8"/>
  <c r="V19" i="8"/>
  <c r="Y30" i="8"/>
  <c r="W73" i="8"/>
  <c r="U108" i="8"/>
  <c r="Y119" i="8"/>
  <c r="Y130" i="8"/>
  <c r="X150" i="8"/>
  <c r="Y37" i="9"/>
  <c r="W45" i="9"/>
  <c r="W53" i="9"/>
  <c r="Y57" i="9"/>
  <c r="W66" i="9"/>
  <c r="U86" i="9"/>
  <c r="Y109" i="9"/>
  <c r="X114" i="9"/>
  <c r="W118" i="9"/>
  <c r="W134" i="9"/>
  <c r="X143" i="9"/>
  <c r="U12" i="7"/>
  <c r="Y15" i="7"/>
  <c r="X26" i="7"/>
  <c r="Y29" i="7"/>
  <c r="U81" i="7"/>
  <c r="V85" i="7"/>
  <c r="Y88" i="7"/>
  <c r="X100" i="7"/>
  <c r="Y125" i="7"/>
  <c r="X140" i="7"/>
  <c r="Y148" i="7"/>
  <c r="U149" i="7"/>
  <c r="X152" i="7"/>
  <c r="X10" i="8"/>
  <c r="U15" i="8"/>
  <c r="Y18" i="8"/>
  <c r="Y34" i="8"/>
  <c r="X65" i="8"/>
  <c r="V96" i="8"/>
  <c r="Y100" i="8"/>
  <c r="V116" i="8"/>
  <c r="X123" i="8"/>
  <c r="W127" i="8"/>
  <c r="X138" i="8"/>
  <c r="X142" i="8"/>
  <c r="U147" i="8"/>
  <c r="V18" i="9"/>
  <c r="Y61" i="9"/>
  <c r="V62" i="9"/>
  <c r="X65" i="9"/>
  <c r="U98" i="9"/>
  <c r="X125" i="9"/>
  <c r="U126" i="9"/>
  <c r="V130" i="9"/>
  <c r="X134" i="9"/>
  <c r="X147" i="9"/>
  <c r="V152" i="9"/>
  <c r="Y19" i="7"/>
  <c r="V20" i="7"/>
  <c r="Y23" i="7"/>
  <c r="U32" i="7"/>
  <c r="W52" i="7"/>
  <c r="Y58" i="7"/>
  <c r="V74" i="7"/>
  <c r="U82" i="7"/>
  <c r="U83" i="7"/>
  <c r="W94" i="7"/>
  <c r="X105" i="7"/>
  <c r="W134" i="7"/>
  <c r="Y137" i="7"/>
  <c r="W141" i="7"/>
  <c r="U150" i="7"/>
  <c r="X66" i="8"/>
  <c r="W74" i="8"/>
  <c r="Y78" i="8"/>
  <c r="W85" i="8"/>
  <c r="Y108" i="8"/>
  <c r="U109" i="8"/>
  <c r="W113" i="8"/>
  <c r="Y120" i="8"/>
  <c r="X131" i="8"/>
  <c r="W143" i="8"/>
  <c r="V63" i="9"/>
  <c r="U67" i="9"/>
  <c r="X70" i="9"/>
  <c r="X122" i="9"/>
  <c r="V132" i="9"/>
  <c r="U140" i="9"/>
  <c r="Y143" i="9"/>
  <c r="W148" i="9"/>
  <c r="U122" i="8"/>
  <c r="X15" i="9"/>
  <c r="X58" i="9"/>
  <c r="X59" i="9"/>
  <c r="W63" i="9"/>
  <c r="Y66" i="9"/>
  <c r="V67" i="9"/>
  <c r="X75" i="9"/>
  <c r="Y94" i="9"/>
  <c r="Y106" i="9"/>
  <c r="Y118" i="9"/>
  <c r="V119" i="9"/>
  <c r="Y122" i="9"/>
  <c r="V127" i="9"/>
  <c r="U136" i="9"/>
  <c r="X20" i="7"/>
  <c r="U24" i="7"/>
  <c r="Y34" i="7"/>
  <c r="W54" i="7"/>
  <c r="U63" i="7"/>
  <c r="X78" i="7"/>
  <c r="W82" i="7"/>
  <c r="W83" i="7"/>
  <c r="Y94" i="7"/>
  <c r="U95" i="7"/>
  <c r="V98" i="7"/>
  <c r="Y98" i="7"/>
  <c r="V102" i="7"/>
  <c r="X113" i="7"/>
  <c r="U114" i="7"/>
  <c r="Y134" i="7"/>
  <c r="U135" i="7"/>
  <c r="V139" i="7"/>
  <c r="Y141" i="7"/>
  <c r="X8" i="8"/>
  <c r="U9" i="8"/>
  <c r="Y19" i="8"/>
  <c r="W24" i="8"/>
  <c r="V33" i="8"/>
  <c r="U38" i="8"/>
  <c r="X44" i="8"/>
  <c r="U49" i="8"/>
  <c r="V55" i="8"/>
  <c r="U67" i="8"/>
  <c r="X67" i="8"/>
  <c r="U71" i="8"/>
  <c r="X71" i="8"/>
  <c r="V78" i="8"/>
  <c r="Y85" i="8"/>
  <c r="U90" i="8"/>
  <c r="U102" i="8"/>
  <c r="U118" i="8"/>
  <c r="W132" i="8"/>
  <c r="V136" i="8"/>
  <c r="Y10" i="9"/>
  <c r="V27" i="9"/>
  <c r="U39" i="9"/>
  <c r="X39" i="9"/>
  <c r="X43" i="9"/>
  <c r="U47" i="9"/>
  <c r="V52" i="9"/>
  <c r="U56" i="9"/>
  <c r="V59" i="9"/>
  <c r="V111" i="9"/>
  <c r="W115" i="9"/>
  <c r="W127" i="9"/>
  <c r="X144" i="9"/>
  <c r="Y24" i="7"/>
  <c r="V51" i="7"/>
  <c r="V59" i="7"/>
  <c r="V71" i="7"/>
  <c r="U76" i="7"/>
  <c r="W79" i="7"/>
  <c r="W110" i="7"/>
  <c r="U111" i="7"/>
  <c r="U120" i="7"/>
  <c r="W127" i="7"/>
  <c r="Y8" i="8"/>
  <c r="U30" i="8"/>
  <c r="W33" i="8"/>
  <c r="V37" i="8"/>
  <c r="Y44" i="8"/>
  <c r="W55" i="8"/>
  <c r="W56" i="8"/>
  <c r="Y77" i="8"/>
  <c r="V82" i="8"/>
  <c r="V102" i="8"/>
  <c r="Y19" i="9"/>
  <c r="Y47" i="9"/>
  <c r="V56" i="9"/>
  <c r="X64" i="9"/>
  <c r="W72" i="9"/>
  <c r="X87" i="9"/>
  <c r="Y91" i="9"/>
  <c r="V92" i="9"/>
  <c r="V96" i="9"/>
  <c r="V100" i="9"/>
  <c r="W116" i="9"/>
  <c r="Y79" i="7"/>
  <c r="Y83" i="7"/>
  <c r="U84" i="7"/>
  <c r="U88" i="7"/>
  <c r="Y91" i="7"/>
  <c r="V92" i="7"/>
  <c r="V93" i="7"/>
  <c r="V96" i="7"/>
  <c r="V123" i="7"/>
  <c r="Y145" i="7"/>
  <c r="Y10" i="8"/>
  <c r="X27" i="8"/>
  <c r="V31" i="8"/>
  <c r="U35" i="8"/>
  <c r="W39" i="8"/>
  <c r="Y56" i="8"/>
  <c r="X57" i="8"/>
  <c r="U68" i="8"/>
  <c r="X75" i="8"/>
  <c r="W78" i="8"/>
  <c r="Y93" i="8"/>
  <c r="Y117" i="8"/>
  <c r="U136" i="8"/>
  <c r="X13" i="9"/>
  <c r="X17" i="9"/>
  <c r="Y48" i="9"/>
  <c r="V49" i="9"/>
  <c r="V53" i="9"/>
  <c r="U61" i="9"/>
  <c r="Y75" i="9"/>
  <c r="Y83" i="9"/>
  <c r="Y95" i="9"/>
  <c r="U96" i="9"/>
  <c r="X107" i="9"/>
  <c r="V124" i="9"/>
  <c r="W144" i="9"/>
  <c r="V153" i="9"/>
  <c r="V30" i="7"/>
  <c r="X33" i="7"/>
  <c r="V37" i="7"/>
  <c r="U41" i="7"/>
  <c r="Y44" i="7"/>
  <c r="V49" i="7"/>
  <c r="U53" i="7"/>
  <c r="U62" i="7"/>
  <c r="Y76" i="7"/>
  <c r="U78" i="7"/>
  <c r="W84" i="7"/>
  <c r="W85" i="7"/>
  <c r="Y99" i="7"/>
  <c r="U104" i="7"/>
  <c r="V115" i="7"/>
  <c r="Y115" i="7"/>
  <c r="V120" i="7"/>
  <c r="X123" i="7"/>
  <c r="X127" i="7"/>
  <c r="W142" i="7"/>
  <c r="Y142" i="7"/>
  <c r="Y157" i="7"/>
  <c r="W19" i="8"/>
  <c r="U25" i="8"/>
  <c r="V28" i="8"/>
  <c r="X31" i="8"/>
  <c r="V32" i="8"/>
  <c r="Y43" i="8"/>
  <c r="V76" i="8"/>
  <c r="X94" i="8"/>
  <c r="U95" i="8"/>
  <c r="Y98" i="8"/>
  <c r="V99" i="8"/>
  <c r="W104" i="8"/>
  <c r="V107" i="8"/>
  <c r="X107" i="8"/>
  <c r="Y114" i="8"/>
  <c r="X118" i="8"/>
  <c r="Y121" i="8"/>
  <c r="V122" i="8"/>
  <c r="U129" i="8"/>
  <c r="X132" i="8"/>
  <c r="U133" i="8"/>
  <c r="X133" i="8"/>
  <c r="W140" i="8"/>
  <c r="W152" i="8"/>
  <c r="W153" i="8"/>
  <c r="V157" i="8"/>
  <c r="W26" i="9"/>
  <c r="U46" i="9"/>
  <c r="U50" i="9"/>
  <c r="W61" i="9"/>
  <c r="W62" i="9"/>
  <c r="X76" i="9"/>
  <c r="Y88" i="9"/>
  <c r="V89" i="9"/>
  <c r="W96" i="9"/>
  <c r="W97" i="9"/>
  <c r="W100" i="9"/>
  <c r="W101" i="9"/>
  <c r="X104" i="9"/>
  <c r="W105" i="9"/>
  <c r="U113" i="9"/>
  <c r="V125" i="9"/>
  <c r="X128" i="9"/>
  <c r="Y132" i="9"/>
  <c r="U137" i="9"/>
  <c r="V146" i="9"/>
  <c r="Y37" i="7"/>
  <c r="V50" i="7"/>
  <c r="U54" i="7"/>
  <c r="V61" i="7"/>
  <c r="X65" i="7"/>
  <c r="U66" i="7"/>
  <c r="W69" i="7"/>
  <c r="W73" i="7"/>
  <c r="Y73" i="7"/>
  <c r="W77" i="7"/>
  <c r="X80" i="7"/>
  <c r="U85" i="7"/>
  <c r="X88" i="7"/>
  <c r="Y92" i="7"/>
  <c r="V105" i="7"/>
  <c r="Y123" i="7"/>
  <c r="U128" i="7"/>
  <c r="U151" i="7"/>
  <c r="U16" i="8"/>
  <c r="X16" i="8"/>
  <c r="U17" i="8"/>
  <c r="X35" i="8"/>
  <c r="U36" i="8"/>
  <c r="V47" i="8"/>
  <c r="U48" i="8"/>
  <c r="V50" i="8"/>
  <c r="W65" i="8"/>
  <c r="V73" i="8"/>
  <c r="W88" i="8"/>
  <c r="Y94" i="8"/>
  <c r="V95" i="8"/>
  <c r="X103" i="8"/>
  <c r="W114" i="8"/>
  <c r="X125" i="8"/>
  <c r="V129" i="8"/>
  <c r="Y132" i="8"/>
  <c r="U137" i="8"/>
  <c r="W148" i="8"/>
  <c r="X152" i="8"/>
  <c r="X153" i="8"/>
  <c r="U8" i="9"/>
  <c r="Y25" i="9"/>
  <c r="U26" i="9"/>
  <c r="W30" i="9"/>
  <c r="V33" i="9"/>
  <c r="X35" i="9"/>
  <c r="X37" i="9"/>
  <c r="Y45" i="9"/>
  <c r="W69" i="9"/>
  <c r="U70" i="9"/>
  <c r="Y72" i="9"/>
  <c r="W89" i="9"/>
  <c r="U94" i="9"/>
  <c r="X100" i="9"/>
  <c r="V113" i="9"/>
  <c r="Y116" i="9"/>
  <c r="V117" i="9"/>
  <c r="Y128" i="9"/>
  <c r="X129" i="9"/>
  <c r="V133" i="9"/>
  <c r="Y133" i="9"/>
  <c r="U142" i="9"/>
  <c r="W71" i="7"/>
  <c r="Y15" i="8"/>
  <c r="X8" i="7"/>
  <c r="X12" i="7"/>
  <c r="X44" i="7"/>
  <c r="W66" i="7"/>
  <c r="U69" i="7"/>
  <c r="W70" i="7"/>
  <c r="X71" i="7"/>
  <c r="V81" i="7"/>
  <c r="Y103" i="7"/>
  <c r="X110" i="7"/>
  <c r="W123" i="7"/>
  <c r="Y132" i="7"/>
  <c r="V43" i="8"/>
  <c r="V46" i="8"/>
  <c r="V52" i="8"/>
  <c r="X62" i="8"/>
  <c r="Y125" i="8"/>
  <c r="X146" i="8"/>
  <c r="W12" i="9"/>
  <c r="X80" i="9"/>
  <c r="V140" i="9"/>
  <c r="Y8" i="7"/>
  <c r="V9" i="7"/>
  <c r="V69" i="7"/>
  <c r="W95" i="7"/>
  <c r="Y107" i="7"/>
  <c r="U126" i="7"/>
  <c r="Y146" i="8"/>
  <c r="U52" i="9"/>
  <c r="X72" i="9"/>
  <c r="W140" i="9"/>
  <c r="W9" i="7"/>
  <c r="V19" i="7"/>
  <c r="X37" i="7"/>
  <c r="V41" i="7"/>
  <c r="U45" i="7"/>
  <c r="X48" i="7"/>
  <c r="U61" i="7"/>
  <c r="Y66" i="7"/>
  <c r="X95" i="7"/>
  <c r="W104" i="7"/>
  <c r="U108" i="7"/>
  <c r="Y9" i="8"/>
  <c r="V16" i="8"/>
  <c r="X49" i="8"/>
  <c r="X59" i="8"/>
  <c r="W70" i="8"/>
  <c r="X101" i="8"/>
  <c r="U48" i="9"/>
  <c r="U115" i="9"/>
  <c r="V129" i="9"/>
  <c r="X151" i="9"/>
  <c r="X9" i="7"/>
  <c r="V45" i="7"/>
  <c r="Y48" i="7"/>
  <c r="Y63" i="7"/>
  <c r="X85" i="7"/>
  <c r="W86" i="7"/>
  <c r="V89" i="7"/>
  <c r="W92" i="7"/>
  <c r="Y95" i="7"/>
  <c r="X98" i="7"/>
  <c r="V111" i="7"/>
  <c r="V118" i="7"/>
  <c r="W126" i="7"/>
  <c r="Y147" i="7"/>
  <c r="W16" i="8"/>
  <c r="U77" i="8"/>
  <c r="U87" i="8"/>
  <c r="W90" i="8"/>
  <c r="Y151" i="9"/>
  <c r="X152" i="9"/>
  <c r="X22" i="7"/>
  <c r="W35" i="7"/>
  <c r="W45" i="7"/>
  <c r="Y60" i="7"/>
  <c r="U67" i="7"/>
  <c r="Y69" i="7"/>
  <c r="X92" i="7"/>
  <c r="W118" i="7"/>
  <c r="V137" i="7"/>
  <c r="X154" i="7"/>
  <c r="Y13" i="8"/>
  <c r="U50" i="8"/>
  <c r="U141" i="8"/>
  <c r="W144" i="8"/>
  <c r="W34" i="9"/>
  <c r="U38" i="9"/>
  <c r="Y148" i="9"/>
  <c r="W55" i="7"/>
  <c r="V53" i="7"/>
  <c r="X55" i="7"/>
  <c r="X58" i="7"/>
  <c r="Y61" i="7"/>
  <c r="U71" i="7"/>
  <c r="X77" i="7"/>
  <c r="V103" i="7"/>
  <c r="V152" i="7"/>
  <c r="Y155" i="7"/>
  <c r="W11" i="8"/>
  <c r="X21" i="8"/>
  <c r="U72" i="8"/>
  <c r="X124" i="8"/>
  <c r="U11" i="9"/>
  <c r="Y17" i="9"/>
  <c r="X108" i="7"/>
  <c r="X59" i="7"/>
  <c r="U11" i="7"/>
  <c r="U43" i="7"/>
  <c r="Y14" i="7"/>
  <c r="U15" i="7"/>
  <c r="Y17" i="7"/>
  <c r="W21" i="7"/>
  <c r="U27" i="7"/>
  <c r="Y35" i="7"/>
  <c r="V39" i="7"/>
  <c r="Y42" i="7"/>
  <c r="V43" i="7"/>
  <c r="X46" i="7"/>
  <c r="W58" i="7"/>
  <c r="X61" i="7"/>
  <c r="Y86" i="7"/>
  <c r="W109" i="7"/>
  <c r="U112" i="7"/>
  <c r="W115" i="7"/>
  <c r="V11" i="8"/>
  <c r="W21" i="8"/>
  <c r="Y31" i="8"/>
  <c r="U45" i="8"/>
  <c r="W71" i="8"/>
  <c r="V114" i="8"/>
  <c r="U121" i="8"/>
  <c r="U150" i="8"/>
  <c r="X157" i="8"/>
  <c r="W98" i="9"/>
  <c r="Y101" i="9"/>
  <c r="W33" i="7"/>
  <c r="X43" i="7"/>
  <c r="W47" i="7"/>
  <c r="U48" i="7"/>
  <c r="W53" i="7"/>
  <c r="Y55" i="7"/>
  <c r="U59" i="7"/>
  <c r="U74" i="7"/>
  <c r="Y77" i="7"/>
  <c r="W107" i="7"/>
  <c r="X128" i="7"/>
  <c r="W135" i="7"/>
  <c r="W138" i="7"/>
  <c r="V65" i="8"/>
  <c r="W100" i="8"/>
  <c r="V111" i="8"/>
  <c r="U115" i="8"/>
  <c r="W121" i="8"/>
  <c r="X154" i="8"/>
  <c r="U18" i="9"/>
  <c r="X21" i="9"/>
  <c r="X102" i="9"/>
  <c r="Y152" i="7"/>
  <c r="V87" i="8"/>
  <c r="X42" i="9"/>
  <c r="W99" i="9"/>
  <c r="X106" i="9"/>
  <c r="X113" i="9"/>
  <c r="U16" i="7"/>
  <c r="V25" i="7"/>
  <c r="W96" i="7"/>
  <c r="U99" i="7"/>
  <c r="W153" i="7"/>
  <c r="W32" i="8"/>
  <c r="Y65" i="8"/>
  <c r="V68" i="8"/>
  <c r="Y9" i="7"/>
  <c r="U52" i="7"/>
  <c r="W81" i="7"/>
  <c r="Y89" i="7"/>
  <c r="Y127" i="7"/>
  <c r="V53" i="8"/>
  <c r="V57" i="8"/>
  <c r="X72" i="8"/>
  <c r="X84" i="8"/>
  <c r="Y116" i="8"/>
  <c r="Y128" i="8"/>
  <c r="U20" i="9"/>
  <c r="W23" i="9"/>
  <c r="V26" i="9"/>
  <c r="X68" i="9"/>
  <c r="X92" i="9"/>
  <c r="U93" i="9"/>
  <c r="X96" i="9"/>
  <c r="V157" i="9"/>
  <c r="V72" i="7"/>
  <c r="U93" i="7"/>
  <c r="V153" i="7"/>
  <c r="V39" i="8"/>
  <c r="U75" i="8"/>
  <c r="U156" i="8"/>
  <c r="V9" i="9"/>
  <c r="Y15" i="9"/>
  <c r="U13" i="7"/>
  <c r="V36" i="7"/>
  <c r="X56" i="7"/>
  <c r="X75" i="7"/>
  <c r="V113" i="7"/>
  <c r="V146" i="7"/>
  <c r="X19" i="8"/>
  <c r="W94" i="8"/>
  <c r="W109" i="8"/>
  <c r="Y112" i="8"/>
  <c r="X141" i="8"/>
  <c r="W151" i="8"/>
  <c r="Y12" i="9"/>
  <c r="U29" i="9"/>
  <c r="W68" i="9"/>
  <c r="Y113" i="9"/>
  <c r="V149" i="9"/>
  <c r="V13" i="7"/>
  <c r="V16" i="7"/>
  <c r="U22" i="7"/>
  <c r="X28" i="7"/>
  <c r="Y51" i="7"/>
  <c r="Y56" i="7"/>
  <c r="Y75" i="7"/>
  <c r="U87" i="7"/>
  <c r="X87" i="7"/>
  <c r="U90" i="7"/>
  <c r="V99" i="7"/>
  <c r="W105" i="7"/>
  <c r="U106" i="7"/>
  <c r="X149" i="7"/>
  <c r="U156" i="7"/>
  <c r="V14" i="8"/>
  <c r="V30" i="8"/>
  <c r="X32" i="8"/>
  <c r="V36" i="8"/>
  <c r="W19" i="7"/>
  <c r="Y28" i="7"/>
  <c r="U29" i="7"/>
  <c r="Y31" i="7"/>
  <c r="Y46" i="7"/>
  <c r="W57" i="7"/>
  <c r="U73" i="7"/>
  <c r="U77" i="7"/>
  <c r="X81" i="7"/>
  <c r="X84" i="7"/>
  <c r="V87" i="7"/>
  <c r="V90" i="7"/>
  <c r="X93" i="7"/>
  <c r="Y102" i="7"/>
  <c r="V106" i="7"/>
  <c r="X116" i="7"/>
  <c r="Y119" i="7"/>
  <c r="Y124" i="7"/>
  <c r="V131" i="7"/>
  <c r="V132" i="7"/>
  <c r="X134" i="7"/>
  <c r="Y149" i="7"/>
  <c r="V150" i="7"/>
  <c r="Y150" i="7"/>
  <c r="V154" i="7"/>
  <c r="V156" i="7"/>
  <c r="U18" i="8"/>
  <c r="W36" i="8"/>
  <c r="Y36" i="8"/>
  <c r="Y39" i="8"/>
  <c r="Y42" i="8"/>
  <c r="V48" i="8"/>
  <c r="W60" i="8"/>
  <c r="U66" i="8"/>
  <c r="X91" i="8"/>
  <c r="Y95" i="8"/>
  <c r="Y138" i="8"/>
  <c r="V145" i="8"/>
  <c r="V43" i="9"/>
  <c r="X50" i="9"/>
  <c r="V65" i="9"/>
  <c r="V75" i="9"/>
  <c r="V124" i="7"/>
  <c r="X47" i="8"/>
  <c r="W130" i="9"/>
  <c r="W43" i="7"/>
  <c r="U14" i="8"/>
  <c r="X64" i="8"/>
  <c r="U17" i="7"/>
  <c r="X19" i="7"/>
  <c r="V29" i="7"/>
  <c r="U37" i="7"/>
  <c r="U49" i="7"/>
  <c r="X73" i="7"/>
  <c r="W76" i="7"/>
  <c r="V77" i="7"/>
  <c r="Y81" i="7"/>
  <c r="Y84" i="7"/>
  <c r="W90" i="7"/>
  <c r="V91" i="7"/>
  <c r="X99" i="7"/>
  <c r="X102" i="7"/>
  <c r="V110" i="7"/>
  <c r="W131" i="7"/>
  <c r="U140" i="7"/>
  <c r="W143" i="7"/>
  <c r="Y143" i="7"/>
  <c r="Y146" i="7"/>
  <c r="X14" i="8"/>
  <c r="X30" i="8"/>
  <c r="W61" i="8"/>
  <c r="V63" i="8"/>
  <c r="U96" i="8"/>
  <c r="W99" i="8"/>
  <c r="V103" i="8"/>
  <c r="W110" i="8"/>
  <c r="W129" i="8"/>
  <c r="U37" i="9"/>
  <c r="X40" i="9"/>
  <c r="Y50" i="9"/>
  <c r="U62" i="9"/>
  <c r="Y74" i="9"/>
  <c r="W82" i="9"/>
  <c r="U118" i="9"/>
  <c r="X49" i="7"/>
  <c r="W59" i="7"/>
  <c r="Y59" i="7"/>
  <c r="X64" i="7"/>
  <c r="V67" i="7"/>
  <c r="X94" i="7"/>
  <c r="W98" i="7"/>
  <c r="V108" i="7"/>
  <c r="X115" i="7"/>
  <c r="Y121" i="7"/>
  <c r="Y126" i="7"/>
  <c r="U130" i="7"/>
  <c r="X133" i="7"/>
  <c r="U134" i="7"/>
  <c r="X144" i="7"/>
  <c r="V148" i="7"/>
  <c r="U12" i="8"/>
  <c r="Y14" i="8"/>
  <c r="W35" i="8"/>
  <c r="Y35" i="8"/>
  <c r="Y38" i="8"/>
  <c r="V49" i="8"/>
  <c r="W54" i="8"/>
  <c r="U61" i="8"/>
  <c r="W63" i="8"/>
  <c r="Y80" i="8"/>
  <c r="V81" i="8"/>
  <c r="Y81" i="8"/>
  <c r="Y84" i="8"/>
  <c r="W87" i="8"/>
  <c r="X105" i="8"/>
  <c r="Y115" i="8"/>
  <c r="V146" i="8"/>
  <c r="X9" i="9"/>
  <c r="W18" i="9"/>
  <c r="X34" i="9"/>
  <c r="W35" i="9"/>
  <c r="W52" i="9"/>
  <c r="Y69" i="9"/>
  <c r="V72" i="9"/>
  <c r="W75" i="9"/>
  <c r="Y78" i="9"/>
  <c r="V79" i="9"/>
  <c r="V101" i="9"/>
  <c r="V104" i="9"/>
  <c r="U107" i="9"/>
  <c r="U110" i="9"/>
  <c r="X120" i="9"/>
  <c r="Y145" i="9"/>
  <c r="U146" i="9"/>
  <c r="Y20" i="7"/>
  <c r="V21" i="7"/>
  <c r="V23" i="7"/>
  <c r="X23" i="7"/>
  <c r="Y26" i="7"/>
  <c r="W30" i="7"/>
  <c r="V35" i="7"/>
  <c r="Y40" i="7"/>
  <c r="V44" i="7"/>
  <c r="V62" i="7"/>
  <c r="W65" i="7"/>
  <c r="W67" i="7"/>
  <c r="Y67" i="7"/>
  <c r="V70" i="7"/>
  <c r="W72" i="7"/>
  <c r="Y85" i="7"/>
  <c r="W88" i="7"/>
  <c r="X91" i="7"/>
  <c r="U119" i="7"/>
  <c r="W121" i="7"/>
  <c r="Y136" i="7"/>
  <c r="Y144" i="7"/>
  <c r="U145" i="7"/>
  <c r="W151" i="7"/>
  <c r="U10" i="8"/>
  <c r="W69" i="8"/>
  <c r="X108" i="8"/>
  <c r="Y111" i="8"/>
  <c r="X130" i="8"/>
  <c r="W13" i="9"/>
  <c r="Y13" i="9"/>
  <c r="W38" i="9"/>
  <c r="X63" i="9"/>
  <c r="W64" i="9"/>
  <c r="W86" i="9"/>
  <c r="U87" i="9"/>
  <c r="W104" i="9"/>
  <c r="V107" i="9"/>
  <c r="V120" i="9"/>
  <c r="U143" i="9"/>
  <c r="X128" i="8"/>
  <c r="W141" i="8"/>
  <c r="V147" i="8"/>
  <c r="V150" i="8"/>
  <c r="Y153" i="8"/>
  <c r="V154" i="8"/>
  <c r="V11" i="9"/>
  <c r="Y53" i="9"/>
  <c r="W91" i="9"/>
  <c r="V112" i="9"/>
  <c r="Y121" i="9"/>
  <c r="U122" i="9"/>
  <c r="V136" i="9"/>
  <c r="W150" i="9"/>
  <c r="Y116" i="7"/>
  <c r="U117" i="7"/>
  <c r="Y130" i="7"/>
  <c r="U131" i="7"/>
  <c r="U132" i="7"/>
  <c r="Y139" i="7"/>
  <c r="V151" i="7"/>
  <c r="W20" i="8"/>
  <c r="Y22" i="8"/>
  <c r="U24" i="8"/>
  <c r="X26" i="8"/>
  <c r="V56" i="8"/>
  <c r="V67" i="8"/>
  <c r="Y70" i="8"/>
  <c r="V71" i="8"/>
  <c r="X74" i="8"/>
  <c r="U82" i="8"/>
  <c r="X87" i="8"/>
  <c r="V98" i="8"/>
  <c r="X104" i="8"/>
  <c r="Y113" i="8"/>
  <c r="W131" i="8"/>
  <c r="W136" i="8"/>
  <c r="Y142" i="8"/>
  <c r="W156" i="8"/>
  <c r="W20" i="9"/>
  <c r="Y26" i="9"/>
  <c r="U34" i="9"/>
  <c r="U43" i="9"/>
  <c r="U79" i="9"/>
  <c r="W83" i="9"/>
  <c r="Y85" i="9"/>
  <c r="Y92" i="9"/>
  <c r="V93" i="9"/>
  <c r="U125" i="9"/>
  <c r="U139" i="9"/>
  <c r="V143" i="9"/>
  <c r="W146" i="9"/>
  <c r="Y155" i="9"/>
  <c r="X115" i="8"/>
  <c r="V133" i="8"/>
  <c r="V135" i="8"/>
  <c r="W150" i="8"/>
  <c r="U151" i="8"/>
  <c r="U14" i="9"/>
  <c r="V38" i="9"/>
  <c r="V42" i="9"/>
  <c r="Y44" i="9"/>
  <c r="Y73" i="9"/>
  <c r="V77" i="9"/>
  <c r="X77" i="9"/>
  <c r="W88" i="9"/>
  <c r="U92" i="9"/>
  <c r="U99" i="9"/>
  <c r="Y104" i="9"/>
  <c r="U114" i="9"/>
  <c r="W126" i="9"/>
  <c r="U134" i="9"/>
  <c r="Y136" i="9"/>
  <c r="Y153" i="9"/>
  <c r="X157" i="9"/>
  <c r="X121" i="7"/>
  <c r="U129" i="7"/>
  <c r="X132" i="7"/>
  <c r="V135" i="7"/>
  <c r="V143" i="7"/>
  <c r="U155" i="7"/>
  <c r="Y156" i="7"/>
  <c r="Y16" i="8"/>
  <c r="X25" i="8"/>
  <c r="W45" i="8"/>
  <c r="U52" i="8"/>
  <c r="V61" i="8"/>
  <c r="V66" i="8"/>
  <c r="W68" i="8"/>
  <c r="X113" i="8"/>
  <c r="W116" i="8"/>
  <c r="V117" i="8"/>
  <c r="X134" i="8"/>
  <c r="V143" i="8"/>
  <c r="Y155" i="8"/>
  <c r="Y21" i="9"/>
  <c r="X27" i="9"/>
  <c r="V34" i="9"/>
  <c r="Y36" i="9"/>
  <c r="W37" i="9"/>
  <c r="V40" i="9"/>
  <c r="Y40" i="9"/>
  <c r="X49" i="9"/>
  <c r="Y58" i="9"/>
  <c r="W65" i="9"/>
  <c r="U73" i="9"/>
  <c r="V86" i="9"/>
  <c r="W92" i="9"/>
  <c r="V102" i="9"/>
  <c r="W120" i="9"/>
  <c r="V126" i="9"/>
  <c r="Y129" i="9"/>
  <c r="X149" i="9"/>
  <c r="V156" i="9"/>
  <c r="Y156" i="9"/>
  <c r="V122" i="7"/>
  <c r="W124" i="7"/>
  <c r="U153" i="7"/>
  <c r="X9" i="8"/>
  <c r="V10" i="8"/>
  <c r="W41" i="8"/>
  <c r="U43" i="8"/>
  <c r="W50" i="8"/>
  <c r="X79" i="8"/>
  <c r="V83" i="8"/>
  <c r="V86" i="8"/>
  <c r="W101" i="8"/>
  <c r="Y105" i="8"/>
  <c r="Y134" i="8"/>
  <c r="Y22" i="9"/>
  <c r="W28" i="9"/>
  <c r="Y28" i="9"/>
  <c r="X56" i="9"/>
  <c r="U63" i="9"/>
  <c r="V81" i="9"/>
  <c r="V87" i="9"/>
  <c r="X112" i="9"/>
  <c r="X117" i="9"/>
  <c r="U157" i="9"/>
  <c r="W32" i="9"/>
  <c r="W41" i="9"/>
  <c r="Y43" i="9"/>
  <c r="W49" i="9"/>
  <c r="W60" i="9"/>
  <c r="U66" i="9"/>
  <c r="X66" i="9"/>
  <c r="X73" i="9"/>
  <c r="W79" i="9"/>
  <c r="U82" i="9"/>
  <c r="W87" i="9"/>
  <c r="U97" i="9"/>
  <c r="U108" i="9"/>
  <c r="X108" i="9"/>
  <c r="X110" i="9"/>
  <c r="U111" i="9"/>
  <c r="Y114" i="9"/>
  <c r="U116" i="9"/>
  <c r="X116" i="9"/>
  <c r="U119" i="9"/>
  <c r="Y127" i="9"/>
  <c r="W132" i="9"/>
  <c r="Y134" i="9"/>
  <c r="W137" i="9"/>
  <c r="X140" i="9"/>
  <c r="X146" i="9"/>
  <c r="V77" i="8"/>
  <c r="W82" i="8"/>
  <c r="Y82" i="8"/>
  <c r="U85" i="8"/>
  <c r="Y87" i="8"/>
  <c r="U93" i="8"/>
  <c r="W102" i="8"/>
  <c r="U120" i="8"/>
  <c r="U125" i="8"/>
  <c r="W125" i="8"/>
  <c r="V127" i="8"/>
  <c r="X129" i="8"/>
  <c r="X136" i="8"/>
  <c r="U139" i="8"/>
  <c r="W139" i="8"/>
  <c r="U142" i="8"/>
  <c r="U148" i="8"/>
  <c r="X11" i="9"/>
  <c r="Y14" i="9"/>
  <c r="W16" i="9"/>
  <c r="U22" i="9"/>
  <c r="W25" i="9"/>
  <c r="Y27" i="9"/>
  <c r="V30" i="9"/>
  <c r="U36" i="9"/>
  <c r="W36" i="9"/>
  <c r="X60" i="9"/>
  <c r="V66" i="9"/>
  <c r="V71" i="9"/>
  <c r="V76" i="9"/>
  <c r="Y76" i="9"/>
  <c r="X79" i="9"/>
  <c r="V82" i="9"/>
  <c r="Y82" i="9"/>
  <c r="U90" i="9"/>
  <c r="X90" i="9"/>
  <c r="Y93" i="9"/>
  <c r="V97" i="9"/>
  <c r="U103" i="9"/>
  <c r="X105" i="9"/>
  <c r="V108" i="9"/>
  <c r="Y110" i="9"/>
  <c r="W114" i="9"/>
  <c r="V128" i="9"/>
  <c r="X137" i="9"/>
  <c r="Y140" i="9"/>
  <c r="V147" i="9"/>
  <c r="X154" i="9"/>
  <c r="Y157" i="9"/>
  <c r="V55" i="7"/>
  <c r="X62" i="7"/>
  <c r="U65" i="7"/>
  <c r="U70" i="7"/>
  <c r="Y71" i="7"/>
  <c r="W74" i="7"/>
  <c r="Y74" i="7"/>
  <c r="U75" i="7"/>
  <c r="Y93" i="7"/>
  <c r="X96" i="7"/>
  <c r="W99" i="7"/>
  <c r="V104" i="7"/>
  <c r="X107" i="7"/>
  <c r="W114" i="7"/>
  <c r="Y114" i="7"/>
  <c r="X117" i="7"/>
  <c r="U118" i="7"/>
  <c r="Y122" i="7"/>
  <c r="X124" i="7"/>
  <c r="W133" i="7"/>
  <c r="Y135" i="7"/>
  <c r="U136" i="7"/>
  <c r="X138" i="7"/>
  <c r="U144" i="7"/>
  <c r="U147" i="7"/>
  <c r="W149" i="7"/>
  <c r="Y11" i="8"/>
  <c r="X24" i="8"/>
  <c r="U32" i="8"/>
  <c r="X36" i="8"/>
  <c r="V44" i="8"/>
  <c r="V51" i="8"/>
  <c r="Y53" i="8"/>
  <c r="U54" i="8"/>
  <c r="W75" i="8"/>
  <c r="X82" i="8"/>
  <c r="V85" i="8"/>
  <c r="V94" i="8"/>
  <c r="X96" i="8"/>
  <c r="Y99" i="8"/>
  <c r="U103" i="8"/>
  <c r="U112" i="8"/>
  <c r="X114" i="8"/>
  <c r="X117" i="8"/>
  <c r="Y129" i="8"/>
  <c r="U134" i="8"/>
  <c r="Y136" i="8"/>
  <c r="X139" i="8"/>
  <c r="U145" i="8"/>
  <c r="X145" i="8"/>
  <c r="Y147" i="8"/>
  <c r="Y156" i="8"/>
  <c r="U157" i="8"/>
  <c r="W9" i="9"/>
  <c r="Y11" i="9"/>
  <c r="W14" i="9"/>
  <c r="Y32" i="9"/>
  <c r="U33" i="9"/>
  <c r="U42" i="9"/>
  <c r="V44" i="9"/>
  <c r="V50" i="9"/>
  <c r="W55" i="9"/>
  <c r="W71" i="9"/>
  <c r="W76" i="9"/>
  <c r="Y79" i="9"/>
  <c r="U80" i="9"/>
  <c r="U88" i="9"/>
  <c r="V90" i="9"/>
  <c r="Y90" i="9"/>
  <c r="U91" i="9"/>
  <c r="V94" i="9"/>
  <c r="Y105" i="9"/>
  <c r="W119" i="9"/>
  <c r="W122" i="9"/>
  <c r="W125" i="9"/>
  <c r="Y131" i="9"/>
  <c r="V135" i="9"/>
  <c r="X83" i="8"/>
  <c r="W86" i="8"/>
  <c r="W91" i="8"/>
  <c r="U94" i="8"/>
  <c r="V100" i="8"/>
  <c r="X100" i="8"/>
  <c r="W103" i="8"/>
  <c r="W106" i="8"/>
  <c r="Y106" i="8"/>
  <c r="X111" i="8"/>
  <c r="W124" i="8"/>
  <c r="X151" i="8"/>
  <c r="W10" i="9"/>
  <c r="U13" i="9"/>
  <c r="V22" i="9"/>
  <c r="X22" i="9"/>
  <c r="U25" i="9"/>
  <c r="X32" i="9"/>
  <c r="Y51" i="9"/>
  <c r="W57" i="9"/>
  <c r="W59" i="9"/>
  <c r="Y59" i="9"/>
  <c r="Y62" i="9"/>
  <c r="W77" i="9"/>
  <c r="Y77" i="9"/>
  <c r="U78" i="9"/>
  <c r="W80" i="9"/>
  <c r="U83" i="9"/>
  <c r="V88" i="9"/>
  <c r="U95" i="9"/>
  <c r="W110" i="9"/>
  <c r="Y123" i="9"/>
  <c r="W136" i="9"/>
  <c r="X138" i="9"/>
  <c r="X141" i="9"/>
  <c r="Y149" i="9"/>
  <c r="AE8" i="7"/>
  <c r="AD8" i="7"/>
  <c r="AC8" i="7"/>
  <c r="AD24" i="7"/>
  <c r="AC24" i="7"/>
  <c r="AE24" i="7"/>
  <c r="AE38" i="7"/>
  <c r="AD38" i="7"/>
  <c r="AC38" i="7"/>
  <c r="AE91" i="7"/>
  <c r="AD91" i="7"/>
  <c r="AC91" i="7"/>
  <c r="AD42" i="7"/>
  <c r="AC42" i="7"/>
  <c r="AE42" i="7"/>
  <c r="AC51" i="8"/>
  <c r="AE51" i="8"/>
  <c r="AD51" i="8"/>
  <c r="AC28" i="7"/>
  <c r="AE28" i="7"/>
  <c r="AD28" i="7"/>
  <c r="AC103" i="7"/>
  <c r="AE103" i="7"/>
  <c r="AD103" i="7"/>
  <c r="AE21" i="7"/>
  <c r="AD21" i="7"/>
  <c r="AC21" i="7"/>
  <c r="F44" i="5"/>
  <c r="AE77" i="7"/>
  <c r="AD77" i="7"/>
  <c r="AC77" i="7"/>
  <c r="AE133" i="7"/>
  <c r="AD133" i="7"/>
  <c r="AC133" i="7"/>
  <c r="AC10" i="7"/>
  <c r="AE10" i="7"/>
  <c r="AD10" i="7"/>
  <c r="AE84" i="7"/>
  <c r="AD84" i="7"/>
  <c r="AC84" i="7"/>
  <c r="AC35" i="7"/>
  <c r="AE35" i="7"/>
  <c r="AD35" i="7"/>
  <c r="AE101" i="7"/>
  <c r="AD101" i="7"/>
  <c r="AC101" i="7"/>
  <c r="AC14" i="7"/>
  <c r="AE14" i="7"/>
  <c r="AD14" i="7"/>
  <c r="AC89" i="7"/>
  <c r="AD89" i="7"/>
  <c r="AE89" i="7"/>
  <c r="E41" i="3"/>
  <c r="AC56" i="9"/>
  <c r="AE56" i="9"/>
  <c r="AD56" i="9"/>
  <c r="H13" i="5"/>
  <c r="AC98" i="8"/>
  <c r="AE98" i="8"/>
  <c r="AD98" i="8"/>
  <c r="C148" i="9"/>
  <c r="C125" i="9"/>
  <c r="C150" i="9"/>
  <c r="C152" i="9"/>
  <c r="C119" i="9"/>
  <c r="C155" i="9"/>
  <c r="C103" i="9"/>
  <c r="C138" i="9"/>
  <c r="C124" i="9"/>
  <c r="C130" i="9"/>
  <c r="C85" i="9"/>
  <c r="C106" i="9"/>
  <c r="C102" i="9"/>
  <c r="C93" i="9"/>
  <c r="C82" i="9"/>
  <c r="C76" i="9"/>
  <c r="C40" i="9"/>
  <c r="C26" i="9"/>
  <c r="C12" i="9"/>
  <c r="C96" i="9"/>
  <c r="C116" i="9"/>
  <c r="C75" i="9"/>
  <c r="C131" i="9"/>
  <c r="C109" i="9"/>
  <c r="C98" i="9"/>
  <c r="C105" i="9"/>
  <c r="C111" i="9"/>
  <c r="C149" i="8"/>
  <c r="C121" i="9"/>
  <c r="C97" i="9"/>
  <c r="C46" i="9"/>
  <c r="C29" i="9"/>
  <c r="C20" i="9"/>
  <c r="C18" i="9"/>
  <c r="C38" i="9"/>
  <c r="C83" i="9"/>
  <c r="C67" i="9"/>
  <c r="C66" i="9"/>
  <c r="C39" i="9"/>
  <c r="C22" i="9"/>
  <c r="C154" i="8"/>
  <c r="C136" i="8"/>
  <c r="C9" i="9"/>
  <c r="C136" i="9"/>
  <c r="C70" i="9"/>
  <c r="C53" i="9"/>
  <c r="C135" i="8"/>
  <c r="C100" i="9"/>
  <c r="C79" i="9"/>
  <c r="C21" i="9"/>
  <c r="C109" i="8"/>
  <c r="C95" i="8"/>
  <c r="C156" i="8"/>
  <c r="C152" i="8"/>
  <c r="C92" i="8"/>
  <c r="C48" i="8"/>
  <c r="C11" i="9"/>
  <c r="C103" i="8"/>
  <c r="C121" i="8"/>
  <c r="C120" i="8"/>
  <c r="C118" i="8"/>
  <c r="C80" i="9"/>
  <c r="C124" i="8"/>
  <c r="C108" i="8"/>
  <c r="C125" i="8"/>
  <c r="C73" i="8"/>
  <c r="C55" i="8"/>
  <c r="C50" i="8"/>
  <c r="C84" i="9"/>
  <c r="C52" i="9"/>
  <c r="C52" i="8"/>
  <c r="C33" i="9"/>
  <c r="C24" i="9"/>
  <c r="C148" i="8"/>
  <c r="C47" i="8"/>
  <c r="C138" i="8"/>
  <c r="C74" i="8"/>
  <c r="C65" i="8"/>
  <c r="C57" i="8"/>
  <c r="C43" i="8"/>
  <c r="C29" i="8"/>
  <c r="C15" i="8"/>
  <c r="C99" i="8"/>
  <c r="C16" i="8"/>
  <c r="C31" i="9"/>
  <c r="C153" i="8"/>
  <c r="C75" i="8"/>
  <c r="C23" i="9"/>
  <c r="C71" i="8"/>
  <c r="C39" i="8"/>
  <c r="C35" i="8"/>
  <c r="C28" i="8"/>
  <c r="C157" i="7"/>
  <c r="C150" i="7"/>
  <c r="C136" i="7"/>
  <c r="C122" i="7"/>
  <c r="C48" i="9"/>
  <c r="C89" i="8"/>
  <c r="C42" i="8"/>
  <c r="C151" i="7"/>
  <c r="C137" i="7"/>
  <c r="C123" i="7"/>
  <c r="C117" i="8"/>
  <c r="C84" i="8"/>
  <c r="C105" i="8"/>
  <c r="C83" i="8"/>
  <c r="C60" i="8"/>
  <c r="C156" i="7"/>
  <c r="C145" i="7"/>
  <c r="C131" i="7"/>
  <c r="C117" i="7"/>
  <c r="C95" i="7"/>
  <c r="C81" i="7"/>
  <c r="C82" i="8"/>
  <c r="C26" i="8"/>
  <c r="C111" i="7"/>
  <c r="C96" i="7"/>
  <c r="C82" i="7"/>
  <c r="C133" i="8"/>
  <c r="C94" i="8"/>
  <c r="C46" i="8"/>
  <c r="C44" i="9"/>
  <c r="C37" i="9"/>
  <c r="C21" i="8"/>
  <c r="C14" i="8"/>
  <c r="C135" i="7"/>
  <c r="C80" i="8"/>
  <c r="C78" i="8"/>
  <c r="C66" i="8"/>
  <c r="C25" i="8"/>
  <c r="C50" i="9"/>
  <c r="C25" i="9"/>
  <c r="C139" i="8"/>
  <c r="C111" i="8"/>
  <c r="C100" i="8"/>
  <c r="C78" i="9"/>
  <c r="C142" i="8"/>
  <c r="C112" i="7"/>
  <c r="C94" i="7"/>
  <c r="C17" i="7"/>
  <c r="C34" i="8"/>
  <c r="C98" i="7"/>
  <c r="C88" i="7"/>
  <c r="C68" i="7"/>
  <c r="C46" i="7"/>
  <c r="C32" i="7"/>
  <c r="C18" i="7"/>
  <c r="C85" i="8"/>
  <c r="C30" i="7"/>
  <c r="C27" i="8"/>
  <c r="C146" i="7"/>
  <c r="C34" i="7"/>
  <c r="C107" i="7"/>
  <c r="C67" i="7"/>
  <c r="C66" i="7"/>
  <c r="C64" i="7"/>
  <c r="C63" i="7"/>
  <c r="C61" i="7"/>
  <c r="C60" i="7"/>
  <c r="C58" i="7"/>
  <c r="C54" i="7"/>
  <c r="C44" i="7"/>
  <c r="C12" i="7"/>
  <c r="C121" i="7"/>
  <c r="C102" i="7"/>
  <c r="C74" i="7"/>
  <c r="C23" i="8"/>
  <c r="C22" i="7"/>
  <c r="C15" i="7"/>
  <c r="C149" i="7"/>
  <c r="C114" i="7"/>
  <c r="C57" i="9"/>
  <c r="C147" i="7"/>
  <c r="C86" i="7"/>
  <c r="C52" i="7"/>
  <c r="I10" i="3"/>
  <c r="W16" i="7"/>
  <c r="Y47" i="7"/>
  <c r="C90" i="7"/>
  <c r="Y105" i="7"/>
  <c r="F44" i="3"/>
  <c r="X41" i="7"/>
  <c r="C50" i="7"/>
  <c r="C62" i="7"/>
  <c r="C115" i="7"/>
  <c r="C8" i="8"/>
  <c r="C18" i="8"/>
  <c r="E19" i="4"/>
  <c r="C25" i="4"/>
  <c r="G25" i="4" s="1"/>
  <c r="C27" i="4"/>
  <c r="G27" i="4" s="1"/>
  <c r="X42" i="7"/>
  <c r="C65" i="7"/>
  <c r="Y82" i="7"/>
  <c r="C12" i="8"/>
  <c r="C40" i="8"/>
  <c r="C45" i="8"/>
  <c r="F14" i="4"/>
  <c r="F19" i="4"/>
  <c r="G19" i="4" s="1"/>
  <c r="CC4" i="7"/>
  <c r="X17" i="7"/>
  <c r="C31" i="7"/>
  <c r="AC40" i="7"/>
  <c r="W49" i="7"/>
  <c r="W51" i="7"/>
  <c r="C75" i="7"/>
  <c r="C10" i="8"/>
  <c r="Y25" i="8"/>
  <c r="C28" i="3"/>
  <c r="G28" i="3" s="1"/>
  <c r="H37" i="3"/>
  <c r="G14" i="4"/>
  <c r="C26" i="4"/>
  <c r="G26" i="4" s="1"/>
  <c r="H10" i="5"/>
  <c r="W10" i="7"/>
  <c r="V11" i="7"/>
  <c r="C23" i="7"/>
  <c r="C36" i="7"/>
  <c r="AD40" i="7"/>
  <c r="C45" i="7"/>
  <c r="W50" i="7"/>
  <c r="X51" i="7"/>
  <c r="C70" i="7"/>
  <c r="C88" i="8"/>
  <c r="AE41" i="7"/>
  <c r="AD41" i="7"/>
  <c r="AC41" i="7"/>
  <c r="U28" i="7"/>
  <c r="V28" i="7"/>
  <c r="C51" i="7"/>
  <c r="F36" i="3"/>
  <c r="F41" i="3" s="1"/>
  <c r="H14" i="4"/>
  <c r="X30" i="7"/>
  <c r="AD79" i="7"/>
  <c r="C93" i="7"/>
  <c r="C113" i="7"/>
  <c r="X29" i="8"/>
  <c r="C91" i="9"/>
  <c r="AE9" i="7"/>
  <c r="AC9" i="7"/>
  <c r="AD9" i="7"/>
  <c r="AC27" i="7"/>
  <c r="AE27" i="7"/>
  <c r="AD27" i="7"/>
  <c r="AE99" i="7"/>
  <c r="AC99" i="7"/>
  <c r="AE118" i="7"/>
  <c r="AD118" i="7"/>
  <c r="AC118" i="7"/>
  <c r="AE146" i="8"/>
  <c r="AD146" i="8"/>
  <c r="AC146" i="8"/>
  <c r="H39" i="5"/>
  <c r="G14" i="5"/>
  <c r="H26" i="5"/>
  <c r="U21" i="7"/>
  <c r="U42" i="7"/>
  <c r="C49" i="7"/>
  <c r="C80" i="7"/>
  <c r="C128" i="8"/>
  <c r="X16" i="7"/>
  <c r="C120" i="7"/>
  <c r="C86" i="8"/>
  <c r="Y16" i="7"/>
  <c r="U35" i="7"/>
  <c r="Y41" i="7"/>
  <c r="X50" i="7"/>
  <c r="C33" i="8"/>
  <c r="F19" i="3"/>
  <c r="G19" i="3" s="1"/>
  <c r="Y30" i="7"/>
  <c r="C37" i="7"/>
  <c r="Y50" i="7"/>
  <c r="C55" i="7"/>
  <c r="Y64" i="7"/>
  <c r="C71" i="7"/>
  <c r="V73" i="7"/>
  <c r="AE79" i="7"/>
  <c r="Y96" i="7"/>
  <c r="C13" i="8"/>
  <c r="U51" i="8"/>
  <c r="AC41" i="8"/>
  <c r="AD41" i="8"/>
  <c r="AE41" i="8"/>
  <c r="AD16" i="7"/>
  <c r="AC16" i="7"/>
  <c r="AE16" i="7"/>
  <c r="AE32" i="8"/>
  <c r="AD32" i="8"/>
  <c r="AC32" i="8"/>
  <c r="E18" i="4"/>
  <c r="F20" i="5"/>
  <c r="G20" i="5" s="1"/>
  <c r="C29" i="7"/>
  <c r="Y33" i="7"/>
  <c r="H9" i="5"/>
  <c r="W27" i="7"/>
  <c r="V42" i="7"/>
  <c r="C127" i="7"/>
  <c r="CA4" i="7"/>
  <c r="X27" i="7"/>
  <c r="W42" i="7"/>
  <c r="C129" i="7"/>
  <c r="C61" i="8"/>
  <c r="F18" i="3"/>
  <c r="G18" i="3" s="1"/>
  <c r="U10" i="7"/>
  <c r="C11" i="7"/>
  <c r="C13" i="7"/>
  <c r="C119" i="7"/>
  <c r="Y63" i="8"/>
  <c r="W31" i="7"/>
  <c r="W23" i="7"/>
  <c r="X31" i="7"/>
  <c r="H39" i="4"/>
  <c r="C28" i="5"/>
  <c r="G28" i="5" s="1"/>
  <c r="C26" i="5"/>
  <c r="G26" i="5" s="1"/>
  <c r="C24" i="5"/>
  <c r="G24" i="5" s="1"/>
  <c r="C27" i="5"/>
  <c r="G27" i="5" s="1"/>
  <c r="C25" i="5"/>
  <c r="G25" i="5" s="1"/>
  <c r="W13" i="7"/>
  <c r="V14" i="7"/>
  <c r="C33" i="7"/>
  <c r="C39" i="7"/>
  <c r="X45" i="7"/>
  <c r="C56" i="7"/>
  <c r="C72" i="7"/>
  <c r="C92" i="7"/>
  <c r="C100" i="7"/>
  <c r="C128" i="7"/>
  <c r="C130" i="7"/>
  <c r="C134" i="7"/>
  <c r="C93" i="8"/>
  <c r="C30" i="9"/>
  <c r="AC48" i="7"/>
  <c r="AE48" i="7"/>
  <c r="AD48" i="7"/>
  <c r="AD57" i="7"/>
  <c r="AE57" i="7"/>
  <c r="U91" i="7"/>
  <c r="C43" i="7"/>
  <c r="C78" i="7"/>
  <c r="C130" i="8"/>
  <c r="AY72" i="7"/>
  <c r="C72" i="8"/>
  <c r="I9" i="5"/>
  <c r="W28" i="7"/>
  <c r="X82" i="7"/>
  <c r="X118" i="7"/>
  <c r="C79" i="8"/>
  <c r="Y27" i="7"/>
  <c r="C25" i="3"/>
  <c r="G25" i="3" s="1"/>
  <c r="C27" i="3"/>
  <c r="G27" i="3" s="1"/>
  <c r="C19" i="7"/>
  <c r="C73" i="7"/>
  <c r="C87" i="7"/>
  <c r="Y97" i="7"/>
  <c r="C132" i="7"/>
  <c r="W29" i="8"/>
  <c r="C70" i="8"/>
  <c r="I9" i="4"/>
  <c r="G14" i="3"/>
  <c r="U14" i="7"/>
  <c r="C20" i="7"/>
  <c r="C25" i="7"/>
  <c r="H9" i="3"/>
  <c r="H14" i="3" s="1"/>
  <c r="I9" i="3"/>
  <c r="C26" i="3"/>
  <c r="G26" i="3" s="1"/>
  <c r="F41" i="4"/>
  <c r="F19" i="5"/>
  <c r="G19" i="5" s="1"/>
  <c r="U8" i="7"/>
  <c r="Y12" i="7"/>
  <c r="X13" i="7"/>
  <c r="C26" i="7"/>
  <c r="W37" i="7"/>
  <c r="U38" i="7"/>
  <c r="U39" i="7"/>
  <c r="C47" i="7"/>
  <c r="C105" i="7"/>
  <c r="C126" i="7"/>
  <c r="C11" i="8"/>
  <c r="C24" i="8"/>
  <c r="C56" i="8"/>
  <c r="C115" i="8"/>
  <c r="Y13" i="7"/>
  <c r="V130" i="7"/>
  <c r="Y131" i="7"/>
  <c r="X11" i="8"/>
  <c r="W43" i="8"/>
  <c r="X112" i="8"/>
  <c r="V54" i="9"/>
  <c r="C87" i="9"/>
  <c r="C133" i="9"/>
  <c r="F14" i="5"/>
  <c r="D27" i="5"/>
  <c r="H27" i="5" s="1"/>
  <c r="X10" i="7"/>
  <c r="X24" i="7"/>
  <c r="C69" i="7"/>
  <c r="W91" i="7"/>
  <c r="V121" i="7"/>
  <c r="X20" i="8"/>
  <c r="V45" i="8"/>
  <c r="C53" i="8"/>
  <c r="C131" i="8"/>
  <c r="V10" i="7"/>
  <c r="W24" i="7"/>
  <c r="H11" i="3"/>
  <c r="W39" i="7"/>
  <c r="U79" i="7"/>
  <c r="W106" i="7"/>
  <c r="W122" i="7"/>
  <c r="C124" i="7"/>
  <c r="U154" i="9"/>
  <c r="W25" i="7"/>
  <c r="X39" i="7"/>
  <c r="V76" i="7"/>
  <c r="C83" i="7"/>
  <c r="C141" i="7"/>
  <c r="C144" i="7"/>
  <c r="U146" i="7"/>
  <c r="U23" i="8"/>
  <c r="W28" i="8"/>
  <c r="V60" i="8"/>
  <c r="X90" i="8"/>
  <c r="U152" i="8"/>
  <c r="W38" i="7"/>
  <c r="X153" i="9"/>
  <c r="W145" i="9"/>
  <c r="Y152" i="9"/>
  <c r="V145" i="9"/>
  <c r="X101" i="9"/>
  <c r="V138" i="9"/>
  <c r="W85" i="9"/>
  <c r="X38" i="9"/>
  <c r="X95" i="9"/>
  <c r="W95" i="9"/>
  <c r="X91" i="9"/>
  <c r="X123" i="9"/>
  <c r="X29" i="9"/>
  <c r="U9" i="9"/>
  <c r="W48" i="8"/>
  <c r="X95" i="8"/>
  <c r="V16" i="9"/>
  <c r="W138" i="8"/>
  <c r="V132" i="8"/>
  <c r="V17" i="8"/>
  <c r="U124" i="7"/>
  <c r="Y118" i="8"/>
  <c r="X12" i="9"/>
  <c r="X141" i="7"/>
  <c r="CA4" i="9"/>
  <c r="U80" i="7"/>
  <c r="D25" i="4"/>
  <c r="H25" i="4" s="1"/>
  <c r="I11" i="5"/>
  <c r="D25" i="3"/>
  <c r="H25" i="3" s="1"/>
  <c r="D27" i="3"/>
  <c r="H27" i="3" s="1"/>
  <c r="I11" i="4"/>
  <c r="E20" i="5"/>
  <c r="CC4" i="9"/>
  <c r="W11" i="7"/>
  <c r="V22" i="7"/>
  <c r="X25" i="7"/>
  <c r="Y39" i="7"/>
  <c r="C53" i="7"/>
  <c r="U57" i="7"/>
  <c r="C59" i="7"/>
  <c r="C104" i="7"/>
  <c r="C125" i="7"/>
  <c r="X147" i="7"/>
  <c r="C20" i="8"/>
  <c r="X28" i="8"/>
  <c r="Y47" i="8"/>
  <c r="W53" i="8"/>
  <c r="X85" i="8"/>
  <c r="C137" i="8"/>
  <c r="X131" i="7"/>
  <c r="C148" i="7"/>
  <c r="X38" i="7"/>
  <c r="E36" i="5"/>
  <c r="U9" i="7"/>
  <c r="X11" i="7"/>
  <c r="Y25" i="7"/>
  <c r="V57" i="7"/>
  <c r="C85" i="7"/>
  <c r="V114" i="7"/>
  <c r="X114" i="7"/>
  <c r="C143" i="7"/>
  <c r="V145" i="7"/>
  <c r="W150" i="7"/>
  <c r="Y151" i="7"/>
  <c r="U40" i="8"/>
  <c r="C49" i="8"/>
  <c r="C63" i="8"/>
  <c r="AY126" i="7"/>
  <c r="V24" i="7"/>
  <c r="U101" i="7"/>
  <c r="C106" i="7"/>
  <c r="U36" i="7"/>
  <c r="C140" i="7"/>
  <c r="V147" i="7"/>
  <c r="C22" i="8"/>
  <c r="U53" i="8"/>
  <c r="C102" i="8"/>
  <c r="V21" i="9"/>
  <c r="CA4" i="8"/>
  <c r="CB4" i="9"/>
  <c r="F36" i="5"/>
  <c r="F41" i="5" s="1"/>
  <c r="CC4" i="8"/>
  <c r="E36" i="4"/>
  <c r="U58" i="7"/>
  <c r="C116" i="7"/>
  <c r="U143" i="7"/>
  <c r="W154" i="7"/>
  <c r="C19" i="8"/>
  <c r="AY74" i="8"/>
  <c r="Y76" i="8"/>
  <c r="C122" i="9"/>
  <c r="C76" i="7"/>
  <c r="U89" i="7"/>
  <c r="U103" i="7"/>
  <c r="X122" i="7"/>
  <c r="C138" i="7"/>
  <c r="C142" i="7"/>
  <c r="C153" i="7"/>
  <c r="V23" i="8"/>
  <c r="Y28" i="8"/>
  <c r="U33" i="8"/>
  <c r="X43" i="8"/>
  <c r="V93" i="8"/>
  <c r="Y97" i="8"/>
  <c r="C112" i="8"/>
  <c r="V75" i="7"/>
  <c r="X90" i="7"/>
  <c r="C110" i="7"/>
  <c r="V126" i="7"/>
  <c r="C17" i="8"/>
  <c r="C36" i="8"/>
  <c r="C37" i="8"/>
  <c r="C104" i="8"/>
  <c r="X110" i="8"/>
  <c r="C157" i="8"/>
  <c r="W78" i="7"/>
  <c r="C108" i="7"/>
  <c r="V112" i="7"/>
  <c r="X119" i="7"/>
  <c r="C139" i="7"/>
  <c r="C154" i="7"/>
  <c r="U37" i="8"/>
  <c r="X52" i="8"/>
  <c r="V86" i="7"/>
  <c r="W89" i="7"/>
  <c r="V100" i="7"/>
  <c r="AY102" i="7"/>
  <c r="W103" i="7"/>
  <c r="V119" i="7"/>
  <c r="U133" i="7"/>
  <c r="X143" i="7"/>
  <c r="X150" i="7"/>
  <c r="C155" i="7"/>
  <c r="C9" i="8"/>
  <c r="Y29" i="8"/>
  <c r="V40" i="8"/>
  <c r="U41" i="8"/>
  <c r="X56" i="8"/>
  <c r="C141" i="8"/>
  <c r="C36" i="9"/>
  <c r="X89" i="7"/>
  <c r="X103" i="7"/>
  <c r="W108" i="7"/>
  <c r="Y110" i="7"/>
  <c r="W119" i="7"/>
  <c r="V133" i="7"/>
  <c r="Y138" i="7"/>
  <c r="U142" i="7"/>
  <c r="Y26" i="8"/>
  <c r="C38" i="8"/>
  <c r="W40" i="8"/>
  <c r="V41" i="8"/>
  <c r="X63" i="8"/>
  <c r="V152" i="8"/>
  <c r="C115" i="9"/>
  <c r="V129" i="7"/>
  <c r="V136" i="7"/>
  <c r="C152" i="7"/>
  <c r="U157" i="7"/>
  <c r="Y12" i="8"/>
  <c r="C54" i="8"/>
  <c r="X55" i="8"/>
  <c r="X45" i="9"/>
  <c r="V101" i="7"/>
  <c r="X104" i="7"/>
  <c r="Y118" i="7"/>
  <c r="W129" i="7"/>
  <c r="W136" i="7"/>
  <c r="U22" i="8"/>
  <c r="Y55" i="8"/>
  <c r="Y62" i="8"/>
  <c r="U79" i="8"/>
  <c r="V89" i="8"/>
  <c r="Y103" i="8"/>
  <c r="V124" i="8"/>
  <c r="C34" i="9"/>
  <c r="W87" i="7"/>
  <c r="Y90" i="7"/>
  <c r="C97" i="7"/>
  <c r="W101" i="7"/>
  <c r="Y104" i="7"/>
  <c r="X129" i="7"/>
  <c r="X136" i="7"/>
  <c r="X145" i="7"/>
  <c r="U8" i="8"/>
  <c r="V35" i="8"/>
  <c r="C91" i="8"/>
  <c r="C110" i="8"/>
  <c r="C113" i="8"/>
  <c r="C69" i="9"/>
  <c r="V22" i="8"/>
  <c r="V27" i="8"/>
  <c r="C31" i="8"/>
  <c r="X40" i="8"/>
  <c r="X80" i="8"/>
  <c r="Y101" i="8"/>
  <c r="C106" i="8"/>
  <c r="Y110" i="8"/>
  <c r="C119" i="8"/>
  <c r="C122" i="8"/>
  <c r="C13" i="9"/>
  <c r="U127" i="7"/>
  <c r="U141" i="7"/>
  <c r="X153" i="7"/>
  <c r="V8" i="8"/>
  <c r="W22" i="8"/>
  <c r="Y40" i="8"/>
  <c r="C59" i="8"/>
  <c r="V64" i="8"/>
  <c r="C68" i="8"/>
  <c r="C77" i="8"/>
  <c r="C126" i="8"/>
  <c r="X140" i="8"/>
  <c r="U113" i="7"/>
  <c r="V127" i="7"/>
  <c r="W130" i="7"/>
  <c r="V141" i="7"/>
  <c r="W144" i="7"/>
  <c r="W8" i="8"/>
  <c r="U13" i="8"/>
  <c r="W15" i="8"/>
  <c r="U19" i="8"/>
  <c r="U20" i="8"/>
  <c r="V21" i="8"/>
  <c r="X22" i="8"/>
  <c r="C101" i="8"/>
  <c r="C147" i="8"/>
  <c r="X18" i="9"/>
  <c r="C64" i="9"/>
  <c r="X89" i="9"/>
  <c r="C109" i="7"/>
  <c r="W116" i="7"/>
  <c r="X15" i="8"/>
  <c r="V105" i="8"/>
  <c r="X109" i="8"/>
  <c r="X137" i="8"/>
  <c r="C35" i="9"/>
  <c r="C30" i="8"/>
  <c r="V34" i="8"/>
  <c r="W37" i="8"/>
  <c r="V70" i="8"/>
  <c r="V139" i="8"/>
  <c r="C144" i="8"/>
  <c r="C145" i="8"/>
  <c r="V25" i="9"/>
  <c r="U57" i="9"/>
  <c r="V20" i="8"/>
  <c r="W23" i="8"/>
  <c r="X37" i="8"/>
  <c r="Y46" i="8"/>
  <c r="U59" i="8"/>
  <c r="C62" i="8"/>
  <c r="X68" i="8"/>
  <c r="V115" i="8"/>
  <c r="X85" i="9"/>
  <c r="X23" i="8"/>
  <c r="Y37" i="8"/>
  <c r="C44" i="8"/>
  <c r="V54" i="8"/>
  <c r="W57" i="8"/>
  <c r="V59" i="8"/>
  <c r="Y61" i="8"/>
  <c r="W81" i="8"/>
  <c r="C97" i="8"/>
  <c r="C114" i="8"/>
  <c r="W115" i="8"/>
  <c r="Y23" i="8"/>
  <c r="W96" i="8"/>
  <c r="C143" i="8"/>
  <c r="W145" i="8"/>
  <c r="X69" i="9"/>
  <c r="C58" i="8"/>
  <c r="X60" i="8"/>
  <c r="C69" i="8"/>
  <c r="V80" i="8"/>
  <c r="C87" i="8"/>
  <c r="X89" i="8"/>
  <c r="Y96" i="8"/>
  <c r="U104" i="8"/>
  <c r="C116" i="8"/>
  <c r="W149" i="8"/>
  <c r="Y54" i="9"/>
  <c r="X51" i="8"/>
  <c r="W59" i="8"/>
  <c r="Y60" i="8"/>
  <c r="Y71" i="8"/>
  <c r="C90" i="8"/>
  <c r="C151" i="8"/>
  <c r="X8" i="9"/>
  <c r="C51" i="9"/>
  <c r="C90" i="9"/>
  <c r="X70" i="8"/>
  <c r="X88" i="8"/>
  <c r="C107" i="8"/>
  <c r="V113" i="8"/>
  <c r="V126" i="8"/>
  <c r="X126" i="8"/>
  <c r="C127" i="8"/>
  <c r="C134" i="8"/>
  <c r="C113" i="9"/>
  <c r="C64" i="8"/>
  <c r="C67" i="8"/>
  <c r="V75" i="8"/>
  <c r="V90" i="8"/>
  <c r="W107" i="8"/>
  <c r="W134" i="8"/>
  <c r="V110" i="9"/>
  <c r="C129" i="8"/>
  <c r="W135" i="8"/>
  <c r="V10" i="9"/>
  <c r="X46" i="8"/>
  <c r="V72" i="8"/>
  <c r="Y89" i="8"/>
  <c r="C96" i="8"/>
  <c r="Y102" i="8"/>
  <c r="U123" i="8"/>
  <c r="Y131" i="8"/>
  <c r="X135" i="8"/>
  <c r="C155" i="8"/>
  <c r="W157" i="8"/>
  <c r="Y57" i="8"/>
  <c r="Y75" i="8"/>
  <c r="C76" i="8"/>
  <c r="W83" i="8"/>
  <c r="U101" i="8"/>
  <c r="V108" i="8"/>
  <c r="W119" i="8"/>
  <c r="Y143" i="8"/>
  <c r="U155" i="8"/>
  <c r="C8" i="9"/>
  <c r="C15" i="9"/>
  <c r="C55" i="9"/>
  <c r="V121" i="9"/>
  <c r="V58" i="8"/>
  <c r="C81" i="8"/>
  <c r="X97" i="8"/>
  <c r="V101" i="8"/>
  <c r="W108" i="8"/>
  <c r="C123" i="8"/>
  <c r="C132" i="8"/>
  <c r="X147" i="8"/>
  <c r="C14" i="9"/>
  <c r="V24" i="9"/>
  <c r="C32" i="9"/>
  <c r="C58" i="9"/>
  <c r="Y90" i="8"/>
  <c r="U113" i="8"/>
  <c r="U126" i="8"/>
  <c r="Y137" i="8"/>
  <c r="W24" i="9"/>
  <c r="X36" i="9"/>
  <c r="W108" i="9"/>
  <c r="C140" i="8"/>
  <c r="V155" i="8"/>
  <c r="C16" i="9"/>
  <c r="C41" i="9"/>
  <c r="U133" i="9"/>
  <c r="X102" i="8"/>
  <c r="U132" i="8"/>
  <c r="C45" i="9"/>
  <c r="U114" i="8"/>
  <c r="V119" i="8"/>
  <c r="V121" i="8"/>
  <c r="Y124" i="8"/>
  <c r="U143" i="8"/>
  <c r="V149" i="8"/>
  <c r="X55" i="9"/>
  <c r="V128" i="8"/>
  <c r="U144" i="8"/>
  <c r="W22" i="9"/>
  <c r="AY40" i="9"/>
  <c r="C42" i="9"/>
  <c r="C60" i="9"/>
  <c r="C62" i="9"/>
  <c r="C63" i="9"/>
  <c r="C81" i="9"/>
  <c r="C92" i="9"/>
  <c r="C94" i="9"/>
  <c r="W128" i="8"/>
  <c r="U140" i="8"/>
  <c r="X143" i="8"/>
  <c r="X156" i="8"/>
  <c r="C10" i="9"/>
  <c r="W11" i="9"/>
  <c r="X25" i="9"/>
  <c r="V37" i="9"/>
  <c r="Y41" i="9"/>
  <c r="Y49" i="9"/>
  <c r="C65" i="9"/>
  <c r="C88" i="9"/>
  <c r="W51" i="9"/>
  <c r="Y140" i="8"/>
  <c r="V141" i="8"/>
  <c r="U146" i="8"/>
  <c r="Y149" i="8"/>
  <c r="W154" i="8"/>
  <c r="C17" i="9"/>
  <c r="C19" i="9"/>
  <c r="V46" i="9"/>
  <c r="C99" i="9"/>
  <c r="U127" i="8"/>
  <c r="W46" i="9"/>
  <c r="C143" i="9"/>
  <c r="C150" i="8"/>
  <c r="U153" i="8"/>
  <c r="C43" i="9"/>
  <c r="V48" i="9"/>
  <c r="X78" i="9"/>
  <c r="V116" i="9"/>
  <c r="C146" i="9"/>
  <c r="W142" i="8"/>
  <c r="V153" i="8"/>
  <c r="C47" i="9"/>
  <c r="X88" i="9"/>
  <c r="C101" i="9"/>
  <c r="W39" i="9"/>
  <c r="W47" i="9"/>
  <c r="C68" i="9"/>
  <c r="X71" i="9"/>
  <c r="U84" i="9"/>
  <c r="U30" i="9"/>
  <c r="V32" i="9"/>
  <c r="X47" i="9"/>
  <c r="U68" i="9"/>
  <c r="V84" i="9"/>
  <c r="V137" i="9"/>
  <c r="U16" i="9"/>
  <c r="U17" i="9"/>
  <c r="C27" i="9"/>
  <c r="C28" i="9"/>
  <c r="V29" i="9"/>
  <c r="Y39" i="9"/>
  <c r="X61" i="9"/>
  <c r="C73" i="9"/>
  <c r="V144" i="9"/>
  <c r="U31" i="9"/>
  <c r="U45" i="9"/>
  <c r="W84" i="9"/>
  <c r="W90" i="9"/>
  <c r="C127" i="9"/>
  <c r="U130" i="9"/>
  <c r="X156" i="9"/>
  <c r="W155" i="8"/>
  <c r="Y157" i="8"/>
  <c r="X20" i="9"/>
  <c r="V31" i="9"/>
  <c r="V45" i="9"/>
  <c r="C49" i="9"/>
  <c r="U58" i="9"/>
  <c r="C59" i="9"/>
  <c r="U65" i="9"/>
  <c r="C71" i="9"/>
  <c r="X84" i="9"/>
  <c r="X155" i="8"/>
  <c r="Y20" i="9"/>
  <c r="W33" i="9"/>
  <c r="Y35" i="9"/>
  <c r="X48" i="9"/>
  <c r="U59" i="9"/>
  <c r="C61" i="9"/>
  <c r="W78" i="9"/>
  <c r="X82" i="9"/>
  <c r="Y84" i="9"/>
  <c r="X93" i="9"/>
  <c r="U101" i="9"/>
  <c r="W112" i="9"/>
  <c r="Y63" i="9"/>
  <c r="W67" i="9"/>
  <c r="Y71" i="9"/>
  <c r="X111" i="9"/>
  <c r="Y142" i="9"/>
  <c r="W19" i="9"/>
  <c r="V51" i="9"/>
  <c r="C54" i="9"/>
  <c r="C77" i="9"/>
  <c r="U81" i="9"/>
  <c r="C89" i="9"/>
  <c r="C95" i="9"/>
  <c r="C114" i="9"/>
  <c r="C123" i="9"/>
  <c r="Y144" i="9"/>
  <c r="U76" i="9"/>
  <c r="C86" i="9"/>
  <c r="X97" i="9"/>
  <c r="AY77" i="9"/>
  <c r="V80" i="9"/>
  <c r="W102" i="9"/>
  <c r="C134" i="9"/>
  <c r="C74" i="9"/>
  <c r="C107" i="9"/>
  <c r="C149" i="9"/>
  <c r="Y80" i="9"/>
  <c r="Y98" i="9"/>
  <c r="V103" i="9"/>
  <c r="W109" i="9"/>
  <c r="C110" i="9"/>
  <c r="C147" i="9"/>
  <c r="V60" i="9"/>
  <c r="U89" i="9"/>
  <c r="W103" i="9"/>
  <c r="X126" i="9"/>
  <c r="V142" i="9"/>
  <c r="X86" i="9"/>
  <c r="C108" i="9"/>
  <c r="W111" i="9"/>
  <c r="C72" i="9"/>
  <c r="U75" i="9"/>
  <c r="C117" i="9"/>
  <c r="C157" i="9"/>
  <c r="C112" i="9"/>
  <c r="C145" i="9"/>
  <c r="Y119" i="9"/>
  <c r="C120" i="9"/>
  <c r="C118" i="9"/>
  <c r="U120" i="9"/>
  <c r="Y137" i="9"/>
  <c r="C140" i="9"/>
  <c r="Y111" i="9"/>
  <c r="U123" i="9"/>
  <c r="Y125" i="9"/>
  <c r="C153" i="9"/>
  <c r="Y112" i="9"/>
  <c r="V123" i="9"/>
  <c r="V139" i="9"/>
  <c r="X118" i="9"/>
  <c r="X130" i="9"/>
  <c r="X135" i="9"/>
  <c r="C137" i="9"/>
  <c r="V150" i="9"/>
  <c r="C104" i="9"/>
  <c r="C132" i="9"/>
  <c r="Y135" i="9"/>
  <c r="C144" i="9"/>
  <c r="W123" i="9"/>
  <c r="C126" i="9"/>
  <c r="X127" i="9"/>
  <c r="C129" i="9"/>
  <c r="Y130" i="9"/>
  <c r="C141" i="9"/>
  <c r="U129" i="9"/>
  <c r="C128" i="9"/>
  <c r="V131" i="9"/>
  <c r="Y138" i="9"/>
  <c r="C139" i="9"/>
  <c r="W151" i="9"/>
  <c r="U147" i="9"/>
  <c r="C156" i="9"/>
  <c r="Y126" i="9"/>
  <c r="C142" i="9"/>
  <c r="C154" i="9"/>
  <c r="W155" i="9"/>
  <c r="X142" i="9"/>
  <c r="U145" i="9"/>
  <c r="X150" i="9"/>
  <c r="U141" i="9"/>
  <c r="Y150" i="9"/>
  <c r="W157" i="9"/>
  <c r="X124" i="9"/>
  <c r="W128" i="9"/>
  <c r="W133" i="9"/>
  <c r="C135" i="9"/>
  <c r="V141" i="9"/>
  <c r="U152" i="9"/>
  <c r="W129" i="9"/>
  <c r="W143" i="9"/>
  <c r="C151" i="9"/>
  <c r="V154" i="9"/>
  <c r="U127" i="9"/>
  <c r="U153" i="9"/>
  <c r="Z140" i="7" l="1"/>
  <c r="Z136" i="8"/>
  <c r="AY136" i="8" s="1"/>
  <c r="AA109" i="7"/>
  <c r="AB135" i="8"/>
  <c r="AA100" i="7"/>
  <c r="AA128" i="9"/>
  <c r="AJ92" i="8"/>
  <c r="Z109" i="7"/>
  <c r="AY109" i="7" s="1"/>
  <c r="AA18" i="7"/>
  <c r="Z9" i="8"/>
  <c r="Z128" i="7"/>
  <c r="AA133" i="8"/>
  <c r="Z102" i="9"/>
  <c r="AB100" i="7"/>
  <c r="AX100" i="7" s="1"/>
  <c r="AA47" i="9"/>
  <c r="AA62" i="9"/>
  <c r="AB34" i="7"/>
  <c r="AB109" i="7"/>
  <c r="Z100" i="7"/>
  <c r="AY100" i="7" s="1"/>
  <c r="Z56" i="7"/>
  <c r="AJ83" i="8"/>
  <c r="Z54" i="9"/>
  <c r="AB138" i="8"/>
  <c r="AA99" i="9"/>
  <c r="AB20" i="7"/>
  <c r="Z74" i="8"/>
  <c r="AA136" i="8"/>
  <c r="AB18" i="7"/>
  <c r="AA132" i="9"/>
  <c r="AJ120" i="8"/>
  <c r="AJ136" i="8"/>
  <c r="Z18" i="7"/>
  <c r="Z62" i="9"/>
  <c r="AB117" i="8"/>
  <c r="Z94" i="9"/>
  <c r="AB92" i="9"/>
  <c r="AB132" i="7"/>
  <c r="AJ151" i="8"/>
  <c r="AA146" i="9"/>
  <c r="AJ23" i="9"/>
  <c r="AA26" i="7"/>
  <c r="AB68" i="7"/>
  <c r="AJ102" i="9"/>
  <c r="Z68" i="7"/>
  <c r="AJ137" i="7"/>
  <c r="AB98" i="8"/>
  <c r="AA95" i="9"/>
  <c r="AA97" i="7"/>
  <c r="AJ74" i="8"/>
  <c r="Z148" i="9"/>
  <c r="AA138" i="9"/>
  <c r="AA88" i="9"/>
  <c r="AJ148" i="9"/>
  <c r="Z99" i="7"/>
  <c r="AF99" i="7" s="1"/>
  <c r="AA105" i="9"/>
  <c r="AA8" i="9"/>
  <c r="Z146" i="9"/>
  <c r="AJ75" i="8"/>
  <c r="AJ95" i="9"/>
  <c r="AB12" i="9"/>
  <c r="Z42" i="8"/>
  <c r="AA86" i="8"/>
  <c r="AB148" i="8"/>
  <c r="AJ47" i="8"/>
  <c r="AB102" i="8"/>
  <c r="AJ60" i="7"/>
  <c r="AA109" i="8"/>
  <c r="AJ18" i="7"/>
  <c r="AB138" i="9"/>
  <c r="AB134" i="7"/>
  <c r="AJ135" i="9"/>
  <c r="AJ94" i="9"/>
  <c r="Z26" i="9"/>
  <c r="AB83" i="7"/>
  <c r="AA76" i="7"/>
  <c r="AA67" i="8"/>
  <c r="AA15" i="9"/>
  <c r="AB109" i="8"/>
  <c r="Z54" i="7"/>
  <c r="AA38" i="8"/>
  <c r="AJ49" i="8"/>
  <c r="AB131" i="8"/>
  <c r="AJ69" i="8"/>
  <c r="Z111" i="8"/>
  <c r="AB39" i="8"/>
  <c r="Z39" i="8"/>
  <c r="Z122" i="8"/>
  <c r="AJ68" i="7"/>
  <c r="Z77" i="9"/>
  <c r="Z99" i="8"/>
  <c r="Z10" i="8"/>
  <c r="AJ122" i="9"/>
  <c r="AB100" i="8"/>
  <c r="Z26" i="8"/>
  <c r="AB64" i="9"/>
  <c r="AJ33" i="7"/>
  <c r="AJ109" i="7"/>
  <c r="AA123" i="7"/>
  <c r="Z100" i="9"/>
  <c r="AB32" i="7"/>
  <c r="AB73" i="8"/>
  <c r="AB88" i="8"/>
  <c r="AA91" i="8"/>
  <c r="AB92" i="8"/>
  <c r="AB23" i="9"/>
  <c r="AB113" i="9"/>
  <c r="AB65" i="7"/>
  <c r="Z116" i="7"/>
  <c r="AA27" i="9"/>
  <c r="Z72" i="9"/>
  <c r="AB74" i="9"/>
  <c r="AA50" i="9"/>
  <c r="Z30" i="8"/>
  <c r="AA106" i="9"/>
  <c r="AA68" i="7"/>
  <c r="AJ154" i="7"/>
  <c r="AA14" i="8"/>
  <c r="AJ96" i="9"/>
  <c r="AB99" i="9"/>
  <c r="Z133" i="8"/>
  <c r="AJ118" i="8"/>
  <c r="AA88" i="7"/>
  <c r="AB63" i="8"/>
  <c r="AJ14" i="9"/>
  <c r="AA85" i="7"/>
  <c r="Z52" i="9"/>
  <c r="AA112" i="9"/>
  <c r="AA82" i="8"/>
  <c r="AJ130" i="8"/>
  <c r="AJ140" i="7"/>
  <c r="Z52" i="7"/>
  <c r="AA122" i="8"/>
  <c r="AB136" i="9"/>
  <c r="AA117" i="7"/>
  <c r="AJ61" i="7"/>
  <c r="AJ70" i="8"/>
  <c r="AJ34" i="8"/>
  <c r="AJ67" i="8"/>
  <c r="Z92" i="8"/>
  <c r="AY92" i="8" s="1"/>
  <c r="Z21" i="9"/>
  <c r="AJ73" i="8"/>
  <c r="Z71" i="7"/>
  <c r="AJ102" i="8"/>
  <c r="AJ70" i="9"/>
  <c r="Z125" i="7"/>
  <c r="AB10" i="8"/>
  <c r="AB123" i="7"/>
  <c r="AA148" i="9"/>
  <c r="AA26" i="8"/>
  <c r="AY26" i="8" s="1"/>
  <c r="AJ23" i="7"/>
  <c r="AB62" i="9"/>
  <c r="AB106" i="8"/>
  <c r="AA91" i="9"/>
  <c r="AJ61" i="9"/>
  <c r="Z23" i="9"/>
  <c r="AY23" i="9" s="1"/>
  <c r="AJ83" i="7"/>
  <c r="AJ20" i="7"/>
  <c r="AA23" i="9"/>
  <c r="Z83" i="7"/>
  <c r="AB43" i="9"/>
  <c r="AJ115" i="9"/>
  <c r="Z33" i="9"/>
  <c r="AB69" i="8"/>
  <c r="Z143" i="9"/>
  <c r="AJ99" i="9"/>
  <c r="AA30" i="8"/>
  <c r="Z49" i="7"/>
  <c r="AA135" i="9"/>
  <c r="AB106" i="9"/>
  <c r="Z99" i="9"/>
  <c r="AY99" i="9" s="1"/>
  <c r="Z120" i="8"/>
  <c r="AA92" i="8"/>
  <c r="AA83" i="7"/>
  <c r="Z69" i="8"/>
  <c r="Z29" i="7"/>
  <c r="Z156" i="8"/>
  <c r="Z18" i="9"/>
  <c r="AB59" i="7"/>
  <c r="AA34" i="9"/>
  <c r="AB70" i="8"/>
  <c r="AB19" i="7"/>
  <c r="AB137" i="7"/>
  <c r="AB66" i="9"/>
  <c r="AA125" i="7"/>
  <c r="AB65" i="8"/>
  <c r="AA34" i="8"/>
  <c r="Z67" i="8"/>
  <c r="Z116" i="9"/>
  <c r="Z82" i="8"/>
  <c r="AB33" i="7"/>
  <c r="AB122" i="8"/>
  <c r="AB67" i="8"/>
  <c r="Z32" i="7"/>
  <c r="AJ117" i="9"/>
  <c r="AJ122" i="8"/>
  <c r="AJ76" i="8"/>
  <c r="AJ114" i="9"/>
  <c r="AB8" i="9"/>
  <c r="AA100" i="9"/>
  <c r="AA94" i="9"/>
  <c r="AB100" i="9"/>
  <c r="AB102" i="9"/>
  <c r="AB94" i="9"/>
  <c r="AA118" i="8"/>
  <c r="AJ133" i="8"/>
  <c r="AA120" i="8"/>
  <c r="Z73" i="8"/>
  <c r="AJ32" i="7"/>
  <c r="AB11" i="7"/>
  <c r="AA69" i="8"/>
  <c r="AJ10" i="9"/>
  <c r="Z131" i="9"/>
  <c r="AB54" i="8"/>
  <c r="AA74" i="7"/>
  <c r="AJ92" i="9"/>
  <c r="Z148" i="7"/>
  <c r="AY148" i="7" s="1"/>
  <c r="AJ39" i="8"/>
  <c r="AB99" i="7"/>
  <c r="AH99" i="7" s="1"/>
  <c r="Z78" i="7"/>
  <c r="AJ116" i="8"/>
  <c r="AJ40" i="9"/>
  <c r="AA136" i="9"/>
  <c r="AB155" i="7"/>
  <c r="AA120" i="7"/>
  <c r="Z56" i="9"/>
  <c r="AF56" i="9" s="1"/>
  <c r="AB78" i="8"/>
  <c r="AB63" i="7"/>
  <c r="Z28" i="9"/>
  <c r="AY28" i="9" s="1"/>
  <c r="AB72" i="9"/>
  <c r="AJ55" i="7"/>
  <c r="Z132" i="7"/>
  <c r="Z112" i="8"/>
  <c r="Z105" i="9"/>
  <c r="AJ52" i="7"/>
  <c r="AJ76" i="7"/>
  <c r="AB54" i="7"/>
  <c r="AA14" i="9"/>
  <c r="AB130" i="8"/>
  <c r="AA69" i="9"/>
  <c r="AJ50" i="9"/>
  <c r="AJ134" i="9"/>
  <c r="AA49" i="8"/>
  <c r="AA108" i="7"/>
  <c r="AB74" i="8"/>
  <c r="AJ156" i="9"/>
  <c r="AB26" i="9"/>
  <c r="Z60" i="7"/>
  <c r="Z20" i="7"/>
  <c r="Z106" i="9"/>
  <c r="Z51" i="7"/>
  <c r="AB148" i="9"/>
  <c r="AB120" i="8"/>
  <c r="AJ128" i="8"/>
  <c r="AJ86" i="8"/>
  <c r="AA84" i="8"/>
  <c r="AJ113" i="9"/>
  <c r="Z86" i="8"/>
  <c r="AA26" i="9"/>
  <c r="AJ62" i="8"/>
  <c r="AA70" i="8"/>
  <c r="Z131" i="8"/>
  <c r="AB121" i="7"/>
  <c r="AA134" i="7"/>
  <c r="AJ118" i="9"/>
  <c r="AA77" i="7"/>
  <c r="AG77" i="7" s="1"/>
  <c r="AA36" i="8"/>
  <c r="Z72" i="8"/>
  <c r="AB115" i="8"/>
  <c r="AA48" i="7"/>
  <c r="AG48" i="7" s="1"/>
  <c r="Z77" i="7"/>
  <c r="AF77" i="7" s="1"/>
  <c r="AJ150" i="8"/>
  <c r="AA49" i="9"/>
  <c r="AB83" i="9"/>
  <c r="AB26" i="7"/>
  <c r="Z50" i="9"/>
  <c r="AB129" i="7"/>
  <c r="AA150" i="9"/>
  <c r="AJ15" i="9"/>
  <c r="AA140" i="7"/>
  <c r="AY140" i="7" s="1"/>
  <c r="Z70" i="8"/>
  <c r="AA73" i="8"/>
  <c r="AA32" i="7"/>
  <c r="AA34" i="7"/>
  <c r="Z117" i="9"/>
  <c r="AB144" i="9"/>
  <c r="Z88" i="8"/>
  <c r="Z117" i="7"/>
  <c r="AB77" i="9"/>
  <c r="AA119" i="9"/>
  <c r="AB42" i="9"/>
  <c r="AA44" i="8"/>
  <c r="AJ118" i="7"/>
  <c r="AA65" i="7"/>
  <c r="AB132" i="9"/>
  <c r="AB56" i="9"/>
  <c r="AH56" i="9" s="1"/>
  <c r="AB116" i="8"/>
  <c r="AJ125" i="9"/>
  <c r="AB18" i="8"/>
  <c r="Z32" i="8"/>
  <c r="AF32" i="8" s="1"/>
  <c r="AB111" i="8"/>
  <c r="Z47" i="7"/>
  <c r="AB115" i="7"/>
  <c r="AA15" i="7"/>
  <c r="Z63" i="7"/>
  <c r="Z44" i="9"/>
  <c r="AJ63" i="7"/>
  <c r="Z144" i="9"/>
  <c r="AJ98" i="8"/>
  <c r="AJ54" i="7"/>
  <c r="AJ132" i="9"/>
  <c r="AJ108" i="8"/>
  <c r="Z98" i="8"/>
  <c r="AJ109" i="8"/>
  <c r="AA32" i="8"/>
  <c r="AG32" i="8" s="1"/>
  <c r="AJ51" i="9"/>
  <c r="AB122" i="9"/>
  <c r="AA78" i="7"/>
  <c r="Z88" i="7"/>
  <c r="AB23" i="7"/>
  <c r="AJ82" i="8"/>
  <c r="AJ150" i="7"/>
  <c r="AB13" i="7"/>
  <c r="AB118" i="9"/>
  <c r="Z134" i="9"/>
  <c r="AB117" i="9"/>
  <c r="AA122" i="9"/>
  <c r="AJ28" i="9"/>
  <c r="Z88" i="9"/>
  <c r="Z119" i="8"/>
  <c r="AY119" i="8" s="1"/>
  <c r="Z40" i="9"/>
  <c r="Z117" i="8"/>
  <c r="Z42" i="9"/>
  <c r="AA116" i="8"/>
  <c r="AB120" i="7"/>
  <c r="AJ44" i="8"/>
  <c r="AJ42" i="9"/>
  <c r="Z49" i="8"/>
  <c r="Z33" i="7"/>
  <c r="Z34" i="7"/>
  <c r="AX34" i="7" s="1"/>
  <c r="AB88" i="7"/>
  <c r="Z23" i="7"/>
  <c r="AA65" i="8"/>
  <c r="Z98" i="7"/>
  <c r="AB17" i="7"/>
  <c r="AA81" i="7"/>
  <c r="AJ149" i="7"/>
  <c r="AA149" i="9"/>
  <c r="AB93" i="9"/>
  <c r="AB140" i="7"/>
  <c r="AX140" i="7" s="1"/>
  <c r="Z16" i="8"/>
  <c r="AA72" i="9"/>
  <c r="Z125" i="8"/>
  <c r="AJ26" i="9"/>
  <c r="AB119" i="9"/>
  <c r="AY119" i="9" s="1"/>
  <c r="AA116" i="9"/>
  <c r="AJ62" i="9"/>
  <c r="Z120" i="7"/>
  <c r="AJ100" i="8"/>
  <c r="Z132" i="9"/>
  <c r="AJ120" i="7"/>
  <c r="AA63" i="7"/>
  <c r="Z122" i="9"/>
  <c r="AA28" i="9"/>
  <c r="Z80" i="8"/>
  <c r="AB150" i="8"/>
  <c r="Z116" i="8"/>
  <c r="Z102" i="8"/>
  <c r="AA39" i="8"/>
  <c r="AB44" i="8"/>
  <c r="AA54" i="9"/>
  <c r="Z19" i="7"/>
  <c r="AJ148" i="8"/>
  <c r="Z138" i="9"/>
  <c r="AA134" i="9"/>
  <c r="AJ77" i="9"/>
  <c r="AJ97" i="9"/>
  <c r="Z93" i="9"/>
  <c r="AA137" i="9"/>
  <c r="AA70" i="9"/>
  <c r="Z70" i="9"/>
  <c r="AB41" i="9"/>
  <c r="AA40" i="9"/>
  <c r="Z92" i="9"/>
  <c r="AA117" i="8"/>
  <c r="AA42" i="9"/>
  <c r="Z109" i="8"/>
  <c r="AJ30" i="8"/>
  <c r="Z44" i="8"/>
  <c r="AA106" i="8"/>
  <c r="AB49" i="8"/>
  <c r="Z28" i="8"/>
  <c r="AJ112" i="8"/>
  <c r="AA33" i="7"/>
  <c r="AJ26" i="8"/>
  <c r="AJ88" i="7"/>
  <c r="AJ29" i="7"/>
  <c r="AB145" i="8"/>
  <c r="AB82" i="8"/>
  <c r="Z77" i="8"/>
  <c r="AA117" i="9"/>
  <c r="AA110" i="9"/>
  <c r="Z94" i="7"/>
  <c r="AA110" i="8"/>
  <c r="AJ102" i="7"/>
  <c r="AJ64" i="8"/>
  <c r="Z137" i="7"/>
  <c r="AJ77" i="7"/>
  <c r="AJ128" i="7"/>
  <c r="AJ71" i="7"/>
  <c r="Z109" i="9"/>
  <c r="AA130" i="8"/>
  <c r="AA54" i="7"/>
  <c r="AJ100" i="7"/>
  <c r="AB134" i="9"/>
  <c r="AJ142" i="9"/>
  <c r="AJ90" i="9"/>
  <c r="AB70" i="9"/>
  <c r="AJ109" i="9"/>
  <c r="AJ74" i="9"/>
  <c r="AJ18" i="9"/>
  <c r="Z83" i="9"/>
  <c r="AB40" i="9"/>
  <c r="AA157" i="8"/>
  <c r="AJ131" i="8"/>
  <c r="AJ72" i="9"/>
  <c r="AA92" i="9"/>
  <c r="AJ117" i="8"/>
  <c r="Z151" i="8"/>
  <c r="AA118" i="7"/>
  <c r="AG118" i="7" s="1"/>
  <c r="Z12" i="9"/>
  <c r="AJ45" i="8"/>
  <c r="AJ9" i="8"/>
  <c r="Z37" i="7"/>
  <c r="Z78" i="8"/>
  <c r="AA29" i="7"/>
  <c r="AA18" i="8"/>
  <c r="AB77" i="7"/>
  <c r="AB135" i="9"/>
  <c r="Z130" i="8"/>
  <c r="AY130" i="8" s="1"/>
  <c r="AB67" i="7"/>
  <c r="AB103" i="8"/>
  <c r="AA99" i="7"/>
  <c r="AG99" i="7" s="1"/>
  <c r="AB105" i="7"/>
  <c r="AB108" i="7"/>
  <c r="AB47" i="8"/>
  <c r="AJ19" i="7"/>
  <c r="AJ123" i="7"/>
  <c r="AB60" i="7"/>
  <c r="AB140" i="9"/>
  <c r="AA152" i="7"/>
  <c r="Z85" i="7"/>
  <c r="Z69" i="9"/>
  <c r="Z25" i="9"/>
  <c r="AY25" i="9" s="1"/>
  <c r="AA102" i="8"/>
  <c r="AA151" i="8"/>
  <c r="AA52" i="8"/>
  <c r="AJ119" i="9"/>
  <c r="Z83" i="8"/>
  <c r="Z47" i="8"/>
  <c r="AA78" i="8"/>
  <c r="AA104" i="9"/>
  <c r="AA60" i="8"/>
  <c r="AJ126" i="7"/>
  <c r="Z103" i="9"/>
  <c r="AB109" i="9"/>
  <c r="AA74" i="9"/>
  <c r="AJ83" i="9"/>
  <c r="AB27" i="9"/>
  <c r="AB151" i="8"/>
  <c r="AJ69" i="9"/>
  <c r="AJ78" i="8"/>
  <c r="AB118" i="8"/>
  <c r="AJ38" i="8"/>
  <c r="AJ78" i="7"/>
  <c r="AJ106" i="9"/>
  <c r="AA155" i="7"/>
  <c r="AB9" i="8"/>
  <c r="Z27" i="7"/>
  <c r="AF27" i="7" s="1"/>
  <c r="AB118" i="7"/>
  <c r="AB117" i="7"/>
  <c r="AB125" i="7"/>
  <c r="AJ34" i="7"/>
  <c r="AB50" i="9"/>
  <c r="AJ105" i="9"/>
  <c r="AA36" i="9"/>
  <c r="AB87" i="9"/>
  <c r="AB55" i="7"/>
  <c r="AJ107" i="7"/>
  <c r="AA60" i="7"/>
  <c r="Z137" i="8"/>
  <c r="AA98" i="8"/>
  <c r="AG98" i="8" s="1"/>
  <c r="AB32" i="8"/>
  <c r="AH32" i="8" s="1"/>
  <c r="Z65" i="8"/>
  <c r="Z126" i="9"/>
  <c r="Z82" i="9"/>
  <c r="AA109" i="9"/>
  <c r="Z74" i="9"/>
  <c r="AA83" i="9"/>
  <c r="AB84" i="8"/>
  <c r="Z104" i="7"/>
  <c r="AA47" i="8"/>
  <c r="Z118" i="8"/>
  <c r="AY118" i="8" s="1"/>
  <c r="Z155" i="7"/>
  <c r="AY155" i="7" s="1"/>
  <c r="AA9" i="8"/>
  <c r="AB29" i="7"/>
  <c r="Z76" i="7"/>
  <c r="AJ80" i="8"/>
  <c r="AA54" i="8"/>
  <c r="AJ140" i="9"/>
  <c r="AB43" i="7"/>
  <c r="Z46" i="8"/>
  <c r="AJ100" i="9"/>
  <c r="AB10" i="9"/>
  <c r="AA55" i="9"/>
  <c r="AB14" i="9"/>
  <c r="AJ27" i="9"/>
  <c r="Z134" i="8"/>
  <c r="Z38" i="8"/>
  <c r="AY38" i="8" s="1"/>
  <c r="AA15" i="8"/>
  <c r="AB138" i="7"/>
  <c r="AB152" i="7"/>
  <c r="AA137" i="7"/>
  <c r="AY137" i="7" s="1"/>
  <c r="AJ117" i="7"/>
  <c r="Z65" i="7"/>
  <c r="AJ125" i="7"/>
  <c r="AJ10" i="8"/>
  <c r="AB136" i="8"/>
  <c r="AB91" i="9"/>
  <c r="AA86" i="9"/>
  <c r="AJ42" i="8"/>
  <c r="AB66" i="7"/>
  <c r="AA107" i="8"/>
  <c r="AB69" i="9"/>
  <c r="AB34" i="8"/>
  <c r="AB130" i="7"/>
  <c r="AB73" i="9"/>
  <c r="AA11" i="9"/>
  <c r="AB111" i="7"/>
  <c r="AB38" i="8"/>
  <c r="Z119" i="9"/>
  <c r="AA77" i="9"/>
  <c r="Z14" i="9"/>
  <c r="AJ149" i="8"/>
  <c r="AJ56" i="9"/>
  <c r="AA74" i="8"/>
  <c r="AA111" i="8"/>
  <c r="AY111" i="8" s="1"/>
  <c r="AJ119" i="7"/>
  <c r="Z18" i="8"/>
  <c r="AA10" i="8"/>
  <c r="AJ65" i="7"/>
  <c r="AJ132" i="7"/>
  <c r="AJ106" i="8"/>
  <c r="Z121" i="7"/>
  <c r="AB30" i="8"/>
  <c r="Z55" i="7"/>
  <c r="Z96" i="9"/>
  <c r="AJ35" i="9"/>
  <c r="AA61" i="9"/>
  <c r="Z90" i="8"/>
  <c r="AJ18" i="8"/>
  <c r="Z106" i="8"/>
  <c r="AA55" i="7"/>
  <c r="AB28" i="9"/>
  <c r="AB49" i="9"/>
  <c r="AB44" i="9"/>
  <c r="AA23" i="7"/>
  <c r="AJ36" i="8"/>
  <c r="AA19" i="7"/>
  <c r="AJ53" i="7"/>
  <c r="AJ21" i="8"/>
  <c r="AJ45" i="7"/>
  <c r="AY44" i="9"/>
  <c r="AA58" i="8"/>
  <c r="AJ58" i="8"/>
  <c r="AB58" i="8"/>
  <c r="AB39" i="9"/>
  <c r="Z110" i="8"/>
  <c r="AA100" i="8"/>
  <c r="AJ24" i="9"/>
  <c r="AA75" i="7"/>
  <c r="Z157" i="8"/>
  <c r="AJ157" i="8"/>
  <c r="AB157" i="8"/>
  <c r="AB126" i="7"/>
  <c r="Z91" i="8"/>
  <c r="AB91" i="8"/>
  <c r="AJ91" i="8"/>
  <c r="Z80" i="9"/>
  <c r="AY80" i="9" s="1"/>
  <c r="AB80" i="9"/>
  <c r="AJ80" i="9"/>
  <c r="AJ139" i="7"/>
  <c r="AB139" i="7"/>
  <c r="AA139" i="7"/>
  <c r="Z139" i="7"/>
  <c r="AJ154" i="8"/>
  <c r="AJ13" i="7"/>
  <c r="AJ141" i="8"/>
  <c r="Z141" i="8"/>
  <c r="AB141" i="8"/>
  <c r="AA141" i="8"/>
  <c r="AB53" i="7"/>
  <c r="AB86" i="9"/>
  <c r="Z148" i="8"/>
  <c r="AB110" i="9"/>
  <c r="AJ54" i="8"/>
  <c r="AJ136" i="7"/>
  <c r="AA125" i="8"/>
  <c r="Z149" i="7"/>
  <c r="AJ74" i="7"/>
  <c r="AJ155" i="7"/>
  <c r="AJ115" i="7"/>
  <c r="AA121" i="7"/>
  <c r="Z118" i="7"/>
  <c r="AY118" i="7" s="1"/>
  <c r="Z107" i="7"/>
  <c r="AA111" i="7"/>
  <c r="Z126" i="7"/>
  <c r="Z95" i="9"/>
  <c r="AB95" i="9"/>
  <c r="AB128" i="9"/>
  <c r="AA157" i="9"/>
  <c r="AJ157" i="9"/>
  <c r="AB86" i="8"/>
  <c r="AA132" i="7"/>
  <c r="Z26" i="7"/>
  <c r="AJ26" i="7"/>
  <c r="AB50" i="8"/>
  <c r="AA50" i="8"/>
  <c r="Z50" i="8"/>
  <c r="AJ50" i="8"/>
  <c r="AA98" i="9"/>
  <c r="AB98" i="9"/>
  <c r="Z98" i="9"/>
  <c r="AJ98" i="9"/>
  <c r="Z62" i="8"/>
  <c r="AB62" i="8"/>
  <c r="AA62" i="8"/>
  <c r="Z24" i="8"/>
  <c r="AJ24" i="8"/>
  <c r="AB24" i="8"/>
  <c r="AA24" i="8"/>
  <c r="AB115" i="9"/>
  <c r="AA115" i="9"/>
  <c r="AB61" i="7"/>
  <c r="AA61" i="7"/>
  <c r="Z113" i="9"/>
  <c r="AJ86" i="9"/>
  <c r="AB60" i="8"/>
  <c r="AJ94" i="8"/>
  <c r="AA94" i="8"/>
  <c r="Z94" i="8"/>
  <c r="Z111" i="7"/>
  <c r="AB87" i="8"/>
  <c r="AJ60" i="9"/>
  <c r="Z60" i="9"/>
  <c r="AB60" i="9"/>
  <c r="AA67" i="9"/>
  <c r="Z67" i="9"/>
  <c r="AJ67" i="9"/>
  <c r="AB67" i="9"/>
  <c r="AA140" i="9"/>
  <c r="AB11" i="9"/>
  <c r="AA73" i="9"/>
  <c r="AA148" i="8"/>
  <c r="AA43" i="9"/>
  <c r="AB94" i="8"/>
  <c r="AA138" i="8"/>
  <c r="AJ138" i="8"/>
  <c r="Z138" i="8"/>
  <c r="AY138" i="8" s="1"/>
  <c r="AJ152" i="7"/>
  <c r="AB98" i="7"/>
  <c r="AA126" i="7"/>
  <c r="AA136" i="7"/>
  <c r="Z136" i="7"/>
  <c r="AB114" i="9"/>
  <c r="AA114" i="9"/>
  <c r="Z71" i="9"/>
  <c r="AB71" i="9"/>
  <c r="AJ34" i="9"/>
  <c r="AA43" i="7"/>
  <c r="AJ84" i="8"/>
  <c r="AB149" i="9"/>
  <c r="AB121" i="9"/>
  <c r="AJ121" i="9"/>
  <c r="Z121" i="9"/>
  <c r="AJ110" i="9"/>
  <c r="AA95" i="7"/>
  <c r="AJ95" i="7"/>
  <c r="Z110" i="9"/>
  <c r="AY110" i="9" s="1"/>
  <c r="Z86" i="9"/>
  <c r="AA113" i="9"/>
  <c r="AB64" i="8"/>
  <c r="AJ138" i="9"/>
  <c r="AA121" i="9"/>
  <c r="Z78" i="9"/>
  <c r="AA149" i="7"/>
  <c r="AJ150" i="9"/>
  <c r="Z63" i="9"/>
  <c r="AB82" i="9"/>
  <c r="Z140" i="9"/>
  <c r="AJ73" i="9"/>
  <c r="AA131" i="8"/>
  <c r="AB12" i="8"/>
  <c r="AB149" i="7"/>
  <c r="AJ44" i="9"/>
  <c r="Z152" i="7"/>
  <c r="AY152" i="7" s="1"/>
  <c r="Z81" i="7"/>
  <c r="AB136" i="7"/>
  <c r="AA13" i="9"/>
  <c r="Z13" i="9"/>
  <c r="AB13" i="9"/>
  <c r="AJ13" i="9"/>
  <c r="AA145" i="8"/>
  <c r="Z145" i="8"/>
  <c r="AJ145" i="8"/>
  <c r="AB135" i="7"/>
  <c r="AA135" i="7"/>
  <c r="Z135" i="7"/>
  <c r="AY135" i="7" s="1"/>
  <c r="Z66" i="9"/>
  <c r="AJ66" i="9"/>
  <c r="AA66" i="9"/>
  <c r="AJ146" i="9"/>
  <c r="AB146" i="9"/>
  <c r="AA97" i="9"/>
  <c r="AB97" i="9"/>
  <c r="Z97" i="9"/>
  <c r="Z124" i="9"/>
  <c r="AJ124" i="9"/>
  <c r="AB107" i="7"/>
  <c r="AA107" i="7"/>
  <c r="AA32" i="9"/>
  <c r="Z32" i="9"/>
  <c r="AY32" i="9" s="1"/>
  <c r="AJ156" i="8"/>
  <c r="AA144" i="7"/>
  <c r="AJ56" i="8"/>
  <c r="AB56" i="8"/>
  <c r="AA93" i="8"/>
  <c r="AB93" i="8"/>
  <c r="Z93" i="8"/>
  <c r="AJ93" i="8"/>
  <c r="AA95" i="8"/>
  <c r="AJ108" i="7"/>
  <c r="Z61" i="7"/>
  <c r="AY61" i="7" s="1"/>
  <c r="AJ70" i="7"/>
  <c r="Z70" i="7"/>
  <c r="Z149" i="9"/>
  <c r="AJ48" i="9"/>
  <c r="AA96" i="8"/>
  <c r="AA148" i="7"/>
  <c r="AJ48" i="8"/>
  <c r="AJ111" i="7"/>
  <c r="AA66" i="7"/>
  <c r="AB78" i="9"/>
  <c r="AA82" i="9"/>
  <c r="AJ43" i="9"/>
  <c r="AJ99" i="7"/>
  <c r="Z59" i="7"/>
  <c r="AJ59" i="7"/>
  <c r="AA77" i="8"/>
  <c r="AB69" i="7"/>
  <c r="AA69" i="7"/>
  <c r="Z69" i="7"/>
  <c r="AJ69" i="7"/>
  <c r="AB137" i="8"/>
  <c r="AA137" i="8"/>
  <c r="AJ137" i="8"/>
  <c r="AA93" i="7"/>
  <c r="AB93" i="7"/>
  <c r="AJ93" i="7"/>
  <c r="Z93" i="7"/>
  <c r="AA115" i="8"/>
  <c r="Z115" i="8"/>
  <c r="AJ72" i="8"/>
  <c r="AH77" i="7"/>
  <c r="AJ125" i="8"/>
  <c r="AJ98" i="7"/>
  <c r="AA98" i="7"/>
  <c r="AA129" i="8"/>
  <c r="AB129" i="8"/>
  <c r="AJ129" i="8"/>
  <c r="AJ110" i="7"/>
  <c r="AB110" i="7"/>
  <c r="AA110" i="7"/>
  <c r="Z17" i="7"/>
  <c r="AJ17" i="7"/>
  <c r="Z129" i="8"/>
  <c r="AJ84" i="7"/>
  <c r="AA84" i="7"/>
  <c r="AG84" i="7" s="1"/>
  <c r="AB84" i="7"/>
  <c r="AH84" i="7" s="1"/>
  <c r="Z156" i="7"/>
  <c r="AJ156" i="7"/>
  <c r="AB156" i="7"/>
  <c r="AA156" i="7"/>
  <c r="AJ72" i="7"/>
  <c r="AB72" i="7"/>
  <c r="AA72" i="7"/>
  <c r="Z72" i="7"/>
  <c r="AB48" i="7"/>
  <c r="Z48" i="7"/>
  <c r="AF48" i="7" s="1"/>
  <c r="AJ48" i="7"/>
  <c r="AA53" i="7"/>
  <c r="AJ12" i="7"/>
  <c r="AA12" i="7"/>
  <c r="AJ19" i="9"/>
  <c r="AB19" i="9"/>
  <c r="Z19" i="9"/>
  <c r="AA19" i="9"/>
  <c r="AJ129" i="7"/>
  <c r="AB94" i="7"/>
  <c r="AY94" i="7" s="1"/>
  <c r="AJ94" i="7"/>
  <c r="AB102" i="7"/>
  <c r="AA102" i="7"/>
  <c r="AA47" i="7"/>
  <c r="AB47" i="7"/>
  <c r="Z15" i="7"/>
  <c r="AB15" i="7"/>
  <c r="Z87" i="9"/>
  <c r="AJ87" i="9"/>
  <c r="Z145" i="7"/>
  <c r="AJ145" i="7"/>
  <c r="AB62" i="7"/>
  <c r="AA62" i="7"/>
  <c r="Z62" i="7"/>
  <c r="AJ62" i="7"/>
  <c r="Z107" i="9"/>
  <c r="AA107" i="9"/>
  <c r="AB107" i="9"/>
  <c r="AA67" i="7"/>
  <c r="Z67" i="7"/>
  <c r="AJ67" i="7"/>
  <c r="AJ14" i="8"/>
  <c r="Z14" i="8"/>
  <c r="AB14" i="8"/>
  <c r="AA72" i="8"/>
  <c r="AB116" i="9"/>
  <c r="AJ51" i="7"/>
  <c r="AB51" i="7"/>
  <c r="AA51" i="7"/>
  <c r="AX51" i="7" s="1"/>
  <c r="AA17" i="7"/>
  <c r="AA44" i="7"/>
  <c r="Z44" i="7"/>
  <c r="AJ44" i="7"/>
  <c r="Z104" i="9"/>
  <c r="AB104" i="9"/>
  <c r="AJ104" i="9"/>
  <c r="AA99" i="8"/>
  <c r="AJ99" i="8"/>
  <c r="AA66" i="8"/>
  <c r="Z66" i="8"/>
  <c r="AJ66" i="8"/>
  <c r="AJ134" i="7"/>
  <c r="Z134" i="7"/>
  <c r="AY134" i="7" s="1"/>
  <c r="AJ73" i="7"/>
  <c r="AA73" i="7"/>
  <c r="AB73" i="7"/>
  <c r="Z73" i="7"/>
  <c r="AA105" i="7"/>
  <c r="Z105" i="7"/>
  <c r="AJ105" i="7"/>
  <c r="AB96" i="9"/>
  <c r="AA96" i="9"/>
  <c r="AJ38" i="9"/>
  <c r="AB38" i="9"/>
  <c r="Z142" i="9"/>
  <c r="AJ115" i="8"/>
  <c r="AA49" i="7"/>
  <c r="AB49" i="7"/>
  <c r="AJ49" i="7"/>
  <c r="AJ111" i="8"/>
  <c r="Z53" i="9"/>
  <c r="AA53" i="9"/>
  <c r="AJ53" i="9"/>
  <c r="Z64" i="9"/>
  <c r="AA64" i="9"/>
  <c r="AJ40" i="7"/>
  <c r="AA40" i="7"/>
  <c r="AG40" i="7" s="1"/>
  <c r="AB40" i="7"/>
  <c r="AH40" i="7" s="1"/>
  <c r="Z40" i="7"/>
  <c r="AF40" i="7" s="1"/>
  <c r="AA105" i="8"/>
  <c r="Z105" i="8"/>
  <c r="AB95" i="7"/>
  <c r="AA142" i="9"/>
  <c r="AA87" i="9"/>
  <c r="AB53" i="9"/>
  <c r="AJ8" i="9"/>
  <c r="Z95" i="7"/>
  <c r="Z115" i="7"/>
  <c r="AJ31" i="7"/>
  <c r="Z31" i="7"/>
  <c r="AJ81" i="7"/>
  <c r="AJ82" i="7"/>
  <c r="AB82" i="7"/>
  <c r="AA85" i="8"/>
  <c r="AJ85" i="8"/>
  <c r="Z111" i="9"/>
  <c r="AJ111" i="9"/>
  <c r="AB66" i="8"/>
  <c r="Z115" i="9"/>
  <c r="AJ11" i="9"/>
  <c r="AJ79" i="9"/>
  <c r="AA79" i="9"/>
  <c r="AB79" i="9"/>
  <c r="AA59" i="7"/>
  <c r="AA46" i="7"/>
  <c r="AJ46" i="7"/>
  <c r="AB46" i="7"/>
  <c r="Z46" i="7"/>
  <c r="AJ92" i="7"/>
  <c r="AB92" i="7"/>
  <c r="AA92" i="7"/>
  <c r="Z92" i="7"/>
  <c r="AY92" i="7" s="1"/>
  <c r="Z53" i="7"/>
  <c r="AB142" i="9"/>
  <c r="AB17" i="8"/>
  <c r="AA17" i="8"/>
  <c r="Z17" i="8"/>
  <c r="AA115" i="7"/>
  <c r="AA63" i="8"/>
  <c r="AA94" i="7"/>
  <c r="AJ128" i="9"/>
  <c r="AA90" i="8"/>
  <c r="Z91" i="9"/>
  <c r="AJ148" i="7"/>
  <c r="AJ86" i="7"/>
  <c r="AA86" i="7"/>
  <c r="AB55" i="9"/>
  <c r="Z55" i="9"/>
  <c r="AB74" i="7"/>
  <c r="Z74" i="7"/>
  <c r="AJ136" i="9"/>
  <c r="AA60" i="9"/>
  <c r="AB47" i="9"/>
  <c r="AJ78" i="9"/>
  <c r="AJ85" i="9"/>
  <c r="AB85" i="9"/>
  <c r="AJ91" i="9"/>
  <c r="AJ124" i="8"/>
  <c r="Z54" i="8"/>
  <c r="AY54" i="8" s="1"/>
  <c r="AB147" i="7"/>
  <c r="AB81" i="7"/>
  <c r="Z108" i="7"/>
  <c r="Z136" i="9"/>
  <c r="AY136" i="9" s="1"/>
  <c r="AJ149" i="9"/>
  <c r="AJ103" i="9"/>
  <c r="AA44" i="9"/>
  <c r="AJ97" i="8"/>
  <c r="AB99" i="8"/>
  <c r="Z8" i="9"/>
  <c r="AJ64" i="9"/>
  <c r="AB18" i="9"/>
  <c r="AA18" i="9"/>
  <c r="AB27" i="8"/>
  <c r="Z27" i="8"/>
  <c r="AB148" i="7"/>
  <c r="AJ107" i="9"/>
  <c r="AA88" i="8"/>
  <c r="AJ15" i="7"/>
  <c r="AB44" i="7"/>
  <c r="Z110" i="7"/>
  <c r="Z84" i="7"/>
  <c r="AJ30" i="7"/>
  <c r="AJ77" i="8"/>
  <c r="AJ153" i="7"/>
  <c r="Z153" i="7"/>
  <c r="AY153" i="7" s="1"/>
  <c r="Z84" i="8"/>
  <c r="AA31" i="8"/>
  <c r="AB31" i="8"/>
  <c r="Z31" i="8"/>
  <c r="AY31" i="8" s="1"/>
  <c r="AJ31" i="8"/>
  <c r="AJ66" i="7"/>
  <c r="Z66" i="7"/>
  <c r="Z157" i="9"/>
  <c r="Z135" i="9"/>
  <c r="AA144" i="9"/>
  <c r="AA96" i="7"/>
  <c r="Z64" i="7"/>
  <c r="AB112" i="8"/>
  <c r="AJ47" i="7"/>
  <c r="AA56" i="7"/>
  <c r="Z151" i="9"/>
  <c r="AY151" i="9" s="1"/>
  <c r="AJ32" i="9"/>
  <c r="AJ88" i="9"/>
  <c r="AA102" i="9"/>
  <c r="AB61" i="9"/>
  <c r="AJ144" i="9"/>
  <c r="Z27" i="9"/>
  <c r="AB34" i="9"/>
  <c r="AA78" i="9"/>
  <c r="AJ139" i="8"/>
  <c r="AJ105" i="8"/>
  <c r="AJ130" i="7"/>
  <c r="AA103" i="8"/>
  <c r="Z63" i="8"/>
  <c r="Z34" i="8"/>
  <c r="AX34" i="8" s="1"/>
  <c r="AA42" i="8"/>
  <c r="AB105" i="9"/>
  <c r="AJ32" i="8"/>
  <c r="AJ85" i="7"/>
  <c r="AJ12" i="9"/>
  <c r="AJ25" i="7"/>
  <c r="AB131" i="7"/>
  <c r="AA29" i="9"/>
  <c r="AJ122" i="7"/>
  <c r="AB72" i="8"/>
  <c r="AB26" i="8"/>
  <c r="AB85" i="7"/>
  <c r="AY85" i="7" s="1"/>
  <c r="AB76" i="7"/>
  <c r="AJ65" i="8"/>
  <c r="AB56" i="7"/>
  <c r="AB16" i="7"/>
  <c r="AH16" i="7" s="1"/>
  <c r="AA70" i="7"/>
  <c r="AB70" i="7"/>
  <c r="Z114" i="9"/>
  <c r="AY114" i="9" s="1"/>
  <c r="Z43" i="7"/>
  <c r="AY43" i="7" s="1"/>
  <c r="AA125" i="9"/>
  <c r="AJ112" i="7"/>
  <c r="AA13" i="7"/>
  <c r="Z49" i="9"/>
  <c r="AJ22" i="9"/>
  <c r="AB121" i="8"/>
  <c r="Z34" i="9"/>
  <c r="Z71" i="8"/>
  <c r="AA150" i="8"/>
  <c r="AA89" i="8"/>
  <c r="Z15" i="9"/>
  <c r="AB42" i="8"/>
  <c r="AJ151" i="7"/>
  <c r="AA12" i="9"/>
  <c r="AB90" i="8"/>
  <c r="Z106" i="7"/>
  <c r="Z12" i="7"/>
  <c r="Z45" i="7"/>
  <c r="AA20" i="7"/>
  <c r="AB50" i="7"/>
  <c r="Z36" i="8"/>
  <c r="Z79" i="9"/>
  <c r="AB52" i="7"/>
  <c r="AA52" i="7"/>
  <c r="AB150" i="7"/>
  <c r="AJ147" i="7"/>
  <c r="Z60" i="8"/>
  <c r="AA131" i="9"/>
  <c r="AY131" i="9" s="1"/>
  <c r="Z112" i="9"/>
  <c r="AJ20" i="9"/>
  <c r="AB29" i="9"/>
  <c r="AB37" i="9"/>
  <c r="AB83" i="8"/>
  <c r="AB81" i="8"/>
  <c r="AB77" i="8"/>
  <c r="AB15" i="9"/>
  <c r="AB119" i="7"/>
  <c r="Z87" i="8"/>
  <c r="Z24" i="7"/>
  <c r="Z25" i="7"/>
  <c r="AB28" i="8"/>
  <c r="AB43" i="8"/>
  <c r="AA128" i="7"/>
  <c r="AY128" i="7" s="1"/>
  <c r="AJ29" i="8"/>
  <c r="AA27" i="7"/>
  <c r="AG27" i="7" s="1"/>
  <c r="AB36" i="8"/>
  <c r="Z102" i="7"/>
  <c r="Z150" i="8"/>
  <c r="AY150" i="8" s="1"/>
  <c r="AB125" i="8"/>
  <c r="AA56" i="9"/>
  <c r="AG56" i="9" s="1"/>
  <c r="AA128" i="8"/>
  <c r="AA93" i="9"/>
  <c r="AA108" i="9"/>
  <c r="AA52" i="9"/>
  <c r="AJ61" i="8"/>
  <c r="AJ16" i="8"/>
  <c r="AA87" i="7"/>
  <c r="AJ87" i="8"/>
  <c r="AB128" i="7"/>
  <c r="AA16" i="8"/>
  <c r="AJ56" i="7"/>
  <c r="Z73" i="9"/>
  <c r="AJ155" i="9"/>
  <c r="AB111" i="9"/>
  <c r="AX109" i="9"/>
  <c r="AA71" i="9"/>
  <c r="Z51" i="9"/>
  <c r="Z11" i="9"/>
  <c r="Z61" i="9"/>
  <c r="AY61" i="9" s="1"/>
  <c r="AJ93" i="9"/>
  <c r="AJ52" i="9"/>
  <c r="AB32" i="9"/>
  <c r="Z15" i="8"/>
  <c r="AJ55" i="8"/>
  <c r="AA87" i="8"/>
  <c r="AB11" i="8"/>
  <c r="AB16" i="8"/>
  <c r="Z82" i="7"/>
  <c r="AJ43" i="7"/>
  <c r="AA71" i="7"/>
  <c r="AJ25" i="8"/>
  <c r="AJ41" i="7"/>
  <c r="AJ135" i="7"/>
  <c r="Z123" i="7"/>
  <c r="AJ121" i="7"/>
  <c r="Z43" i="9"/>
  <c r="Z147" i="8"/>
  <c r="AB46" i="8"/>
  <c r="AB139" i="9"/>
  <c r="AJ142" i="8"/>
  <c r="Z36" i="9"/>
  <c r="AB52" i="9"/>
  <c r="AB57" i="8"/>
  <c r="AJ68" i="8"/>
  <c r="AB90" i="7"/>
  <c r="Z154" i="7"/>
  <c r="Z85" i="8"/>
  <c r="AA85" i="9"/>
  <c r="Z100" i="8"/>
  <c r="AB71" i="7"/>
  <c r="AB22" i="9"/>
  <c r="AD126" i="7"/>
  <c r="AC126" i="7"/>
  <c r="AE126" i="7"/>
  <c r="AH126" i="7" s="1"/>
  <c r="AJ104" i="7"/>
  <c r="AE34" i="7"/>
  <c r="AH34" i="7" s="1"/>
  <c r="AC34" i="7"/>
  <c r="AD34" i="7"/>
  <c r="AD22" i="9"/>
  <c r="AE22" i="9"/>
  <c r="AC22" i="9"/>
  <c r="AC154" i="9"/>
  <c r="AE154" i="9"/>
  <c r="AD154" i="9"/>
  <c r="Z46" i="9"/>
  <c r="AA46" i="9"/>
  <c r="AE45" i="9"/>
  <c r="AD45" i="9"/>
  <c r="AC45" i="9"/>
  <c r="AJ134" i="8"/>
  <c r="AB55" i="8"/>
  <c r="AE23" i="7"/>
  <c r="AD23" i="7"/>
  <c r="AC23" i="7"/>
  <c r="AC37" i="9"/>
  <c r="AD37" i="9"/>
  <c r="AE37" i="9"/>
  <c r="AE29" i="8"/>
  <c r="AD29" i="8"/>
  <c r="AC29" i="8"/>
  <c r="AE98" i="9"/>
  <c r="AD98" i="9"/>
  <c r="AC98" i="9"/>
  <c r="AA130" i="9"/>
  <c r="Z130" i="9"/>
  <c r="AJ130" i="9"/>
  <c r="AB130" i="9"/>
  <c r="AA33" i="9"/>
  <c r="AJ142" i="7"/>
  <c r="Z142" i="7"/>
  <c r="AA142" i="7"/>
  <c r="AB142" i="7"/>
  <c r="AE142" i="7"/>
  <c r="AD142" i="7"/>
  <c r="AC142" i="7"/>
  <c r="AB78" i="7"/>
  <c r="AE53" i="8"/>
  <c r="AC53" i="8"/>
  <c r="AD53" i="8"/>
  <c r="AA39" i="7"/>
  <c r="Z39" i="7"/>
  <c r="AJ39" i="7"/>
  <c r="AB39" i="7"/>
  <c r="AC73" i="7"/>
  <c r="AE73" i="7"/>
  <c r="AD73" i="7"/>
  <c r="AC129" i="7"/>
  <c r="AD129" i="7"/>
  <c r="AE129" i="7"/>
  <c r="AH129" i="7" s="1"/>
  <c r="AE78" i="9"/>
  <c r="AD78" i="9"/>
  <c r="AC78" i="9"/>
  <c r="AE156" i="7"/>
  <c r="AD156" i="7"/>
  <c r="AC156" i="7"/>
  <c r="AE150" i="7"/>
  <c r="AD150" i="7"/>
  <c r="AC150" i="7"/>
  <c r="AC66" i="9"/>
  <c r="AD66" i="9"/>
  <c r="AE66" i="9"/>
  <c r="AD130" i="9"/>
  <c r="AC130" i="9"/>
  <c r="AE130" i="9"/>
  <c r="Z13" i="7"/>
  <c r="AE112" i="9"/>
  <c r="AD112" i="9"/>
  <c r="AG112" i="9" s="1"/>
  <c r="AC112" i="9"/>
  <c r="AE127" i="9"/>
  <c r="AD127" i="9"/>
  <c r="AC127" i="9"/>
  <c r="AA143" i="9"/>
  <c r="AY131" i="8"/>
  <c r="AB21" i="9"/>
  <c r="AA21" i="9"/>
  <c r="AJ9" i="7"/>
  <c r="AB9" i="7"/>
  <c r="AH9" i="7" s="1"/>
  <c r="AA9" i="7"/>
  <c r="AG9" i="7" s="1"/>
  <c r="Z9" i="7"/>
  <c r="AF9" i="7" s="1"/>
  <c r="AE59" i="7"/>
  <c r="AD59" i="7"/>
  <c r="AC59" i="7"/>
  <c r="AB9" i="9"/>
  <c r="AA9" i="9"/>
  <c r="Z9" i="9"/>
  <c r="AY9" i="9" s="1"/>
  <c r="AJ9" i="9"/>
  <c r="AJ27" i="8"/>
  <c r="AE69" i="7"/>
  <c r="AD69" i="7"/>
  <c r="AC69" i="7"/>
  <c r="AE115" i="8"/>
  <c r="AD115" i="8"/>
  <c r="AC115" i="8"/>
  <c r="AE128" i="7"/>
  <c r="AD128" i="7"/>
  <c r="AC128" i="7"/>
  <c r="AD45" i="8"/>
  <c r="AC45" i="8"/>
  <c r="AE45" i="8"/>
  <c r="AE100" i="8"/>
  <c r="AD100" i="8"/>
  <c r="AC100" i="8"/>
  <c r="AE109" i="8"/>
  <c r="AD109" i="8"/>
  <c r="AC109" i="8"/>
  <c r="AE128" i="9"/>
  <c r="AD128" i="9"/>
  <c r="AG128" i="9" s="1"/>
  <c r="AC128" i="9"/>
  <c r="AC157" i="9"/>
  <c r="AE157" i="9"/>
  <c r="AD157" i="9"/>
  <c r="AE43" i="9"/>
  <c r="AD43" i="9"/>
  <c r="AC43" i="9"/>
  <c r="AC58" i="9"/>
  <c r="AE58" i="9"/>
  <c r="AD58" i="9"/>
  <c r="AA153" i="7"/>
  <c r="AB153" i="7"/>
  <c r="AC143" i="7"/>
  <c r="AD143" i="7"/>
  <c r="AE143" i="7"/>
  <c r="AJ57" i="7"/>
  <c r="AA57" i="7"/>
  <c r="AG57" i="7" s="1"/>
  <c r="AB57" i="7"/>
  <c r="AH57" i="7" s="1"/>
  <c r="Z57" i="7"/>
  <c r="AB152" i="8"/>
  <c r="AA152" i="8"/>
  <c r="AJ152" i="8"/>
  <c r="Z152" i="8"/>
  <c r="AD128" i="8"/>
  <c r="AC128" i="8"/>
  <c r="AE128" i="8"/>
  <c r="AD44" i="7"/>
  <c r="AC44" i="7"/>
  <c r="AE44" i="7"/>
  <c r="AC83" i="8"/>
  <c r="AE83" i="8"/>
  <c r="AD83" i="8"/>
  <c r="AC75" i="9"/>
  <c r="AD75" i="9"/>
  <c r="AE75" i="9"/>
  <c r="AE71" i="9"/>
  <c r="AD71" i="9"/>
  <c r="AC71" i="9"/>
  <c r="Z137" i="9"/>
  <c r="AB46" i="9"/>
  <c r="Z41" i="9"/>
  <c r="AJ119" i="8"/>
  <c r="AB80" i="7"/>
  <c r="Z80" i="7"/>
  <c r="AJ80" i="7"/>
  <c r="AA80" i="7"/>
  <c r="AB79" i="7"/>
  <c r="AH79" i="7" s="1"/>
  <c r="AA79" i="7"/>
  <c r="AG79" i="7" s="1"/>
  <c r="AJ79" i="7"/>
  <c r="Z79" i="7"/>
  <c r="AA11" i="8"/>
  <c r="AB35" i="7"/>
  <c r="AH35" i="7" s="1"/>
  <c r="AA35" i="7"/>
  <c r="AG35" i="7" s="1"/>
  <c r="Z35" i="7"/>
  <c r="AY35" i="7" s="1"/>
  <c r="AJ35" i="7"/>
  <c r="AB25" i="8"/>
  <c r="AD115" i="7"/>
  <c r="AC115" i="7"/>
  <c r="AE115" i="7"/>
  <c r="AE54" i="7"/>
  <c r="AD54" i="7"/>
  <c r="AC54" i="7"/>
  <c r="AD133" i="8"/>
  <c r="AC133" i="8"/>
  <c r="AE133" i="8"/>
  <c r="AH133" i="8" s="1"/>
  <c r="AD124" i="8"/>
  <c r="AC124" i="8"/>
  <c r="AE124" i="8"/>
  <c r="AD116" i="9"/>
  <c r="AE116" i="9"/>
  <c r="AC116" i="9"/>
  <c r="AA131" i="7"/>
  <c r="AE77" i="9"/>
  <c r="AD77" i="9"/>
  <c r="AC77" i="9"/>
  <c r="AD132" i="8"/>
  <c r="AC132" i="8"/>
  <c r="AE132" i="8"/>
  <c r="AJ57" i="9"/>
  <c r="AB57" i="9"/>
  <c r="AA57" i="9"/>
  <c r="Z57" i="9"/>
  <c r="AC101" i="8"/>
  <c r="AD101" i="8"/>
  <c r="AE101" i="8"/>
  <c r="AJ8" i="8"/>
  <c r="AB8" i="8"/>
  <c r="AA8" i="8"/>
  <c r="Z8" i="8"/>
  <c r="AA150" i="7"/>
  <c r="AC22" i="8"/>
  <c r="AD22" i="8"/>
  <c r="AE22" i="8"/>
  <c r="Z130" i="7"/>
  <c r="AC93" i="8"/>
  <c r="AE93" i="8"/>
  <c r="AD93" i="8"/>
  <c r="AA112" i="7"/>
  <c r="Z30" i="7"/>
  <c r="AE59" i="9"/>
  <c r="AD59" i="9"/>
  <c r="AC59" i="9"/>
  <c r="AE150" i="8"/>
  <c r="AC150" i="8"/>
  <c r="AD150" i="8"/>
  <c r="AE94" i="9"/>
  <c r="AD94" i="9"/>
  <c r="AC94" i="9"/>
  <c r="Z48" i="9"/>
  <c r="AB33" i="9"/>
  <c r="AE123" i="8"/>
  <c r="AD123" i="8"/>
  <c r="AC123" i="8"/>
  <c r="AB101" i="8"/>
  <c r="AJ101" i="8"/>
  <c r="AA101" i="8"/>
  <c r="Z101" i="8"/>
  <c r="Z48" i="8"/>
  <c r="AJ81" i="8"/>
  <c r="AA147" i="8"/>
  <c r="AA61" i="8"/>
  <c r="AE152" i="7"/>
  <c r="AC152" i="7"/>
  <c r="AD152" i="7"/>
  <c r="Z139" i="8"/>
  <c r="AY139" i="8" s="1"/>
  <c r="AB96" i="8"/>
  <c r="AB86" i="7"/>
  <c r="Z86" i="7"/>
  <c r="Z52" i="8"/>
  <c r="AY52" i="8" s="1"/>
  <c r="AE139" i="7"/>
  <c r="AD139" i="7"/>
  <c r="AC139" i="7"/>
  <c r="AB119" i="8"/>
  <c r="AD76" i="7"/>
  <c r="AC76" i="7"/>
  <c r="AE76" i="7"/>
  <c r="AJ58" i="7"/>
  <c r="AB58" i="7"/>
  <c r="AA58" i="7"/>
  <c r="Z58" i="7"/>
  <c r="AJ151" i="9"/>
  <c r="AA147" i="7"/>
  <c r="AA130" i="7"/>
  <c r="Z12" i="8"/>
  <c r="AY12" i="8" s="1"/>
  <c r="AJ106" i="7"/>
  <c r="AE100" i="7"/>
  <c r="AH100" i="7" s="1"/>
  <c r="AD100" i="7"/>
  <c r="AG100" i="7" s="1"/>
  <c r="AC100" i="7"/>
  <c r="AE13" i="7"/>
  <c r="AC13" i="7"/>
  <c r="AD13" i="7"/>
  <c r="AB112" i="7"/>
  <c r="AJ11" i="8"/>
  <c r="AB37" i="7"/>
  <c r="AA29" i="8"/>
  <c r="AD86" i="8"/>
  <c r="AC86" i="8"/>
  <c r="AE86" i="8"/>
  <c r="AB25" i="9"/>
  <c r="AC93" i="7"/>
  <c r="AE93" i="7"/>
  <c r="AD93" i="7"/>
  <c r="AC88" i="8"/>
  <c r="AE88" i="8"/>
  <c r="AD88" i="8"/>
  <c r="AA106" i="7"/>
  <c r="AE31" i="7"/>
  <c r="AD31" i="7"/>
  <c r="AC31" i="7"/>
  <c r="Z25" i="8"/>
  <c r="Z75" i="7"/>
  <c r="AY75" i="7" s="1"/>
  <c r="AA90" i="7"/>
  <c r="AE147" i="7"/>
  <c r="AD147" i="7"/>
  <c r="AC147" i="7"/>
  <c r="AC60" i="7"/>
  <c r="AE60" i="7"/>
  <c r="AD60" i="7"/>
  <c r="AE46" i="7"/>
  <c r="AD46" i="7"/>
  <c r="AC46" i="7"/>
  <c r="AF46" i="7" s="1"/>
  <c r="AE50" i="9"/>
  <c r="AD50" i="9"/>
  <c r="AG50" i="9" s="1"/>
  <c r="AC50" i="9"/>
  <c r="AE96" i="7"/>
  <c r="AD96" i="7"/>
  <c r="AC96" i="7"/>
  <c r="AD117" i="8"/>
  <c r="AE117" i="8"/>
  <c r="AH117" i="8" s="1"/>
  <c r="AC117" i="8"/>
  <c r="AE71" i="8"/>
  <c r="AD71" i="8"/>
  <c r="AC71" i="8"/>
  <c r="AD47" i="8"/>
  <c r="AC47" i="8"/>
  <c r="AE47" i="8"/>
  <c r="AE118" i="8"/>
  <c r="AD118" i="8"/>
  <c r="AC118" i="8"/>
  <c r="AD135" i="8"/>
  <c r="AC135" i="8"/>
  <c r="AE135" i="8"/>
  <c r="AH135" i="8" s="1"/>
  <c r="AD20" i="9"/>
  <c r="AE20" i="9"/>
  <c r="AC20" i="9"/>
  <c r="AE12" i="9"/>
  <c r="AD12" i="9"/>
  <c r="AC12" i="9"/>
  <c r="AD119" i="9"/>
  <c r="AE119" i="9"/>
  <c r="AC119" i="9"/>
  <c r="AH98" i="8"/>
  <c r="AJ131" i="7"/>
  <c r="AA30" i="7"/>
  <c r="AB41" i="7"/>
  <c r="AH41" i="7" s="1"/>
  <c r="AE104" i="9"/>
  <c r="AC104" i="9"/>
  <c r="AD104" i="9"/>
  <c r="AC140" i="9"/>
  <c r="AE140" i="9"/>
  <c r="AD140" i="9"/>
  <c r="AC110" i="9"/>
  <c r="AE110" i="9"/>
  <c r="AD110" i="9"/>
  <c r="AE86" i="9"/>
  <c r="AC86" i="9"/>
  <c r="AD86" i="9"/>
  <c r="Z58" i="9"/>
  <c r="AJ58" i="9"/>
  <c r="AB58" i="9"/>
  <c r="AA58" i="9"/>
  <c r="AE73" i="9"/>
  <c r="AD73" i="9"/>
  <c r="AC73" i="9"/>
  <c r="AB156" i="9"/>
  <c r="AD143" i="9"/>
  <c r="AC143" i="9"/>
  <c r="AE143" i="9"/>
  <c r="AC92" i="9"/>
  <c r="AD92" i="9"/>
  <c r="AE92" i="9"/>
  <c r="AD63" i="9"/>
  <c r="AC63" i="9"/>
  <c r="AE63" i="9"/>
  <c r="AJ41" i="9"/>
  <c r="AA149" i="8"/>
  <c r="AB149" i="8"/>
  <c r="AE96" i="8"/>
  <c r="AC96" i="8"/>
  <c r="AD96" i="8"/>
  <c r="Z39" i="9"/>
  <c r="AJ107" i="8"/>
  <c r="AB147" i="8"/>
  <c r="AA116" i="7"/>
  <c r="AB116" i="7"/>
  <c r="AJ89" i="8"/>
  <c r="Z89" i="8"/>
  <c r="AB61" i="8"/>
  <c r="AA139" i="8"/>
  <c r="AJ96" i="8"/>
  <c r="AB41" i="8"/>
  <c r="AH41" i="8" s="1"/>
  <c r="AA41" i="8"/>
  <c r="AG41" i="8" s="1"/>
  <c r="Z41" i="8"/>
  <c r="AJ41" i="8"/>
  <c r="AJ71" i="8"/>
  <c r="AB52" i="8"/>
  <c r="AE37" i="8"/>
  <c r="AD37" i="8"/>
  <c r="AC37" i="8"/>
  <c r="AE122" i="9"/>
  <c r="AD122" i="9"/>
  <c r="AC122" i="9"/>
  <c r="AJ39" i="9"/>
  <c r="AJ47" i="9"/>
  <c r="AE140" i="7"/>
  <c r="AD140" i="7"/>
  <c r="AC140" i="7"/>
  <c r="AF140" i="7" s="1"/>
  <c r="AE137" i="8"/>
  <c r="AD137" i="8"/>
  <c r="AC137" i="8"/>
  <c r="AJ116" i="7"/>
  <c r="AB22" i="7"/>
  <c r="AA22" i="7"/>
  <c r="Z22" i="7"/>
  <c r="Z122" i="7"/>
  <c r="AE25" i="7"/>
  <c r="AD25" i="7"/>
  <c r="AC25" i="7"/>
  <c r="AA12" i="8"/>
  <c r="AA91" i="7"/>
  <c r="AG91" i="7" s="1"/>
  <c r="Z91" i="7"/>
  <c r="AF91" i="7" s="1"/>
  <c r="AJ91" i="7"/>
  <c r="AB91" i="7"/>
  <c r="AH91" i="7" s="1"/>
  <c r="AE92" i="7"/>
  <c r="AD92" i="7"/>
  <c r="AC92" i="7"/>
  <c r="AC11" i="7"/>
  <c r="AE11" i="7"/>
  <c r="AD11" i="7"/>
  <c r="AC29" i="7"/>
  <c r="AD29" i="7"/>
  <c r="AE29" i="7"/>
  <c r="Z112" i="7"/>
  <c r="Z11" i="8"/>
  <c r="AA37" i="7"/>
  <c r="AY37" i="7" s="1"/>
  <c r="AB29" i="8"/>
  <c r="AJ25" i="9"/>
  <c r="Z87" i="7"/>
  <c r="AJ64" i="7"/>
  <c r="AB106" i="7"/>
  <c r="AC75" i="7"/>
  <c r="AE75" i="7"/>
  <c r="AD75" i="7"/>
  <c r="AA25" i="8"/>
  <c r="AJ75" i="7"/>
  <c r="Z90" i="7"/>
  <c r="Z144" i="7"/>
  <c r="AC57" i="9"/>
  <c r="AD57" i="9"/>
  <c r="AE57" i="9"/>
  <c r="AC61" i="7"/>
  <c r="AE61" i="7"/>
  <c r="AD61" i="7"/>
  <c r="AD68" i="7"/>
  <c r="AG68" i="7" s="1"/>
  <c r="AC68" i="7"/>
  <c r="AE68" i="7"/>
  <c r="AE25" i="8"/>
  <c r="AD25" i="8"/>
  <c r="AC25" i="8"/>
  <c r="AE111" i="7"/>
  <c r="AD111" i="7"/>
  <c r="AC111" i="7"/>
  <c r="AF111" i="7" s="1"/>
  <c r="AE123" i="7"/>
  <c r="AD123" i="7"/>
  <c r="AC123" i="7"/>
  <c r="AE23" i="9"/>
  <c r="AD23" i="9"/>
  <c r="AC23" i="9"/>
  <c r="AD148" i="8"/>
  <c r="AC148" i="8"/>
  <c r="AE148" i="8"/>
  <c r="AC120" i="8"/>
  <c r="AE120" i="8"/>
  <c r="AD120" i="8"/>
  <c r="AD53" i="9"/>
  <c r="AC53" i="9"/>
  <c r="AE53" i="9"/>
  <c r="AD29" i="9"/>
  <c r="AG29" i="9" s="1"/>
  <c r="AC29" i="9"/>
  <c r="AE29" i="9"/>
  <c r="AE26" i="9"/>
  <c r="AD26" i="9"/>
  <c r="AC26" i="9"/>
  <c r="AF26" i="9" s="1"/>
  <c r="AC152" i="9"/>
  <c r="AE152" i="9"/>
  <c r="AD152" i="9"/>
  <c r="Z131" i="7"/>
  <c r="AB30" i="7"/>
  <c r="Z41" i="7"/>
  <c r="AF41" i="7" s="1"/>
  <c r="AB12" i="7"/>
  <c r="AB90" i="9"/>
  <c r="AA90" i="9"/>
  <c r="AB40" i="8"/>
  <c r="AA40" i="8"/>
  <c r="Z40" i="8"/>
  <c r="AJ40" i="8"/>
  <c r="AE27" i="9"/>
  <c r="AC27" i="9"/>
  <c r="AD27" i="9"/>
  <c r="AE108" i="7"/>
  <c r="AD108" i="7"/>
  <c r="AC108" i="7"/>
  <c r="AD131" i="8"/>
  <c r="AC131" i="8"/>
  <c r="AF131" i="8" s="1"/>
  <c r="AE131" i="8"/>
  <c r="AC134" i="7"/>
  <c r="AE134" i="7"/>
  <c r="AD134" i="7"/>
  <c r="AA31" i="7"/>
  <c r="AD145" i="9"/>
  <c r="AC145" i="9"/>
  <c r="AE145" i="9"/>
  <c r="Z113" i="8"/>
  <c r="AJ113" i="8"/>
  <c r="AB113" i="8"/>
  <c r="AA113" i="8"/>
  <c r="AB68" i="8"/>
  <c r="AJ116" i="9"/>
  <c r="AA114" i="8"/>
  <c r="AJ114" i="8"/>
  <c r="AB114" i="8"/>
  <c r="Z114" i="8"/>
  <c r="AC148" i="7"/>
  <c r="AE148" i="7"/>
  <c r="AD148" i="7"/>
  <c r="AA138" i="7"/>
  <c r="Z11" i="7"/>
  <c r="AE18" i="8"/>
  <c r="AC18" i="8"/>
  <c r="AF18" i="8" s="1"/>
  <c r="AD18" i="8"/>
  <c r="AC47" i="9"/>
  <c r="AE47" i="9"/>
  <c r="AD47" i="9"/>
  <c r="AC42" i="9"/>
  <c r="AE42" i="9"/>
  <c r="AD42" i="9"/>
  <c r="AA35" i="8"/>
  <c r="AB35" i="8"/>
  <c r="Z35" i="8"/>
  <c r="AY35" i="8" s="1"/>
  <c r="AD40" i="8"/>
  <c r="AC40" i="8"/>
  <c r="AE40" i="8"/>
  <c r="Z155" i="9"/>
  <c r="Z121" i="8"/>
  <c r="AA48" i="8"/>
  <c r="AE33" i="7"/>
  <c r="AD33" i="7"/>
  <c r="AC33" i="7"/>
  <c r="AC101" i="9"/>
  <c r="AD101" i="9"/>
  <c r="AE101" i="9"/>
  <c r="AA41" i="9"/>
  <c r="AA121" i="8"/>
  <c r="Z104" i="8"/>
  <c r="AJ104" i="8"/>
  <c r="AB104" i="8"/>
  <c r="AA104" i="8"/>
  <c r="AJ127" i="7"/>
  <c r="AB127" i="7"/>
  <c r="AA127" i="7"/>
  <c r="Z127" i="7"/>
  <c r="AA119" i="8"/>
  <c r="AJ96" i="7"/>
  <c r="AA25" i="9"/>
  <c r="AB96" i="7"/>
  <c r="AE58" i="7"/>
  <c r="AD58" i="7"/>
  <c r="AC58" i="7"/>
  <c r="AC141" i="9"/>
  <c r="AE141" i="9"/>
  <c r="AD141" i="9"/>
  <c r="AA103" i="9"/>
  <c r="AB137" i="9"/>
  <c r="AA156" i="9"/>
  <c r="AC129" i="9"/>
  <c r="AE129" i="9"/>
  <c r="AD129" i="9"/>
  <c r="AE49" i="9"/>
  <c r="AD49" i="9"/>
  <c r="AC49" i="9"/>
  <c r="AB143" i="8"/>
  <c r="AJ143" i="8"/>
  <c r="AA143" i="8"/>
  <c r="Z143" i="8"/>
  <c r="AJ35" i="8"/>
  <c r="AB139" i="8"/>
  <c r="AE104" i="8"/>
  <c r="AD104" i="8"/>
  <c r="AC104" i="8"/>
  <c r="AD133" i="9"/>
  <c r="AE133" i="9"/>
  <c r="AC133" i="9"/>
  <c r="AE132" i="7"/>
  <c r="AD132" i="7"/>
  <c r="AC132" i="7"/>
  <c r="AA41" i="7"/>
  <c r="AG41" i="7" s="1"/>
  <c r="Z29" i="9"/>
  <c r="AB89" i="8"/>
  <c r="AC115" i="9"/>
  <c r="AD115" i="9"/>
  <c r="AE115" i="9"/>
  <c r="Z45" i="8"/>
  <c r="AY45" i="8" s="1"/>
  <c r="AJ55" i="9"/>
  <c r="AJ137" i="9"/>
  <c r="AJ36" i="7"/>
  <c r="Z36" i="7"/>
  <c r="AB36" i="7"/>
  <c r="AA36" i="7"/>
  <c r="AA151" i="7"/>
  <c r="AD104" i="7"/>
  <c r="AC104" i="7"/>
  <c r="AE104" i="7"/>
  <c r="Z124" i="7"/>
  <c r="AJ124" i="7"/>
  <c r="AA124" i="7"/>
  <c r="AB124" i="7"/>
  <c r="AC87" i="9"/>
  <c r="AD87" i="9"/>
  <c r="AE87" i="9"/>
  <c r="AB122" i="7"/>
  <c r="AB14" i="7"/>
  <c r="AH14" i="7" s="1"/>
  <c r="AA14" i="7"/>
  <c r="AG14" i="7" s="1"/>
  <c r="Z14" i="7"/>
  <c r="AJ14" i="7"/>
  <c r="AB155" i="9"/>
  <c r="AB75" i="7"/>
  <c r="AA24" i="7"/>
  <c r="AA46" i="8"/>
  <c r="Z29" i="8"/>
  <c r="AB87" i="7"/>
  <c r="AA64" i="7"/>
  <c r="AE45" i="7"/>
  <c r="AD45" i="7"/>
  <c r="AC45" i="7"/>
  <c r="AB142" i="8"/>
  <c r="AA104" i="7"/>
  <c r="AB144" i="7"/>
  <c r="AD149" i="7"/>
  <c r="AC149" i="7"/>
  <c r="AE149" i="7"/>
  <c r="AD64" i="7"/>
  <c r="AC64" i="7"/>
  <c r="AE64" i="7"/>
  <c r="AD98" i="7"/>
  <c r="AE98" i="7"/>
  <c r="AC98" i="7"/>
  <c r="AE78" i="8"/>
  <c r="AD78" i="8"/>
  <c r="AC78" i="8"/>
  <c r="AD82" i="8"/>
  <c r="AC82" i="8"/>
  <c r="AE82" i="8"/>
  <c r="AE151" i="7"/>
  <c r="AD151" i="7"/>
  <c r="AC151" i="7"/>
  <c r="AE153" i="8"/>
  <c r="AD153" i="8"/>
  <c r="AC153" i="8"/>
  <c r="AD33" i="9"/>
  <c r="AC33" i="9"/>
  <c r="AE33" i="9"/>
  <c r="AD103" i="8"/>
  <c r="AE103" i="8"/>
  <c r="AC103" i="8"/>
  <c r="AD136" i="9"/>
  <c r="AC136" i="9"/>
  <c r="AE136" i="9"/>
  <c r="AC97" i="9"/>
  <c r="AD97" i="9"/>
  <c r="AE97" i="9"/>
  <c r="AC76" i="9"/>
  <c r="AE76" i="9"/>
  <c r="AD76" i="9"/>
  <c r="AD125" i="9"/>
  <c r="AC125" i="9"/>
  <c r="AE125" i="9"/>
  <c r="AJ16" i="7"/>
  <c r="AE149" i="9"/>
  <c r="AC149" i="9"/>
  <c r="AD149" i="9"/>
  <c r="AB13" i="8"/>
  <c r="AA13" i="8"/>
  <c r="AJ13" i="8"/>
  <c r="Z13" i="8"/>
  <c r="AA55" i="8"/>
  <c r="AE141" i="7"/>
  <c r="AD141" i="7"/>
  <c r="AC141" i="7"/>
  <c r="AC71" i="7"/>
  <c r="AE71" i="7"/>
  <c r="AD71" i="7"/>
  <c r="AB42" i="7"/>
  <c r="AH42" i="7" s="1"/>
  <c r="AA42" i="7"/>
  <c r="AG42" i="7" s="1"/>
  <c r="Z42" i="7"/>
  <c r="AF42" i="7" s="1"/>
  <c r="AJ42" i="7"/>
  <c r="AE131" i="7"/>
  <c r="AD131" i="7"/>
  <c r="AC131" i="7"/>
  <c r="AE50" i="8"/>
  <c r="AD50" i="8"/>
  <c r="AC50" i="8"/>
  <c r="AE139" i="9"/>
  <c r="AD139" i="9"/>
  <c r="AC139" i="9"/>
  <c r="AJ143" i="9"/>
  <c r="AE140" i="8"/>
  <c r="AD140" i="8"/>
  <c r="AC140" i="8"/>
  <c r="AD106" i="8"/>
  <c r="AE106" i="8"/>
  <c r="AC106" i="8"/>
  <c r="AE105" i="7"/>
  <c r="AD105" i="7"/>
  <c r="AC105" i="7"/>
  <c r="AE102" i="7"/>
  <c r="AD102" i="7"/>
  <c r="AC102" i="7"/>
  <c r="AE146" i="7"/>
  <c r="AD146" i="7"/>
  <c r="AC146" i="7"/>
  <c r="AE136" i="7"/>
  <c r="AD136" i="7"/>
  <c r="AC136" i="7"/>
  <c r="AE156" i="8"/>
  <c r="AD156" i="8"/>
  <c r="AC156" i="8"/>
  <c r="AJ103" i="8"/>
  <c r="AA152" i="9"/>
  <c r="Z152" i="9"/>
  <c r="AJ152" i="9"/>
  <c r="AB152" i="9"/>
  <c r="AA45" i="9"/>
  <c r="AJ45" i="9"/>
  <c r="AB45" i="9"/>
  <c r="Z45" i="9"/>
  <c r="AY45" i="9" s="1"/>
  <c r="Z144" i="8"/>
  <c r="AJ144" i="8"/>
  <c r="AA144" i="8"/>
  <c r="AB144" i="8"/>
  <c r="AA135" i="8"/>
  <c r="Z20" i="9"/>
  <c r="Z22" i="9"/>
  <c r="AE124" i="7"/>
  <c r="AD124" i="7"/>
  <c r="AC124" i="7"/>
  <c r="AD130" i="8"/>
  <c r="AE130" i="8"/>
  <c r="AC130" i="8"/>
  <c r="AC130" i="7"/>
  <c r="AE130" i="7"/>
  <c r="AD130" i="7"/>
  <c r="AD121" i="7"/>
  <c r="AC121" i="7"/>
  <c r="AE121" i="7"/>
  <c r="AD44" i="9"/>
  <c r="AC44" i="9"/>
  <c r="AE44" i="9"/>
  <c r="AE73" i="8"/>
  <c r="AD73" i="8"/>
  <c r="AC73" i="8"/>
  <c r="AC109" i="9"/>
  <c r="AE109" i="9"/>
  <c r="AD109" i="9"/>
  <c r="AB27" i="7"/>
  <c r="AD68" i="9"/>
  <c r="AC68" i="9"/>
  <c r="AE68" i="9"/>
  <c r="AC88" i="9"/>
  <c r="AE88" i="9"/>
  <c r="AD88" i="9"/>
  <c r="AE138" i="7"/>
  <c r="AD138" i="7"/>
  <c r="AC138" i="7"/>
  <c r="AA145" i="7"/>
  <c r="AB145" i="7"/>
  <c r="AJ138" i="7"/>
  <c r="AC60" i="8"/>
  <c r="AE60" i="8"/>
  <c r="AD60" i="8"/>
  <c r="AE157" i="7"/>
  <c r="AD157" i="7"/>
  <c r="AC157" i="7"/>
  <c r="AD67" i="9"/>
  <c r="AC67" i="9"/>
  <c r="AE67" i="9"/>
  <c r="AE131" i="9"/>
  <c r="AD131" i="9"/>
  <c r="AC131" i="9"/>
  <c r="AA132" i="8"/>
  <c r="Z132" i="8"/>
  <c r="AB132" i="8"/>
  <c r="AJ132" i="8"/>
  <c r="AE14" i="9"/>
  <c r="AD14" i="9"/>
  <c r="AC14" i="9"/>
  <c r="AB20" i="9"/>
  <c r="AB59" i="8"/>
  <c r="AA59" i="8"/>
  <c r="AJ59" i="8"/>
  <c r="Z59" i="8"/>
  <c r="AC35" i="9"/>
  <c r="AE35" i="9"/>
  <c r="AD35" i="9"/>
  <c r="AA76" i="8"/>
  <c r="AB76" i="8"/>
  <c r="Z35" i="9"/>
  <c r="F44" i="4"/>
  <c r="AD55" i="7"/>
  <c r="AC55" i="7"/>
  <c r="AE55" i="7"/>
  <c r="AE111" i="8"/>
  <c r="AD111" i="8"/>
  <c r="AC111" i="8"/>
  <c r="AD28" i="8"/>
  <c r="AC28" i="8"/>
  <c r="AE28" i="8"/>
  <c r="AE21" i="9"/>
  <c r="AD21" i="9"/>
  <c r="AC21" i="9"/>
  <c r="AD144" i="9"/>
  <c r="AC144" i="9"/>
  <c r="AE144" i="9"/>
  <c r="AE120" i="9"/>
  <c r="AD120" i="9"/>
  <c r="AC120" i="9"/>
  <c r="AE107" i="9"/>
  <c r="AD107" i="9"/>
  <c r="AC107" i="9"/>
  <c r="AJ147" i="8"/>
  <c r="AC69" i="9"/>
  <c r="AF69" i="9" s="1"/>
  <c r="AD69" i="9"/>
  <c r="AE69" i="9"/>
  <c r="AB79" i="8"/>
  <c r="AA79" i="8"/>
  <c r="Z79" i="8"/>
  <c r="AJ79" i="8"/>
  <c r="AB103" i="7"/>
  <c r="AH103" i="7" s="1"/>
  <c r="Z103" i="7"/>
  <c r="AA103" i="7"/>
  <c r="AG103" i="7" s="1"/>
  <c r="AJ103" i="7"/>
  <c r="Z96" i="7"/>
  <c r="AY96" i="7" s="1"/>
  <c r="AD52" i="7"/>
  <c r="AE52" i="7"/>
  <c r="AC52" i="7"/>
  <c r="AE35" i="8"/>
  <c r="AD35" i="8"/>
  <c r="AC35" i="8"/>
  <c r="AE79" i="9"/>
  <c r="AD79" i="9"/>
  <c r="AC79" i="9"/>
  <c r="AJ33" i="9"/>
  <c r="AJ123" i="8"/>
  <c r="AB123" i="8"/>
  <c r="AA123" i="8"/>
  <c r="Z123" i="8"/>
  <c r="AC107" i="8"/>
  <c r="AD107" i="8"/>
  <c r="AE107" i="8"/>
  <c r="AB154" i="7"/>
  <c r="AJ71" i="9"/>
  <c r="Z23" i="8"/>
  <c r="AB23" i="8"/>
  <c r="AJ23" i="8"/>
  <c r="AA23" i="8"/>
  <c r="Z147" i="7"/>
  <c r="AD127" i="7"/>
  <c r="AC127" i="7"/>
  <c r="AE127" i="7"/>
  <c r="AC33" i="8"/>
  <c r="AE33" i="8"/>
  <c r="AD33" i="8"/>
  <c r="AE49" i="7"/>
  <c r="AD49" i="7"/>
  <c r="AC49" i="7"/>
  <c r="AJ90" i="7"/>
  <c r="AE86" i="7"/>
  <c r="AD86" i="7"/>
  <c r="AC86" i="7"/>
  <c r="AE32" i="7"/>
  <c r="AD32" i="7"/>
  <c r="AC32" i="7"/>
  <c r="AE82" i="7"/>
  <c r="AD82" i="7"/>
  <c r="AC82" i="7"/>
  <c r="AD138" i="8"/>
  <c r="AC138" i="8"/>
  <c r="AE138" i="8"/>
  <c r="AE100" i="9"/>
  <c r="AD100" i="9"/>
  <c r="AC100" i="9"/>
  <c r="AE96" i="9"/>
  <c r="AD96" i="9"/>
  <c r="AC96" i="9"/>
  <c r="AB124" i="9"/>
  <c r="AA124" i="9"/>
  <c r="AD74" i="9"/>
  <c r="AC74" i="9"/>
  <c r="AE74" i="9"/>
  <c r="Z156" i="9"/>
  <c r="AD65" i="9"/>
  <c r="AC65" i="9"/>
  <c r="AE65" i="9"/>
  <c r="AC10" i="9"/>
  <c r="AE10" i="9"/>
  <c r="AD10" i="9"/>
  <c r="AC62" i="9"/>
  <c r="AF62" i="9" s="1"/>
  <c r="AE62" i="9"/>
  <c r="AD62" i="9"/>
  <c r="AD114" i="8"/>
  <c r="AE114" i="8"/>
  <c r="AC114" i="8"/>
  <c r="Z107" i="8"/>
  <c r="AJ57" i="8"/>
  <c r="Z114" i="7"/>
  <c r="AA114" i="7"/>
  <c r="AB114" i="7"/>
  <c r="AE20" i="8"/>
  <c r="AD20" i="8"/>
  <c r="AC20" i="8"/>
  <c r="AA38" i="9"/>
  <c r="Z38" i="9"/>
  <c r="AA122" i="7"/>
  <c r="AA142" i="8"/>
  <c r="AC12" i="8"/>
  <c r="AE12" i="8"/>
  <c r="AD12" i="8"/>
  <c r="AD65" i="7"/>
  <c r="AC65" i="7"/>
  <c r="AE65" i="7"/>
  <c r="AE114" i="7"/>
  <c r="AH114" i="7" s="1"/>
  <c r="AD114" i="7"/>
  <c r="AC114" i="7"/>
  <c r="AE88" i="7"/>
  <c r="AC88" i="7"/>
  <c r="AD88" i="7"/>
  <c r="AD66" i="8"/>
  <c r="AE66" i="8"/>
  <c r="AC66" i="8"/>
  <c r="AD75" i="8"/>
  <c r="AC75" i="8"/>
  <c r="AE75" i="8"/>
  <c r="AE46" i="9"/>
  <c r="AD46" i="9"/>
  <c r="AC46" i="9"/>
  <c r="AB153" i="9"/>
  <c r="AA153" i="9"/>
  <c r="Z153" i="9"/>
  <c r="AJ153" i="9"/>
  <c r="AJ126" i="9"/>
  <c r="Z37" i="9"/>
  <c r="AB97" i="8"/>
  <c r="AA97" i="8"/>
  <c r="Z97" i="8"/>
  <c r="AD151" i="8"/>
  <c r="AC151" i="8"/>
  <c r="AE151" i="8"/>
  <c r="AA80" i="8"/>
  <c r="AB80" i="8"/>
  <c r="Z57" i="8"/>
  <c r="AE77" i="8"/>
  <c r="AD77" i="8"/>
  <c r="AC77" i="8"/>
  <c r="AE36" i="9"/>
  <c r="AD36" i="9"/>
  <c r="AC36" i="9"/>
  <c r="AB71" i="8"/>
  <c r="AB127" i="9"/>
  <c r="AA127" i="9"/>
  <c r="AJ127" i="9"/>
  <c r="Z127" i="9"/>
  <c r="AB88" i="9"/>
  <c r="AB107" i="8"/>
  <c r="AE13" i="9"/>
  <c r="AC13" i="9"/>
  <c r="AD13" i="9"/>
  <c r="H36" i="4"/>
  <c r="H41" i="4" s="1"/>
  <c r="E41" i="4"/>
  <c r="AE63" i="8"/>
  <c r="AD63" i="8"/>
  <c r="AC63" i="8"/>
  <c r="AE85" i="7"/>
  <c r="AD85" i="7"/>
  <c r="AC85" i="7"/>
  <c r="AB151" i="7"/>
  <c r="AA28" i="8"/>
  <c r="Z150" i="7"/>
  <c r="AB25" i="7"/>
  <c r="AA25" i="7"/>
  <c r="AB54" i="9"/>
  <c r="AA11" i="7"/>
  <c r="AE19" i="7"/>
  <c r="AC19" i="7"/>
  <c r="AD19" i="7"/>
  <c r="AE72" i="7"/>
  <c r="AD72" i="7"/>
  <c r="AC72" i="7"/>
  <c r="AB24" i="7"/>
  <c r="AH24" i="7" s="1"/>
  <c r="AB128" i="8"/>
  <c r="AJ46" i="8"/>
  <c r="Z56" i="8"/>
  <c r="AJ87" i="7"/>
  <c r="AB64" i="7"/>
  <c r="Z142" i="8"/>
  <c r="AY99" i="7"/>
  <c r="AJ17" i="8"/>
  <c r="Z129" i="7"/>
  <c r="AE90" i="7"/>
  <c r="AD90" i="7"/>
  <c r="AC90" i="7"/>
  <c r="AC15" i="7"/>
  <c r="AE15" i="7"/>
  <c r="AD15" i="7"/>
  <c r="AD66" i="7"/>
  <c r="AC66" i="7"/>
  <c r="AE66" i="7"/>
  <c r="AC34" i="8"/>
  <c r="AE34" i="8"/>
  <c r="AH34" i="8" s="1"/>
  <c r="AD34" i="8"/>
  <c r="AD80" i="8"/>
  <c r="AE80" i="8"/>
  <c r="AC80" i="8"/>
  <c r="AE81" i="7"/>
  <c r="AD81" i="7"/>
  <c r="AC81" i="7"/>
  <c r="AD42" i="8"/>
  <c r="AC42" i="8"/>
  <c r="AE42" i="8"/>
  <c r="AE31" i="9"/>
  <c r="AD31" i="9"/>
  <c r="AC31" i="9"/>
  <c r="AD52" i="8"/>
  <c r="AE52" i="8"/>
  <c r="AC52" i="8"/>
  <c r="AD11" i="9"/>
  <c r="AC11" i="9"/>
  <c r="AE11" i="9"/>
  <c r="AE9" i="9"/>
  <c r="AC9" i="9"/>
  <c r="AD9" i="9"/>
  <c r="AE121" i="9"/>
  <c r="AD121" i="9"/>
  <c r="AC121" i="9"/>
  <c r="AC82" i="9"/>
  <c r="AD82" i="9"/>
  <c r="AE82" i="9"/>
  <c r="AD148" i="9"/>
  <c r="AE148" i="9"/>
  <c r="AC148" i="9"/>
  <c r="AA16" i="7"/>
  <c r="AG16" i="7" s="1"/>
  <c r="H36" i="3"/>
  <c r="H41" i="3" s="1"/>
  <c r="AA151" i="9"/>
  <c r="AE28" i="9"/>
  <c r="AD28" i="9"/>
  <c r="AC28" i="9"/>
  <c r="AB143" i="9"/>
  <c r="AA126" i="8"/>
  <c r="Z126" i="8"/>
  <c r="AB126" i="8"/>
  <c r="AJ126" i="8"/>
  <c r="AE67" i="8"/>
  <c r="AD67" i="8"/>
  <c r="AC67" i="8"/>
  <c r="AC147" i="8"/>
  <c r="AD147" i="8"/>
  <c r="AE147" i="8"/>
  <c r="AB97" i="7"/>
  <c r="AE50" i="7"/>
  <c r="AD50" i="7"/>
  <c r="AC50" i="7"/>
  <c r="AE74" i="7"/>
  <c r="AC74" i="7"/>
  <c r="AD74" i="7"/>
  <c r="AE122" i="7"/>
  <c r="AD122" i="7"/>
  <c r="AC122" i="7"/>
  <c r="AE152" i="8"/>
  <c r="AD152" i="8"/>
  <c r="AC152" i="8"/>
  <c r="AE106" i="9"/>
  <c r="AD106" i="9"/>
  <c r="AC106" i="9"/>
  <c r="AE64" i="8"/>
  <c r="AD64" i="8"/>
  <c r="AC64" i="8"/>
  <c r="AD145" i="8"/>
  <c r="AC145" i="8"/>
  <c r="AE145" i="8"/>
  <c r="AC54" i="8"/>
  <c r="AE54" i="8"/>
  <c r="AD54" i="8"/>
  <c r="AB133" i="7"/>
  <c r="AH133" i="7" s="1"/>
  <c r="AA133" i="7"/>
  <c r="AG133" i="7" s="1"/>
  <c r="Z133" i="7"/>
  <c r="AF133" i="7" s="1"/>
  <c r="AJ133" i="7"/>
  <c r="AE153" i="7"/>
  <c r="AD153" i="7"/>
  <c r="AC153" i="7"/>
  <c r="AC79" i="8"/>
  <c r="AD79" i="8"/>
  <c r="AE79" i="8"/>
  <c r="AB21" i="7"/>
  <c r="AH21" i="7" s="1"/>
  <c r="AA21" i="7"/>
  <c r="AG21" i="7" s="1"/>
  <c r="Z21" i="7"/>
  <c r="AF21" i="7" s="1"/>
  <c r="AJ21" i="7"/>
  <c r="Z43" i="8"/>
  <c r="AB28" i="7"/>
  <c r="AH28" i="7" s="1"/>
  <c r="AA28" i="7"/>
  <c r="AG28" i="7" s="1"/>
  <c r="Z28" i="7"/>
  <c r="AJ28" i="7"/>
  <c r="AJ97" i="7"/>
  <c r="AE142" i="8"/>
  <c r="AD142" i="8"/>
  <c r="AC142" i="8"/>
  <c r="AD55" i="8"/>
  <c r="AC55" i="8"/>
  <c r="AE55" i="8"/>
  <c r="AE85" i="9"/>
  <c r="AD85" i="9"/>
  <c r="AC85" i="9"/>
  <c r="AJ50" i="7"/>
  <c r="AE113" i="9"/>
  <c r="AD113" i="9"/>
  <c r="AC113" i="9"/>
  <c r="Z95" i="8"/>
  <c r="AC144" i="8"/>
  <c r="AD144" i="8"/>
  <c r="AE144" i="8"/>
  <c r="AE31" i="8"/>
  <c r="AD31" i="8"/>
  <c r="AC31" i="8"/>
  <c r="AB35" i="9"/>
  <c r="Z119" i="7"/>
  <c r="AE95" i="8"/>
  <c r="AD95" i="8"/>
  <c r="AC95" i="8"/>
  <c r="Z50" i="7"/>
  <c r="AB123" i="9"/>
  <c r="AJ123" i="9"/>
  <c r="AA123" i="9"/>
  <c r="Z123" i="9"/>
  <c r="AJ31" i="9"/>
  <c r="AA31" i="9"/>
  <c r="AB31" i="9"/>
  <c r="Z31" i="9"/>
  <c r="AY31" i="9" s="1"/>
  <c r="AB134" i="8"/>
  <c r="Z90" i="9"/>
  <c r="AA20" i="9"/>
  <c r="AA22" i="9"/>
  <c r="AE62" i="8"/>
  <c r="AD62" i="8"/>
  <c r="AC62" i="8"/>
  <c r="AD157" i="8"/>
  <c r="AG157" i="8" s="1"/>
  <c r="AE157" i="8"/>
  <c r="AC157" i="8"/>
  <c r="AJ144" i="7"/>
  <c r="AJ38" i="7"/>
  <c r="AA38" i="7"/>
  <c r="AG38" i="7" s="1"/>
  <c r="AB38" i="7"/>
  <c r="AH38" i="7" s="1"/>
  <c r="Z38" i="7"/>
  <c r="AE78" i="7"/>
  <c r="AD78" i="7"/>
  <c r="AC78" i="7"/>
  <c r="AA45" i="7"/>
  <c r="AA119" i="7"/>
  <c r="AD30" i="7"/>
  <c r="AC30" i="7"/>
  <c r="AE30" i="7"/>
  <c r="AE57" i="8"/>
  <c r="AD57" i="8"/>
  <c r="AC57" i="8"/>
  <c r="AA50" i="7"/>
  <c r="AC135" i="9"/>
  <c r="AE135" i="9"/>
  <c r="AD135" i="9"/>
  <c r="AE89" i="9"/>
  <c r="AD89" i="9"/>
  <c r="AC89" i="9"/>
  <c r="Z125" i="9"/>
  <c r="AJ46" i="9"/>
  <c r="AC129" i="8"/>
  <c r="AE129" i="8"/>
  <c r="AD129" i="8"/>
  <c r="AC116" i="8"/>
  <c r="AD116" i="8"/>
  <c r="AE116" i="8"/>
  <c r="AB95" i="8"/>
  <c r="AJ157" i="7"/>
  <c r="Z157" i="7"/>
  <c r="AB157" i="7"/>
  <c r="AA157" i="7"/>
  <c r="AC102" i="8"/>
  <c r="AE102" i="8"/>
  <c r="AD102" i="8"/>
  <c r="E41" i="5"/>
  <c r="H36" i="5"/>
  <c r="H41" i="5" s="1"/>
  <c r="AE125" i="7"/>
  <c r="AD125" i="7"/>
  <c r="AC125" i="7"/>
  <c r="AA27" i="8"/>
  <c r="AB45" i="7"/>
  <c r="AC43" i="7"/>
  <c r="AE43" i="7"/>
  <c r="AD43" i="7"/>
  <c r="AC39" i="7"/>
  <c r="AE39" i="7"/>
  <c r="AD39" i="7"/>
  <c r="Z138" i="7"/>
  <c r="AC13" i="8"/>
  <c r="AE13" i="8"/>
  <c r="AD13" i="8"/>
  <c r="AC85" i="8"/>
  <c r="AE85" i="8"/>
  <c r="AD85" i="8"/>
  <c r="AD94" i="8"/>
  <c r="AC94" i="8"/>
  <c r="AE94" i="8"/>
  <c r="AD108" i="8"/>
  <c r="AC108" i="8"/>
  <c r="AE108" i="8"/>
  <c r="AE138" i="9"/>
  <c r="AC138" i="9"/>
  <c r="AD138" i="9"/>
  <c r="Z89" i="9"/>
  <c r="AA89" i="9"/>
  <c r="AJ89" i="9"/>
  <c r="AB89" i="9"/>
  <c r="AA81" i="9"/>
  <c r="Z81" i="9"/>
  <c r="AY81" i="9" s="1"/>
  <c r="AJ81" i="9"/>
  <c r="AB81" i="9"/>
  <c r="AB125" i="9"/>
  <c r="AE17" i="9"/>
  <c r="AD17" i="9"/>
  <c r="AC17" i="9"/>
  <c r="AA81" i="8"/>
  <c r="AJ95" i="8"/>
  <c r="AJ141" i="7"/>
  <c r="Z141" i="7"/>
  <c r="AB141" i="7"/>
  <c r="AA141" i="7"/>
  <c r="AA154" i="7"/>
  <c r="Z96" i="8"/>
  <c r="AJ63" i="8"/>
  <c r="AJ90" i="8"/>
  <c r="AD26" i="7"/>
  <c r="AE26" i="7"/>
  <c r="AC26" i="7"/>
  <c r="AJ12" i="8"/>
  <c r="AE119" i="7"/>
  <c r="AD119" i="7"/>
  <c r="AC119" i="7"/>
  <c r="AC113" i="7"/>
  <c r="AE113" i="7"/>
  <c r="AD113" i="7"/>
  <c r="AE18" i="7"/>
  <c r="AD18" i="7"/>
  <c r="AC18" i="7"/>
  <c r="AD139" i="8"/>
  <c r="AC139" i="8"/>
  <c r="AE139" i="8"/>
  <c r="AC105" i="8"/>
  <c r="AE105" i="8"/>
  <c r="AD105" i="8"/>
  <c r="AC74" i="8"/>
  <c r="AE74" i="8"/>
  <c r="AD74" i="8"/>
  <c r="AE103" i="9"/>
  <c r="AD103" i="9"/>
  <c r="AC103" i="9"/>
  <c r="AA155" i="9"/>
  <c r="AA108" i="8"/>
  <c r="Z108" i="8"/>
  <c r="AB108" i="8"/>
  <c r="AC44" i="8"/>
  <c r="AE44" i="8"/>
  <c r="AD44" i="8"/>
  <c r="AB48" i="8"/>
  <c r="Z61" i="8"/>
  <c r="AD112" i="8"/>
  <c r="AC112" i="8"/>
  <c r="AE112" i="8"/>
  <c r="AB89" i="7"/>
  <c r="AH89" i="7" s="1"/>
  <c r="AA89" i="7"/>
  <c r="AG89" i="7" s="1"/>
  <c r="Z89" i="7"/>
  <c r="AJ89" i="7"/>
  <c r="AB110" i="8"/>
  <c r="AE83" i="7"/>
  <c r="AD83" i="7"/>
  <c r="AC83" i="7"/>
  <c r="H14" i="5"/>
  <c r="AC10" i="8"/>
  <c r="AF10" i="8" s="1"/>
  <c r="AD10" i="8"/>
  <c r="AE10" i="8"/>
  <c r="AD25" i="9"/>
  <c r="AC25" i="9"/>
  <c r="AE25" i="9"/>
  <c r="AE84" i="8"/>
  <c r="AD84" i="8"/>
  <c r="AC84" i="8"/>
  <c r="AC80" i="9"/>
  <c r="AE80" i="9"/>
  <c r="AD80" i="9"/>
  <c r="AE155" i="9"/>
  <c r="AD155" i="9"/>
  <c r="AC155" i="9"/>
  <c r="AD132" i="9"/>
  <c r="AC132" i="9"/>
  <c r="AE132" i="9"/>
  <c r="AE54" i="9"/>
  <c r="AD54" i="9"/>
  <c r="AC54" i="9"/>
  <c r="AB154" i="8"/>
  <c r="AA154" i="8"/>
  <c r="AE117" i="9"/>
  <c r="AD117" i="9"/>
  <c r="AC117" i="9"/>
  <c r="AJ76" i="9"/>
  <c r="AA76" i="9"/>
  <c r="Z76" i="9"/>
  <c r="AB76" i="9"/>
  <c r="AE76" i="8"/>
  <c r="AD76" i="8"/>
  <c r="AC76" i="8"/>
  <c r="AA39" i="9"/>
  <c r="AE87" i="8"/>
  <c r="AD87" i="8"/>
  <c r="AC87" i="8"/>
  <c r="AB108" i="9"/>
  <c r="AE126" i="8"/>
  <c r="AD126" i="8"/>
  <c r="AC126" i="8"/>
  <c r="AA71" i="8"/>
  <c r="AD36" i="8"/>
  <c r="AG36" i="8" s="1"/>
  <c r="AC36" i="8"/>
  <c r="AE36" i="8"/>
  <c r="AJ114" i="7"/>
  <c r="AE63" i="7"/>
  <c r="AD63" i="7"/>
  <c r="AC63" i="7"/>
  <c r="AC26" i="8"/>
  <c r="AE26" i="8"/>
  <c r="AD26" i="8"/>
  <c r="AC24" i="9"/>
  <c r="AD24" i="9"/>
  <c r="AE24" i="9"/>
  <c r="AD70" i="9"/>
  <c r="AC70" i="9"/>
  <c r="AE70" i="9"/>
  <c r="AD150" i="9"/>
  <c r="AE150" i="9"/>
  <c r="AC150" i="9"/>
  <c r="AJ120" i="9"/>
  <c r="AA120" i="9"/>
  <c r="Z120" i="9"/>
  <c r="AB120" i="9"/>
  <c r="AA51" i="9"/>
  <c r="AJ108" i="9"/>
  <c r="AB124" i="8"/>
  <c r="AA124" i="8"/>
  <c r="Z124" i="8"/>
  <c r="AY124" i="8" s="1"/>
  <c r="AJ143" i="7"/>
  <c r="AB143" i="7"/>
  <c r="AA143" i="7"/>
  <c r="Z143" i="7"/>
  <c r="Z139" i="9"/>
  <c r="AE126" i="9"/>
  <c r="AD126" i="9"/>
  <c r="AC126" i="9"/>
  <c r="AE72" i="9"/>
  <c r="AC72" i="9"/>
  <c r="AD72" i="9"/>
  <c r="AA126" i="9"/>
  <c r="Z118" i="9"/>
  <c r="AJ112" i="9"/>
  <c r="AJ30" i="9"/>
  <c r="AB30" i="9"/>
  <c r="AA30" i="9"/>
  <c r="Z30" i="9"/>
  <c r="AY30" i="9" s="1"/>
  <c r="AA133" i="9"/>
  <c r="AJ133" i="9"/>
  <c r="Z133" i="9"/>
  <c r="AB133" i="9"/>
  <c r="AB48" i="9"/>
  <c r="AE15" i="9"/>
  <c r="AD15" i="9"/>
  <c r="AC15" i="9"/>
  <c r="AB51" i="9"/>
  <c r="AE69" i="8"/>
  <c r="AD69" i="8"/>
  <c r="AC69" i="8"/>
  <c r="Z108" i="9"/>
  <c r="AD64" i="9"/>
  <c r="AC64" i="9"/>
  <c r="AE64" i="9"/>
  <c r="AJ20" i="8"/>
  <c r="Z20" i="8"/>
  <c r="AB20" i="8"/>
  <c r="AA20" i="8"/>
  <c r="AD68" i="8"/>
  <c r="AE68" i="8"/>
  <c r="AC68" i="8"/>
  <c r="AE110" i="8"/>
  <c r="AD110" i="8"/>
  <c r="AC110" i="8"/>
  <c r="AB36" i="9"/>
  <c r="AA134" i="8"/>
  <c r="AC9" i="8"/>
  <c r="AE9" i="8"/>
  <c r="AD9" i="8"/>
  <c r="AA45" i="8"/>
  <c r="AE17" i="8"/>
  <c r="AD17" i="8"/>
  <c r="AC17" i="8"/>
  <c r="AA145" i="9"/>
  <c r="AB145" i="9"/>
  <c r="Z145" i="9"/>
  <c r="AJ145" i="9"/>
  <c r="AA139" i="9"/>
  <c r="AC118" i="9"/>
  <c r="AE118" i="9"/>
  <c r="AD118" i="9"/>
  <c r="AB157" i="9"/>
  <c r="Z128" i="9"/>
  <c r="AB126" i="9"/>
  <c r="AD114" i="9"/>
  <c r="AC114" i="9"/>
  <c r="AE114" i="9"/>
  <c r="AA118" i="9"/>
  <c r="AJ59" i="9"/>
  <c r="AB59" i="9"/>
  <c r="AA59" i="9"/>
  <c r="Z59" i="9"/>
  <c r="AB112" i="9"/>
  <c r="Z84" i="9"/>
  <c r="AJ84" i="9"/>
  <c r="AB84" i="9"/>
  <c r="AA84" i="9"/>
  <c r="AJ82" i="9"/>
  <c r="AE99" i="9"/>
  <c r="AD99" i="9"/>
  <c r="AC99" i="9"/>
  <c r="Z140" i="8"/>
  <c r="AA140" i="8"/>
  <c r="AJ140" i="8"/>
  <c r="AB140" i="8"/>
  <c r="AA37" i="9"/>
  <c r="Z47" i="9"/>
  <c r="AA111" i="9"/>
  <c r="AE41" i="9"/>
  <c r="AC41" i="9"/>
  <c r="AD41" i="9"/>
  <c r="AC32" i="9"/>
  <c r="AE32" i="9"/>
  <c r="AD32" i="9"/>
  <c r="AE8" i="9"/>
  <c r="AD8" i="9"/>
  <c r="AC8" i="9"/>
  <c r="AA10" i="9"/>
  <c r="Z10" i="9"/>
  <c r="Z76" i="8"/>
  <c r="AC134" i="8"/>
  <c r="AD134" i="8"/>
  <c r="AE134" i="8"/>
  <c r="AC51" i="9"/>
  <c r="AE51" i="9"/>
  <c r="AD51" i="9"/>
  <c r="Z149" i="8"/>
  <c r="AJ110" i="8"/>
  <c r="AA57" i="8"/>
  <c r="Z68" i="8"/>
  <c r="Z85" i="9"/>
  <c r="AJ29" i="9"/>
  <c r="AB19" i="8"/>
  <c r="AA19" i="8"/>
  <c r="Z19" i="8"/>
  <c r="AJ19" i="8"/>
  <c r="AA64" i="8"/>
  <c r="Z64" i="8"/>
  <c r="AE122" i="8"/>
  <c r="AD122" i="8"/>
  <c r="AC122" i="8"/>
  <c r="AB105" i="8"/>
  <c r="Z58" i="8"/>
  <c r="AJ36" i="9"/>
  <c r="AE38" i="8"/>
  <c r="AD38" i="8"/>
  <c r="AG38" i="8" s="1"/>
  <c r="AC38" i="8"/>
  <c r="AE155" i="7"/>
  <c r="AD155" i="7"/>
  <c r="AC155" i="7"/>
  <c r="Z55" i="8"/>
  <c r="AB45" i="8"/>
  <c r="AB85" i="8"/>
  <c r="AB33" i="8"/>
  <c r="AA33" i="8"/>
  <c r="Z33" i="8"/>
  <c r="AY33" i="8" s="1"/>
  <c r="AJ33" i="8"/>
  <c r="AC19" i="8"/>
  <c r="AE19" i="8"/>
  <c r="AD19" i="8"/>
  <c r="AE116" i="7"/>
  <c r="AD116" i="7"/>
  <c r="AC116" i="7"/>
  <c r="AE106" i="7"/>
  <c r="AD106" i="7"/>
  <c r="AC106" i="7"/>
  <c r="AE49" i="8"/>
  <c r="AD49" i="8"/>
  <c r="AC49" i="8"/>
  <c r="AA83" i="8"/>
  <c r="AJ60" i="8"/>
  <c r="Z151" i="7"/>
  <c r="AJ28" i="8"/>
  <c r="AA146" i="7"/>
  <c r="Z146" i="7"/>
  <c r="AB146" i="7"/>
  <c r="AJ146" i="7"/>
  <c r="AJ22" i="7"/>
  <c r="AJ54" i="9"/>
  <c r="AJ88" i="8"/>
  <c r="AD56" i="8"/>
  <c r="AC56" i="8"/>
  <c r="AE56" i="8"/>
  <c r="AJ8" i="7"/>
  <c r="AB8" i="7"/>
  <c r="AH8" i="7" s="1"/>
  <c r="AA8" i="7"/>
  <c r="AG8" i="7" s="1"/>
  <c r="Z8" i="7"/>
  <c r="AY8" i="7" s="1"/>
  <c r="AE72" i="8"/>
  <c r="AD72" i="8"/>
  <c r="AC72" i="8"/>
  <c r="AJ24" i="7"/>
  <c r="Z128" i="8"/>
  <c r="AA82" i="7"/>
  <c r="AA56" i="8"/>
  <c r="AA112" i="8"/>
  <c r="AE36" i="7"/>
  <c r="AD36" i="7"/>
  <c r="AC36" i="7"/>
  <c r="AJ11" i="7"/>
  <c r="AA129" i="7"/>
  <c r="AE22" i="7"/>
  <c r="AD22" i="7"/>
  <c r="AC22" i="7"/>
  <c r="AF22" i="7" s="1"/>
  <c r="AC67" i="7"/>
  <c r="AE67" i="7"/>
  <c r="AD67" i="7"/>
  <c r="AE17" i="7"/>
  <c r="AD17" i="7"/>
  <c r="AC17" i="7"/>
  <c r="AD135" i="7"/>
  <c r="AC135" i="7"/>
  <c r="AE135" i="7"/>
  <c r="AE95" i="7"/>
  <c r="AD95" i="7"/>
  <c r="AC95" i="7"/>
  <c r="AD89" i="8"/>
  <c r="AE89" i="8"/>
  <c r="AC89" i="8"/>
  <c r="AE16" i="8"/>
  <c r="AD16" i="8"/>
  <c r="AC16" i="8"/>
  <c r="AC52" i="9"/>
  <c r="AE52" i="9"/>
  <c r="AD52" i="9"/>
  <c r="AE48" i="8"/>
  <c r="AD48" i="8"/>
  <c r="AC48" i="8"/>
  <c r="AE136" i="8"/>
  <c r="AH136" i="8" s="1"/>
  <c r="AD136" i="8"/>
  <c r="AC136" i="8"/>
  <c r="AF136" i="8" s="1"/>
  <c r="AE149" i="8"/>
  <c r="AH149" i="8" s="1"/>
  <c r="AD149" i="8"/>
  <c r="AC149" i="8"/>
  <c r="AD93" i="9"/>
  <c r="AC93" i="9"/>
  <c r="AE93" i="9"/>
  <c r="Z103" i="8"/>
  <c r="AY103" i="8" s="1"/>
  <c r="Z16" i="7"/>
  <c r="AE11" i="8"/>
  <c r="AD11" i="8"/>
  <c r="AC11" i="8"/>
  <c r="AE70" i="8"/>
  <c r="AD70" i="8"/>
  <c r="AC70" i="8"/>
  <c r="AY51" i="7"/>
  <c r="AC112" i="7"/>
  <c r="AE112" i="7"/>
  <c r="AD112" i="7"/>
  <c r="AE21" i="8"/>
  <c r="AD21" i="8"/>
  <c r="AC21" i="8"/>
  <c r="AE15" i="8"/>
  <c r="AD15" i="8"/>
  <c r="AC15" i="8"/>
  <c r="AD105" i="9"/>
  <c r="AC105" i="9"/>
  <c r="AE105" i="9"/>
  <c r="AB151" i="9"/>
  <c r="Z135" i="8"/>
  <c r="AY135" i="8" s="1"/>
  <c r="AA68" i="8"/>
  <c r="AE97" i="7"/>
  <c r="AD97" i="7"/>
  <c r="AC97" i="7"/>
  <c r="AE87" i="7"/>
  <c r="AD87" i="7"/>
  <c r="AC87" i="7"/>
  <c r="AA35" i="9"/>
  <c r="AD61" i="8"/>
  <c r="AC61" i="8"/>
  <c r="AE61" i="8"/>
  <c r="AE145" i="7"/>
  <c r="AC145" i="7"/>
  <c r="AD145" i="7"/>
  <c r="AD39" i="9"/>
  <c r="AC39" i="9"/>
  <c r="AE39" i="9"/>
  <c r="AJ27" i="7"/>
  <c r="AC142" i="9"/>
  <c r="AD142" i="9"/>
  <c r="AE142" i="9"/>
  <c r="AJ17" i="9"/>
  <c r="AB17" i="9"/>
  <c r="AA17" i="9"/>
  <c r="Z17" i="9"/>
  <c r="AJ49" i="9"/>
  <c r="AE91" i="8"/>
  <c r="AD91" i="8"/>
  <c r="AC91" i="8"/>
  <c r="AA43" i="8"/>
  <c r="Z97" i="7"/>
  <c r="AY97" i="7" s="1"/>
  <c r="AC27" i="8"/>
  <c r="AD27" i="8"/>
  <c r="AE27" i="8"/>
  <c r="AD43" i="8"/>
  <c r="AC43" i="8"/>
  <c r="AE43" i="8"/>
  <c r="AB131" i="9"/>
  <c r="AC95" i="9"/>
  <c r="AE95" i="9"/>
  <c r="AH95" i="9" s="1"/>
  <c r="AD95" i="9"/>
  <c r="AG95" i="9" s="1"/>
  <c r="AB101" i="9"/>
  <c r="AJ101" i="9"/>
  <c r="AA101" i="9"/>
  <c r="Z101" i="9"/>
  <c r="AB16" i="9"/>
  <c r="AA16" i="9"/>
  <c r="Z16" i="9"/>
  <c r="AJ16" i="9"/>
  <c r="AA24" i="9"/>
  <c r="Z24" i="9"/>
  <c r="AD141" i="8"/>
  <c r="AC141" i="8"/>
  <c r="AE141" i="8"/>
  <c r="AJ43" i="8"/>
  <c r="AJ135" i="8"/>
  <c r="AB104" i="7"/>
  <c r="AD12" i="7"/>
  <c r="AC12" i="7"/>
  <c r="AE12" i="7"/>
  <c r="AC46" i="8"/>
  <c r="AE46" i="8"/>
  <c r="AD46" i="8"/>
  <c r="AD125" i="8"/>
  <c r="AC125" i="8"/>
  <c r="AE125" i="8"/>
  <c r="AC124" i="9"/>
  <c r="AE124" i="9"/>
  <c r="AD124" i="9"/>
  <c r="AD156" i="9"/>
  <c r="AC156" i="9"/>
  <c r="AE156" i="9"/>
  <c r="AJ131" i="9"/>
  <c r="AE19" i="9"/>
  <c r="AD19" i="9"/>
  <c r="AC19" i="9"/>
  <c r="AE55" i="9"/>
  <c r="AD55" i="9"/>
  <c r="AC55" i="9"/>
  <c r="AF55" i="9" s="1"/>
  <c r="AD8" i="8"/>
  <c r="AE8" i="8"/>
  <c r="AC8" i="8"/>
  <c r="AC65" i="8"/>
  <c r="AE65" i="8"/>
  <c r="AD65" i="8"/>
  <c r="AC83" i="9"/>
  <c r="AD83" i="9"/>
  <c r="AE83" i="9"/>
  <c r="AY144" i="9"/>
  <c r="AD108" i="9"/>
  <c r="AC108" i="9"/>
  <c r="AE108" i="9"/>
  <c r="AE34" i="9"/>
  <c r="AD34" i="9"/>
  <c r="AC34" i="9"/>
  <c r="AJ53" i="8"/>
  <c r="AB53" i="8"/>
  <c r="AA53" i="8"/>
  <c r="Z53" i="8"/>
  <c r="AE53" i="7"/>
  <c r="AD53" i="7"/>
  <c r="AC53" i="7"/>
  <c r="AC30" i="9"/>
  <c r="AE30" i="9"/>
  <c r="AD30" i="9"/>
  <c r="AD80" i="7"/>
  <c r="AC80" i="7"/>
  <c r="AE80" i="7"/>
  <c r="AC38" i="9"/>
  <c r="AE38" i="9"/>
  <c r="AD38" i="9"/>
  <c r="AY63" i="7"/>
  <c r="AA129" i="9"/>
  <c r="AJ129" i="9"/>
  <c r="AB129" i="9"/>
  <c r="Z129" i="9"/>
  <c r="AA65" i="9"/>
  <c r="Z65" i="9"/>
  <c r="AB65" i="9"/>
  <c r="AJ65" i="9"/>
  <c r="AJ153" i="8"/>
  <c r="AA153" i="8"/>
  <c r="Z153" i="8"/>
  <c r="AY153" i="8" s="1"/>
  <c r="AB153" i="8"/>
  <c r="Z81" i="8"/>
  <c r="AJ113" i="7"/>
  <c r="AB113" i="7"/>
  <c r="AA113" i="7"/>
  <c r="Z113" i="7"/>
  <c r="AJ21" i="9"/>
  <c r="AC154" i="7"/>
  <c r="AD154" i="7"/>
  <c r="AE154" i="7"/>
  <c r="AE39" i="8"/>
  <c r="AC39" i="8"/>
  <c r="AD39" i="8"/>
  <c r="AC18" i="9"/>
  <c r="AE18" i="9"/>
  <c r="AD18" i="9"/>
  <c r="AA147" i="9"/>
  <c r="Z147" i="9"/>
  <c r="AJ147" i="9"/>
  <c r="AB147" i="9"/>
  <c r="AC147" i="9"/>
  <c r="AE147" i="9"/>
  <c r="AD147" i="9"/>
  <c r="AB63" i="9"/>
  <c r="AA63" i="9"/>
  <c r="AB68" i="9"/>
  <c r="AA68" i="9"/>
  <c r="AJ68" i="9"/>
  <c r="Z68" i="9"/>
  <c r="AY68" i="9" s="1"/>
  <c r="AB150" i="9"/>
  <c r="AJ63" i="9"/>
  <c r="AB146" i="8"/>
  <c r="AH146" i="8" s="1"/>
  <c r="AA146" i="8"/>
  <c r="AG146" i="8" s="1"/>
  <c r="AJ146" i="8"/>
  <c r="Z146" i="8"/>
  <c r="AA48" i="9"/>
  <c r="AE109" i="7"/>
  <c r="AH109" i="7" s="1"/>
  <c r="AD109" i="7"/>
  <c r="AG109" i="7" s="1"/>
  <c r="AC109" i="7"/>
  <c r="AD20" i="7"/>
  <c r="AE20" i="7"/>
  <c r="AC20" i="7"/>
  <c r="AJ10" i="7"/>
  <c r="AB10" i="7"/>
  <c r="AH10" i="7" s="1"/>
  <c r="AA10" i="7"/>
  <c r="AG10" i="7" s="1"/>
  <c r="Z10" i="7"/>
  <c r="AJ37" i="7"/>
  <c r="AE91" i="9"/>
  <c r="AD91" i="9"/>
  <c r="AC91" i="9"/>
  <c r="AD70" i="7"/>
  <c r="AC70" i="7"/>
  <c r="AF70" i="7" s="1"/>
  <c r="AE70" i="7"/>
  <c r="AJ121" i="8"/>
  <c r="AE137" i="7"/>
  <c r="AD137" i="7"/>
  <c r="AC137" i="7"/>
  <c r="AD121" i="8"/>
  <c r="AC121" i="8"/>
  <c r="AE121" i="8"/>
  <c r="AE40" i="9"/>
  <c r="AD40" i="9"/>
  <c r="AC40" i="9"/>
  <c r="AB31" i="7"/>
  <c r="AB141" i="9"/>
  <c r="AA141" i="9"/>
  <c r="Z141" i="9"/>
  <c r="AJ141" i="9"/>
  <c r="AE137" i="9"/>
  <c r="AD137" i="9"/>
  <c r="AC137" i="9"/>
  <c r="AJ75" i="9"/>
  <c r="AA75" i="9"/>
  <c r="AB75" i="9"/>
  <c r="Z75" i="9"/>
  <c r="AC134" i="9"/>
  <c r="AE134" i="9"/>
  <c r="AD134" i="9"/>
  <c r="AA156" i="8"/>
  <c r="AB156" i="8"/>
  <c r="AE60" i="9"/>
  <c r="AD60" i="9"/>
  <c r="AC60" i="9"/>
  <c r="AB24" i="9"/>
  <c r="AC97" i="8"/>
  <c r="AE97" i="8"/>
  <c r="AD97" i="8"/>
  <c r="AB21" i="8"/>
  <c r="AA21" i="8"/>
  <c r="Z21" i="8"/>
  <c r="AE113" i="8"/>
  <c r="AD113" i="8"/>
  <c r="AC113" i="8"/>
  <c r="AJ22" i="8"/>
  <c r="AB22" i="8"/>
  <c r="AA22" i="8"/>
  <c r="Z22" i="8"/>
  <c r="AY22" i="8" s="1"/>
  <c r="AB103" i="9"/>
  <c r="AE123" i="9"/>
  <c r="AD123" i="9"/>
  <c r="AC123" i="9"/>
  <c r="AC61" i="9"/>
  <c r="AE61" i="9"/>
  <c r="AD61" i="9"/>
  <c r="AG61" i="9" s="1"/>
  <c r="AD146" i="9"/>
  <c r="AC146" i="9"/>
  <c r="AE146" i="9"/>
  <c r="AJ37" i="9"/>
  <c r="AE81" i="8"/>
  <c r="AD81" i="8"/>
  <c r="AC81" i="8"/>
  <c r="AE90" i="9"/>
  <c r="AD90" i="9"/>
  <c r="AC90" i="9"/>
  <c r="AD143" i="8"/>
  <c r="AC143" i="8"/>
  <c r="AE143" i="8"/>
  <c r="AE151" i="9"/>
  <c r="AD151" i="9"/>
  <c r="AC151" i="9"/>
  <c r="AJ139" i="9"/>
  <c r="Z150" i="9"/>
  <c r="AD153" i="9"/>
  <c r="AC153" i="9"/>
  <c r="AE153" i="9"/>
  <c r="AA80" i="9"/>
  <c r="AJ127" i="8"/>
  <c r="AB127" i="8"/>
  <c r="AA127" i="8"/>
  <c r="Z127" i="8"/>
  <c r="AE81" i="9"/>
  <c r="AD81" i="9"/>
  <c r="AC81" i="9"/>
  <c r="AC16" i="9"/>
  <c r="AE16" i="9"/>
  <c r="AD16" i="9"/>
  <c r="AA155" i="8"/>
  <c r="Z155" i="8"/>
  <c r="AB155" i="8"/>
  <c r="AJ155" i="8"/>
  <c r="AC155" i="8"/>
  <c r="AE155" i="8"/>
  <c r="AD155" i="8"/>
  <c r="Z154" i="8"/>
  <c r="AY154" i="8" s="1"/>
  <c r="AB75" i="8"/>
  <c r="AA75" i="8"/>
  <c r="Z75" i="8"/>
  <c r="AC127" i="8"/>
  <c r="AE127" i="8"/>
  <c r="AD127" i="8"/>
  <c r="AE90" i="8"/>
  <c r="AC90" i="8"/>
  <c r="AD90" i="8"/>
  <c r="AE58" i="8"/>
  <c r="AD58" i="8"/>
  <c r="AC58" i="8"/>
  <c r="AJ52" i="8"/>
  <c r="AE30" i="8"/>
  <c r="AD30" i="8"/>
  <c r="AC30" i="8"/>
  <c r="AJ15" i="8"/>
  <c r="AE59" i="8"/>
  <c r="AD59" i="8"/>
  <c r="AC59" i="8"/>
  <c r="AD119" i="8"/>
  <c r="AC119" i="8"/>
  <c r="AE119" i="8"/>
  <c r="AA37" i="8"/>
  <c r="Z37" i="8"/>
  <c r="AB37" i="8"/>
  <c r="AJ37" i="8"/>
  <c r="AE110" i="7"/>
  <c r="AD110" i="7"/>
  <c r="AC110" i="7"/>
  <c r="AJ101" i="7"/>
  <c r="AB101" i="7"/>
  <c r="AH101" i="7" s="1"/>
  <c r="AA101" i="7"/>
  <c r="AG101" i="7" s="1"/>
  <c r="Z101" i="7"/>
  <c r="AD144" i="7"/>
  <c r="AC144" i="7"/>
  <c r="AE144" i="7"/>
  <c r="AJ154" i="9"/>
  <c r="Z154" i="9"/>
  <c r="AA154" i="9"/>
  <c r="AB154" i="9"/>
  <c r="AE24" i="8"/>
  <c r="AD24" i="8"/>
  <c r="AC24" i="8"/>
  <c r="AE47" i="7"/>
  <c r="AC47" i="7"/>
  <c r="AD47" i="7"/>
  <c r="AB15" i="8"/>
  <c r="AE56" i="7"/>
  <c r="AD56" i="7"/>
  <c r="AC56" i="7"/>
  <c r="Z51" i="8"/>
  <c r="AB51" i="8"/>
  <c r="AH51" i="8" s="1"/>
  <c r="AA51" i="8"/>
  <c r="AG51" i="8" s="1"/>
  <c r="AJ51" i="8"/>
  <c r="AE37" i="7"/>
  <c r="AD37" i="7"/>
  <c r="AC37" i="7"/>
  <c r="AC120" i="7"/>
  <c r="AD120" i="7"/>
  <c r="AE120" i="7"/>
  <c r="AH118" i="7"/>
  <c r="AC51" i="7"/>
  <c r="AE51" i="7"/>
  <c r="AD51" i="7"/>
  <c r="AD62" i="7"/>
  <c r="AC62" i="7"/>
  <c r="AE62" i="7"/>
  <c r="AE23" i="8"/>
  <c r="AD23" i="8"/>
  <c r="AC23" i="8"/>
  <c r="AD107" i="7"/>
  <c r="AC107" i="7"/>
  <c r="AE107" i="7"/>
  <c r="AD94" i="7"/>
  <c r="AC94" i="7"/>
  <c r="AE94" i="7"/>
  <c r="AD14" i="8"/>
  <c r="AC14" i="8"/>
  <c r="AE14" i="8"/>
  <c r="AE117" i="7"/>
  <c r="AD117" i="7"/>
  <c r="AC117" i="7"/>
  <c r="AF117" i="7" s="1"/>
  <c r="AD48" i="9"/>
  <c r="AC48" i="9"/>
  <c r="AE48" i="9"/>
  <c r="AC99" i="8"/>
  <c r="AE99" i="8"/>
  <c r="AD99" i="8"/>
  <c r="AD84" i="9"/>
  <c r="AC84" i="9"/>
  <c r="AE84" i="9"/>
  <c r="AE92" i="8"/>
  <c r="AD92" i="8"/>
  <c r="AC92" i="8"/>
  <c r="AD154" i="8"/>
  <c r="AC154" i="8"/>
  <c r="AE154" i="8"/>
  <c r="AD111" i="9"/>
  <c r="AC111" i="9"/>
  <c r="AE111" i="9"/>
  <c r="AD102" i="9"/>
  <c r="AC102" i="9"/>
  <c r="AF102" i="9" s="1"/>
  <c r="AE102" i="9"/>
  <c r="F18" i="4"/>
  <c r="G18" i="4" s="1"/>
  <c r="AF157" i="8" l="1"/>
  <c r="AY27" i="8"/>
  <c r="AF24" i="8"/>
  <c r="AY19" i="8"/>
  <c r="AY122" i="9"/>
  <c r="AX20" i="7"/>
  <c r="AH38" i="8"/>
  <c r="AY41" i="8"/>
  <c r="AY64" i="7"/>
  <c r="AX13" i="9"/>
  <c r="AH94" i="8"/>
  <c r="AF148" i="9"/>
  <c r="AX92" i="9"/>
  <c r="AH32" i="9"/>
  <c r="AY85" i="8"/>
  <c r="AY112" i="8"/>
  <c r="AF121" i="7"/>
  <c r="AG11" i="8"/>
  <c r="AF109" i="7"/>
  <c r="AY16" i="7"/>
  <c r="AF54" i="9"/>
  <c r="AF106" i="7"/>
  <c r="AY64" i="8"/>
  <c r="AG103" i="9"/>
  <c r="AY67" i="7"/>
  <c r="AY39" i="8"/>
  <c r="AY23" i="8"/>
  <c r="AH136" i="7"/>
  <c r="AF132" i="7"/>
  <c r="AH92" i="9"/>
  <c r="AY129" i="8"/>
  <c r="AF50" i="9"/>
  <c r="AF83" i="8"/>
  <c r="AX9" i="8"/>
  <c r="AH91" i="9"/>
  <c r="AF128" i="7"/>
  <c r="AF74" i="8"/>
  <c r="AH65" i="7"/>
  <c r="AH138" i="8"/>
  <c r="AH132" i="7"/>
  <c r="AH59" i="7"/>
  <c r="AY93" i="7"/>
  <c r="AX78" i="8"/>
  <c r="AX120" i="8"/>
  <c r="AH155" i="8"/>
  <c r="AG138" i="9"/>
  <c r="AG15" i="7"/>
  <c r="AF73" i="8"/>
  <c r="AG78" i="8"/>
  <c r="AY13" i="7"/>
  <c r="AG26" i="8"/>
  <c r="AH70" i="8"/>
  <c r="AG99" i="9"/>
  <c r="AF94" i="7"/>
  <c r="AH63" i="8"/>
  <c r="AG36" i="9"/>
  <c r="AY47" i="7"/>
  <c r="AY155" i="8"/>
  <c r="AG94" i="7"/>
  <c r="AH120" i="7"/>
  <c r="AG18" i="7"/>
  <c r="AH85" i="9"/>
  <c r="AG88" i="7"/>
  <c r="AG133" i="8"/>
  <c r="AH100" i="8"/>
  <c r="AY142" i="7"/>
  <c r="AX102" i="8"/>
  <c r="AX54" i="7"/>
  <c r="AF54" i="7"/>
  <c r="AY71" i="9"/>
  <c r="AY83" i="7"/>
  <c r="AY76" i="7"/>
  <c r="AH20" i="7"/>
  <c r="AH82" i="7"/>
  <c r="AG88" i="9"/>
  <c r="AY78" i="9"/>
  <c r="AG146" i="9"/>
  <c r="AG85" i="8"/>
  <c r="AG13" i="9"/>
  <c r="AY69" i="9"/>
  <c r="AX109" i="7"/>
  <c r="AG134" i="9"/>
  <c r="AF9" i="8"/>
  <c r="AF13" i="9"/>
  <c r="AY15" i="9"/>
  <c r="AY108" i="7"/>
  <c r="AY102" i="8"/>
  <c r="AY53" i="9"/>
  <c r="AY136" i="7"/>
  <c r="AX39" i="8"/>
  <c r="AX68" i="7"/>
  <c r="AY95" i="8"/>
  <c r="AH125" i="9"/>
  <c r="AG136" i="8"/>
  <c r="AI136" i="8" s="1"/>
  <c r="AG137" i="8"/>
  <c r="AG119" i="9"/>
  <c r="AY141" i="9"/>
  <c r="AY17" i="9"/>
  <c r="AF105" i="9"/>
  <c r="AH102" i="8"/>
  <c r="AY96" i="9"/>
  <c r="AY73" i="8"/>
  <c r="AY140" i="9"/>
  <c r="AY150" i="9"/>
  <c r="AG105" i="9"/>
  <c r="AH95" i="7"/>
  <c r="AH39" i="8"/>
  <c r="AY117" i="8"/>
  <c r="AH99" i="8"/>
  <c r="AG120" i="7"/>
  <c r="AF146" i="9"/>
  <c r="AG46" i="8"/>
  <c r="AF147" i="8"/>
  <c r="AY112" i="7"/>
  <c r="AY75" i="8"/>
  <c r="AG154" i="7"/>
  <c r="AF60" i="7"/>
  <c r="AX132" i="7"/>
  <c r="AY82" i="8"/>
  <c r="AY94" i="9"/>
  <c r="AY17" i="8"/>
  <c r="AY69" i="7"/>
  <c r="AX69" i="8"/>
  <c r="AX56" i="7"/>
  <c r="AX86" i="8"/>
  <c r="AY86" i="8"/>
  <c r="AY139" i="9"/>
  <c r="AF23" i="8"/>
  <c r="AG25" i="8"/>
  <c r="AX127" i="8"/>
  <c r="AG31" i="8"/>
  <c r="AY122" i="7"/>
  <c r="AY18" i="7"/>
  <c r="AG74" i="8"/>
  <c r="AF85" i="8"/>
  <c r="AG74" i="7"/>
  <c r="AY58" i="9"/>
  <c r="AY39" i="7"/>
  <c r="AY84" i="8"/>
  <c r="AG80" i="8"/>
  <c r="AX38" i="9"/>
  <c r="AH73" i="9"/>
  <c r="AF100" i="7"/>
  <c r="AY100" i="8"/>
  <c r="AX43" i="9"/>
  <c r="AY77" i="8"/>
  <c r="AX117" i="7"/>
  <c r="AX10" i="9"/>
  <c r="AH74" i="8"/>
  <c r="AY141" i="7"/>
  <c r="AF125" i="7"/>
  <c r="AX88" i="8"/>
  <c r="AY109" i="9"/>
  <c r="AX94" i="9"/>
  <c r="AX83" i="7"/>
  <c r="AX18" i="7"/>
  <c r="AF82" i="9"/>
  <c r="AX108" i="7"/>
  <c r="AX122" i="8"/>
  <c r="AG117" i="8"/>
  <c r="AH113" i="8"/>
  <c r="AY116" i="8"/>
  <c r="AG83" i="7"/>
  <c r="AY30" i="7"/>
  <c r="AG17" i="8"/>
  <c r="AH28" i="8"/>
  <c r="AX144" i="9"/>
  <c r="AF83" i="7"/>
  <c r="AI83" i="7" s="1"/>
  <c r="AX85" i="9"/>
  <c r="AG61" i="7"/>
  <c r="AX79" i="9"/>
  <c r="AY52" i="9"/>
  <c r="AF143" i="8"/>
  <c r="AG102" i="8"/>
  <c r="AH39" i="7"/>
  <c r="AH74" i="9"/>
  <c r="AY10" i="7"/>
  <c r="AG83" i="9"/>
  <c r="AF12" i="7"/>
  <c r="AY20" i="8"/>
  <c r="AH12" i="8"/>
  <c r="AY59" i="8"/>
  <c r="AH73" i="8"/>
  <c r="AX62" i="9"/>
  <c r="AY140" i="8"/>
  <c r="AH44" i="8"/>
  <c r="AG143" i="8"/>
  <c r="AH19" i="9"/>
  <c r="AF122" i="8"/>
  <c r="AH117" i="9"/>
  <c r="AH134" i="7"/>
  <c r="AY72" i="9"/>
  <c r="AG97" i="7"/>
  <c r="AH122" i="8"/>
  <c r="AY89" i="7"/>
  <c r="AF78" i="7"/>
  <c r="AG74" i="9"/>
  <c r="AG107" i="9"/>
  <c r="AF111" i="8"/>
  <c r="AH138" i="7"/>
  <c r="AH102" i="7"/>
  <c r="AG47" i="9"/>
  <c r="AH131" i="8"/>
  <c r="AG13" i="7"/>
  <c r="AY45" i="7"/>
  <c r="AY8" i="9"/>
  <c r="AX157" i="8"/>
  <c r="AY83" i="8"/>
  <c r="AX67" i="8"/>
  <c r="AG130" i="8"/>
  <c r="AH92" i="8"/>
  <c r="AF94" i="9"/>
  <c r="AG14" i="8"/>
  <c r="AF56" i="7"/>
  <c r="AY90" i="9"/>
  <c r="AG85" i="9"/>
  <c r="AF67" i="8"/>
  <c r="AY129" i="7"/>
  <c r="AG62" i="9"/>
  <c r="AF88" i="8"/>
  <c r="AY152" i="8"/>
  <c r="AY156" i="8"/>
  <c r="AX133" i="8"/>
  <c r="AG132" i="9"/>
  <c r="AG111" i="8"/>
  <c r="AG107" i="8"/>
  <c r="AF131" i="9"/>
  <c r="AF68" i="7"/>
  <c r="AY86" i="9"/>
  <c r="AY98" i="8"/>
  <c r="AF39" i="8"/>
  <c r="AH8" i="8"/>
  <c r="AX36" i="9"/>
  <c r="AH18" i="7"/>
  <c r="AG135" i="9"/>
  <c r="AF28" i="8"/>
  <c r="AY104" i="9"/>
  <c r="AY70" i="7"/>
  <c r="AX98" i="9"/>
  <c r="AX76" i="7"/>
  <c r="AX100" i="9"/>
  <c r="AF31" i="8"/>
  <c r="AH107" i="9"/>
  <c r="AF137" i="8"/>
  <c r="AY71" i="8"/>
  <c r="AF30" i="8"/>
  <c r="AH32" i="7"/>
  <c r="AF115" i="8"/>
  <c r="AG115" i="8"/>
  <c r="AG142" i="9"/>
  <c r="AF72" i="9"/>
  <c r="AH87" i="7"/>
  <c r="AF44" i="8"/>
  <c r="AH152" i="7"/>
  <c r="AX146" i="9"/>
  <c r="AX30" i="8"/>
  <c r="AX119" i="9"/>
  <c r="AY18" i="9"/>
  <c r="AG123" i="7"/>
  <c r="AH98" i="9"/>
  <c r="AH12" i="7"/>
  <c r="AX8" i="9"/>
  <c r="AX93" i="8"/>
  <c r="AX55" i="7"/>
  <c r="AX136" i="8"/>
  <c r="AX12" i="9"/>
  <c r="AX44" i="8"/>
  <c r="AX88" i="7"/>
  <c r="AX63" i="7"/>
  <c r="AF58" i="8"/>
  <c r="AF52" i="9"/>
  <c r="AG17" i="7"/>
  <c r="AH80" i="9"/>
  <c r="AF105" i="8"/>
  <c r="AH138" i="9"/>
  <c r="AF129" i="8"/>
  <c r="AF118" i="7"/>
  <c r="AI118" i="7" s="1"/>
  <c r="AK118" i="7" s="1"/>
  <c r="AF140" i="9"/>
  <c r="AG92" i="8"/>
  <c r="AG58" i="8"/>
  <c r="AF155" i="8"/>
  <c r="AH83" i="7"/>
  <c r="AH139" i="8"/>
  <c r="AG28" i="9"/>
  <c r="AH108" i="7"/>
  <c r="AF98" i="8"/>
  <c r="AI98" i="8" s="1"/>
  <c r="AF76" i="7"/>
  <c r="AG94" i="9"/>
  <c r="AX121" i="9"/>
  <c r="AY157" i="8"/>
  <c r="AY121" i="7"/>
  <c r="AX46" i="8"/>
  <c r="AX74" i="9"/>
  <c r="AX151" i="8"/>
  <c r="AX117" i="9"/>
  <c r="AX109" i="8"/>
  <c r="AY109" i="8"/>
  <c r="AX40" i="9"/>
  <c r="AX26" i="9"/>
  <c r="AX148" i="9"/>
  <c r="AG91" i="9"/>
  <c r="AG40" i="9"/>
  <c r="AG72" i="9"/>
  <c r="AG18" i="8"/>
  <c r="AX85" i="8"/>
  <c r="AY81" i="7"/>
  <c r="AX47" i="7"/>
  <c r="AX99" i="9"/>
  <c r="AX10" i="8"/>
  <c r="AF134" i="9"/>
  <c r="AH135" i="7"/>
  <c r="AG8" i="9"/>
  <c r="AX106" i="7"/>
  <c r="AG44" i="7"/>
  <c r="AX49" i="7"/>
  <c r="AX153" i="9"/>
  <c r="AY153" i="9"/>
  <c r="AY121" i="8"/>
  <c r="AX47" i="8"/>
  <c r="AG155" i="8"/>
  <c r="AI155" i="8" s="1"/>
  <c r="AY72" i="8"/>
  <c r="AH58" i="8"/>
  <c r="AG26" i="7"/>
  <c r="AX77" i="7"/>
  <c r="AX59" i="7"/>
  <c r="AY31" i="7"/>
  <c r="AY65" i="7"/>
  <c r="AX77" i="8"/>
  <c r="AG90" i="8"/>
  <c r="AH137" i="9"/>
  <c r="AF63" i="7"/>
  <c r="AF102" i="8"/>
  <c r="AH106" i="9"/>
  <c r="AY127" i="9"/>
  <c r="AH49" i="7"/>
  <c r="AH69" i="9"/>
  <c r="AH109" i="9"/>
  <c r="AG82" i="8"/>
  <c r="AX157" i="9"/>
  <c r="AX111" i="8"/>
  <c r="AX74" i="8"/>
  <c r="AX92" i="8"/>
  <c r="AG131" i="8"/>
  <c r="AI131" i="8" s="1"/>
  <c r="AK131" i="8" s="1"/>
  <c r="AF100" i="9"/>
  <c r="AH12" i="9"/>
  <c r="AH49" i="8"/>
  <c r="AG106" i="9"/>
  <c r="AG136" i="9"/>
  <c r="AG27" i="9"/>
  <c r="AF104" i="9"/>
  <c r="AY112" i="9"/>
  <c r="AX44" i="9"/>
  <c r="AG106" i="7"/>
  <c r="AF18" i="7"/>
  <c r="AG85" i="7"/>
  <c r="AY156" i="9"/>
  <c r="AG69" i="9"/>
  <c r="AH130" i="8"/>
  <c r="AH103" i="8"/>
  <c r="AH68" i="7"/>
  <c r="AI68" i="7" s="1"/>
  <c r="AK68" i="7" s="1"/>
  <c r="AG122" i="9"/>
  <c r="AY60" i="8"/>
  <c r="AY87" i="9"/>
  <c r="AX130" i="8"/>
  <c r="AX32" i="8"/>
  <c r="AX72" i="9"/>
  <c r="AI99" i="7"/>
  <c r="AH83" i="9"/>
  <c r="AG19" i="8"/>
  <c r="AH148" i="8"/>
  <c r="AG49" i="9"/>
  <c r="AG12" i="7"/>
  <c r="AG76" i="7"/>
  <c r="AF71" i="9"/>
  <c r="AG109" i="8"/>
  <c r="AF119" i="8"/>
  <c r="AF28" i="9"/>
  <c r="AF77" i="8"/>
  <c r="AF88" i="7"/>
  <c r="AG105" i="7"/>
  <c r="AG42" i="9"/>
  <c r="AH109" i="8"/>
  <c r="AY106" i="8"/>
  <c r="AY120" i="8"/>
  <c r="AH113" i="9"/>
  <c r="AF28" i="7"/>
  <c r="AI28" i="7" s="1"/>
  <c r="AY28" i="7"/>
  <c r="AH15" i="7"/>
  <c r="AG77" i="8"/>
  <c r="AH88" i="7"/>
  <c r="AF20" i="8"/>
  <c r="AG96" i="9"/>
  <c r="AF88" i="9"/>
  <c r="AH121" i="7"/>
  <c r="AF156" i="8"/>
  <c r="AG87" i="9"/>
  <c r="AH42" i="9"/>
  <c r="AG134" i="7"/>
  <c r="AH26" i="9"/>
  <c r="AI26" i="9" s="1"/>
  <c r="AG23" i="9"/>
  <c r="AG92" i="9"/>
  <c r="AF86" i="9"/>
  <c r="AG118" i="8"/>
  <c r="AH86" i="8"/>
  <c r="AF139" i="7"/>
  <c r="AF133" i="8"/>
  <c r="AY79" i="7"/>
  <c r="AH71" i="9"/>
  <c r="AG73" i="7"/>
  <c r="AX70" i="9"/>
  <c r="AX125" i="8"/>
  <c r="AX32" i="7"/>
  <c r="AX115" i="8"/>
  <c r="AX71" i="7"/>
  <c r="AY154" i="9"/>
  <c r="AX82" i="8"/>
  <c r="AH142" i="9"/>
  <c r="AF135" i="7"/>
  <c r="AH44" i="9"/>
  <c r="AF33" i="9"/>
  <c r="AH27" i="9"/>
  <c r="AY56" i="7"/>
  <c r="AY125" i="7"/>
  <c r="AH156" i="9"/>
  <c r="AG150" i="9"/>
  <c r="AH94" i="9"/>
  <c r="AH56" i="7"/>
  <c r="AG65" i="8"/>
  <c r="AF156" i="9"/>
  <c r="AX83" i="8"/>
  <c r="AG54" i="9"/>
  <c r="AH84" i="8"/>
  <c r="AG62" i="8"/>
  <c r="AF106" i="9"/>
  <c r="AX65" i="8"/>
  <c r="AF97" i="7"/>
  <c r="AH111" i="9"/>
  <c r="AH81" i="8"/>
  <c r="AY133" i="7"/>
  <c r="AF41" i="8"/>
  <c r="AI41" i="8" s="1"/>
  <c r="AH28" i="9"/>
  <c r="AF15" i="7"/>
  <c r="AX99" i="7"/>
  <c r="AH77" i="8"/>
  <c r="AF114" i="7"/>
  <c r="AI114" i="7" s="1"/>
  <c r="AK114" i="7" s="1"/>
  <c r="AH10" i="9"/>
  <c r="AF79" i="9"/>
  <c r="AF106" i="8"/>
  <c r="AF42" i="9"/>
  <c r="AH23" i="9"/>
  <c r="AF119" i="9"/>
  <c r="AH118" i="8"/>
  <c r="AF86" i="8"/>
  <c r="AY101" i="8"/>
  <c r="AF66" i="9"/>
  <c r="AH73" i="7"/>
  <c r="AX97" i="9"/>
  <c r="AX38" i="8"/>
  <c r="AX33" i="7"/>
  <c r="AX49" i="8"/>
  <c r="AX73" i="8"/>
  <c r="AX69" i="9"/>
  <c r="AX106" i="9"/>
  <c r="AX23" i="9"/>
  <c r="AH26" i="7"/>
  <c r="AF29" i="7"/>
  <c r="AF69" i="8"/>
  <c r="AF30" i="7"/>
  <c r="AF32" i="7"/>
  <c r="AG75" i="7"/>
  <c r="AG56" i="7"/>
  <c r="AH62" i="9"/>
  <c r="AI62" i="9" s="1"/>
  <c r="AK62" i="9" s="1"/>
  <c r="AF44" i="9"/>
  <c r="AF148" i="7"/>
  <c r="AF144" i="7"/>
  <c r="AH50" i="7"/>
  <c r="AF42" i="8"/>
  <c r="AH111" i="8"/>
  <c r="AG26" i="9"/>
  <c r="AH107" i="7"/>
  <c r="AF99" i="8"/>
  <c r="AG137" i="7"/>
  <c r="AF20" i="7"/>
  <c r="AF65" i="8"/>
  <c r="AF111" i="9"/>
  <c r="AG107" i="7"/>
  <c r="AG47" i="7"/>
  <c r="AG39" i="8"/>
  <c r="AF34" i="9"/>
  <c r="AG67" i="7"/>
  <c r="AG49" i="8"/>
  <c r="AG32" i="9"/>
  <c r="AH114" i="9"/>
  <c r="AF17" i="8"/>
  <c r="AG15" i="9"/>
  <c r="AH112" i="8"/>
  <c r="AF152" i="8"/>
  <c r="AX151" i="9"/>
  <c r="AF90" i="7"/>
  <c r="AG114" i="7"/>
  <c r="AH144" i="9"/>
  <c r="AG55" i="7"/>
  <c r="AF61" i="7"/>
  <c r="AH119" i="9"/>
  <c r="AH47" i="8"/>
  <c r="AG86" i="8"/>
  <c r="AX105" i="8"/>
  <c r="AY134" i="8"/>
  <c r="AX155" i="7"/>
  <c r="AX70" i="8"/>
  <c r="AY70" i="8"/>
  <c r="AG111" i="9"/>
  <c r="AG34" i="9"/>
  <c r="AH67" i="7"/>
  <c r="AH99" i="9"/>
  <c r="AF114" i="9"/>
  <c r="AI114" i="9" s="1"/>
  <c r="AH15" i="9"/>
  <c r="AH10" i="8"/>
  <c r="AF112" i="8"/>
  <c r="AH103" i="9"/>
  <c r="AH81" i="7"/>
  <c r="AX88" i="9"/>
  <c r="AF46" i="9"/>
  <c r="AH149" i="7"/>
  <c r="AH33" i="7"/>
  <c r="AF143" i="9"/>
  <c r="AF47" i="8"/>
  <c r="AF77" i="9"/>
  <c r="AH43" i="9"/>
  <c r="AX123" i="7"/>
  <c r="AX34" i="9"/>
  <c r="AX94" i="7"/>
  <c r="AX142" i="9"/>
  <c r="AX91" i="8"/>
  <c r="AX37" i="7"/>
  <c r="AX28" i="9"/>
  <c r="AH33" i="9"/>
  <c r="AX73" i="9"/>
  <c r="AH102" i="9"/>
  <c r="AX54" i="9"/>
  <c r="AF48" i="9"/>
  <c r="AF47" i="7"/>
  <c r="AH47" i="7"/>
  <c r="AH125" i="8"/>
  <c r="AG91" i="8"/>
  <c r="AG122" i="8"/>
  <c r="AF32" i="9"/>
  <c r="AG114" i="9"/>
  <c r="AH17" i="8"/>
  <c r="AH72" i="9"/>
  <c r="AG10" i="8"/>
  <c r="AX27" i="8"/>
  <c r="AH135" i="9"/>
  <c r="AY38" i="7"/>
  <c r="AG54" i="8"/>
  <c r="AF85" i="7"/>
  <c r="AH100" i="9"/>
  <c r="AH136" i="9"/>
  <c r="AF149" i="7"/>
  <c r="AH123" i="7"/>
  <c r="AF110" i="9"/>
  <c r="AF12" i="9"/>
  <c r="AX106" i="8"/>
  <c r="AF23" i="7"/>
  <c r="AX27" i="9"/>
  <c r="AX135" i="9"/>
  <c r="AY135" i="9"/>
  <c r="AX84" i="7"/>
  <c r="AX63" i="8"/>
  <c r="AX116" i="9"/>
  <c r="AX138" i="8"/>
  <c r="AX24" i="8"/>
  <c r="AX121" i="7"/>
  <c r="AX141" i="8"/>
  <c r="AY141" i="8"/>
  <c r="AX14" i="9"/>
  <c r="AX91" i="9"/>
  <c r="AX122" i="9"/>
  <c r="AH77" i="9"/>
  <c r="AH115" i="7"/>
  <c r="AG116" i="8"/>
  <c r="AG67" i="8"/>
  <c r="AF130" i="8"/>
  <c r="AX77" i="9"/>
  <c r="AG117" i="7"/>
  <c r="AH151" i="9"/>
  <c r="AH134" i="9"/>
  <c r="AI134" i="9" s="1"/>
  <c r="AG70" i="8"/>
  <c r="AG89" i="8"/>
  <c r="AF146" i="7"/>
  <c r="AF82" i="8"/>
  <c r="AF108" i="7"/>
  <c r="AG88" i="8"/>
  <c r="AX26" i="7"/>
  <c r="AX19" i="7"/>
  <c r="AH117" i="7"/>
  <c r="AF108" i="9"/>
  <c r="AF95" i="7"/>
  <c r="AF116" i="7"/>
  <c r="AH41" i="9"/>
  <c r="AH64" i="9"/>
  <c r="AF26" i="8"/>
  <c r="AF117" i="9"/>
  <c r="AG44" i="8"/>
  <c r="AH119" i="7"/>
  <c r="AH125" i="7"/>
  <c r="AH145" i="8"/>
  <c r="AH67" i="8"/>
  <c r="AG148" i="9"/>
  <c r="AG34" i="8"/>
  <c r="AF63" i="8"/>
  <c r="AF52" i="7"/>
  <c r="AF109" i="9"/>
  <c r="AF103" i="8"/>
  <c r="AF104" i="7"/>
  <c r="AH18" i="8"/>
  <c r="AG108" i="7"/>
  <c r="AG120" i="8"/>
  <c r="AG73" i="9"/>
  <c r="AH88" i="8"/>
  <c r="AF116" i="9"/>
  <c r="AF34" i="7"/>
  <c r="AX87" i="8"/>
  <c r="AX52" i="7"/>
  <c r="AX102" i="9"/>
  <c r="AY74" i="7"/>
  <c r="AY24" i="8"/>
  <c r="AX131" i="8"/>
  <c r="AX60" i="7"/>
  <c r="AX35" i="7"/>
  <c r="AY121" i="9"/>
  <c r="AX78" i="9"/>
  <c r="AX29" i="7"/>
  <c r="AY16" i="9"/>
  <c r="AH89" i="8"/>
  <c r="AF78" i="8"/>
  <c r="AH150" i="8"/>
  <c r="AH115" i="8"/>
  <c r="AF90" i="8"/>
  <c r="AF155" i="9"/>
  <c r="AF119" i="7"/>
  <c r="AG32" i="7"/>
  <c r="AY104" i="8"/>
  <c r="AX60" i="9"/>
  <c r="AF11" i="9"/>
  <c r="AH37" i="7"/>
  <c r="AG108" i="9"/>
  <c r="AX15" i="9"/>
  <c r="AF38" i="7"/>
  <c r="AI38" i="7" s="1"/>
  <c r="AK38" i="7" s="1"/>
  <c r="AF48" i="8"/>
  <c r="AG72" i="8"/>
  <c r="AH155" i="7"/>
  <c r="AG72" i="7"/>
  <c r="AF120" i="9"/>
  <c r="AX98" i="8"/>
  <c r="AF27" i="9"/>
  <c r="AF120" i="8"/>
  <c r="AH29" i="7"/>
  <c r="AF25" i="7"/>
  <c r="AH140" i="7"/>
  <c r="AF73" i="9"/>
  <c r="AH140" i="9"/>
  <c r="AG60" i="7"/>
  <c r="AF100" i="8"/>
  <c r="AH69" i="7"/>
  <c r="AH66" i="9"/>
  <c r="AH142" i="7"/>
  <c r="AX105" i="9"/>
  <c r="AX136" i="9"/>
  <c r="AX74" i="7"/>
  <c r="AX64" i="9"/>
  <c r="AX156" i="7"/>
  <c r="AX69" i="7"/>
  <c r="AF38" i="8"/>
  <c r="AF134" i="8"/>
  <c r="AH118" i="9"/>
  <c r="AG64" i="9"/>
  <c r="AG63" i="7"/>
  <c r="AF26" i="7"/>
  <c r="AH129" i="8"/>
  <c r="AH148" i="9"/>
  <c r="AY114" i="7"/>
  <c r="AF133" i="9"/>
  <c r="AG29" i="7"/>
  <c r="AH60" i="7"/>
  <c r="AX58" i="7"/>
  <c r="AH75" i="9"/>
  <c r="AF43" i="9"/>
  <c r="AX42" i="8"/>
  <c r="AX66" i="9"/>
  <c r="AX94" i="8"/>
  <c r="AX111" i="7"/>
  <c r="AX83" i="9"/>
  <c r="AX110" i="9"/>
  <c r="AX138" i="9"/>
  <c r="AY138" i="9"/>
  <c r="AX132" i="9"/>
  <c r="AY20" i="7"/>
  <c r="AH13" i="9"/>
  <c r="AG73" i="8"/>
  <c r="AF37" i="7"/>
  <c r="AG125" i="7"/>
  <c r="AH40" i="9"/>
  <c r="AG155" i="7"/>
  <c r="AF116" i="8"/>
  <c r="AF80" i="8"/>
  <c r="AX93" i="9"/>
  <c r="AF92" i="8"/>
  <c r="AH55" i="7"/>
  <c r="AY20" i="9"/>
  <c r="AH54" i="7"/>
  <c r="AX148" i="7"/>
  <c r="AX65" i="7"/>
  <c r="AX134" i="9"/>
  <c r="AG30" i="8"/>
  <c r="AF137" i="7"/>
  <c r="AF55" i="7"/>
  <c r="AF14" i="9"/>
  <c r="AX31" i="7"/>
  <c r="AG148" i="8"/>
  <c r="AX84" i="8"/>
  <c r="AF122" i="9"/>
  <c r="AH13" i="7"/>
  <c r="AG152" i="7"/>
  <c r="AX9" i="9"/>
  <c r="AX53" i="7"/>
  <c r="AX135" i="7"/>
  <c r="AY73" i="9"/>
  <c r="AX62" i="8"/>
  <c r="AX100" i="8"/>
  <c r="AX42" i="9"/>
  <c r="AX120" i="7"/>
  <c r="AX28" i="8"/>
  <c r="AX19" i="9"/>
  <c r="AG105" i="8"/>
  <c r="AH54" i="8"/>
  <c r="AH120" i="8"/>
  <c r="AG140" i="7"/>
  <c r="AG137" i="9"/>
  <c r="AF39" i="9"/>
  <c r="AG65" i="7"/>
  <c r="AH87" i="9"/>
  <c r="AX118" i="8"/>
  <c r="AX36" i="8"/>
  <c r="AX55" i="9"/>
  <c r="AX115" i="9"/>
  <c r="AX50" i="9"/>
  <c r="AG55" i="9"/>
  <c r="AF125" i="8"/>
  <c r="AF91" i="8"/>
  <c r="AG52" i="9"/>
  <c r="AH87" i="8"/>
  <c r="AF139" i="8"/>
  <c r="AH157" i="8"/>
  <c r="AI157" i="8" s="1"/>
  <c r="AH24" i="8"/>
  <c r="AH110" i="7"/>
  <c r="AH30" i="8"/>
  <c r="AF81" i="9"/>
  <c r="AF83" i="9"/>
  <c r="AG125" i="8"/>
  <c r="AF141" i="8"/>
  <c r="AG145" i="7"/>
  <c r="AH36" i="7"/>
  <c r="AG110" i="8"/>
  <c r="AG69" i="8"/>
  <c r="AG84" i="8"/>
  <c r="AG19" i="7"/>
  <c r="AF49" i="7"/>
  <c r="AF144" i="9"/>
  <c r="AG14" i="9"/>
  <c r="AF33" i="7"/>
  <c r="AF23" i="9"/>
  <c r="AH11" i="7"/>
  <c r="AH104" i="9"/>
  <c r="AG93" i="8"/>
  <c r="AY115" i="8"/>
  <c r="AX110" i="8"/>
  <c r="AX82" i="9"/>
  <c r="AX125" i="7"/>
  <c r="AG60" i="8"/>
  <c r="AX18" i="9"/>
  <c r="AX18" i="8"/>
  <c r="AY18" i="8"/>
  <c r="AX23" i="7"/>
  <c r="AG9" i="8"/>
  <c r="AF71" i="7"/>
  <c r="AF154" i="7"/>
  <c r="AG124" i="9"/>
  <c r="AH9" i="8"/>
  <c r="AH90" i="7"/>
  <c r="AH46" i="7"/>
  <c r="AX76" i="8"/>
  <c r="AH120" i="9"/>
  <c r="AH60" i="9"/>
  <c r="AG141" i="8"/>
  <c r="AH91" i="8"/>
  <c r="AH69" i="8"/>
  <c r="AH70" i="9"/>
  <c r="AG43" i="7"/>
  <c r="AH66" i="7"/>
  <c r="AF138" i="8"/>
  <c r="AG144" i="9"/>
  <c r="AH14" i="9"/>
  <c r="AH106" i="8"/>
  <c r="AG33" i="7"/>
  <c r="AH81" i="9"/>
  <c r="AF113" i="8"/>
  <c r="AF18" i="9"/>
  <c r="AH65" i="8"/>
  <c r="AF70" i="8"/>
  <c r="AF93" i="9"/>
  <c r="AF16" i="8"/>
  <c r="AF68" i="8"/>
  <c r="AX51" i="9"/>
  <c r="AF70" i="9"/>
  <c r="AH36" i="8"/>
  <c r="AG76" i="8"/>
  <c r="AF66" i="7"/>
  <c r="AH19" i="7"/>
  <c r="AG114" i="8"/>
  <c r="AG138" i="8"/>
  <c r="AH35" i="8"/>
  <c r="AF21" i="9"/>
  <c r="AG106" i="8"/>
  <c r="AG151" i="7"/>
  <c r="AX24" i="7"/>
  <c r="AH61" i="7"/>
  <c r="AH116" i="9"/>
  <c r="AF157" i="9"/>
  <c r="AF59" i="7"/>
  <c r="AX12" i="7"/>
  <c r="AY91" i="9"/>
  <c r="AX102" i="7"/>
  <c r="AX48" i="7"/>
  <c r="AX17" i="7"/>
  <c r="AX145" i="8"/>
  <c r="AX95" i="7"/>
  <c r="AY113" i="9"/>
  <c r="AX148" i="8"/>
  <c r="AH48" i="9"/>
  <c r="AX15" i="8"/>
  <c r="AG15" i="8"/>
  <c r="AH116" i="8"/>
  <c r="AH147" i="8"/>
  <c r="AG131" i="9"/>
  <c r="AX116" i="8"/>
  <c r="AF155" i="7"/>
  <c r="AF51" i="9"/>
  <c r="AF96" i="9"/>
  <c r="AY131" i="7"/>
  <c r="AX61" i="9"/>
  <c r="AX129" i="8"/>
  <c r="AF72" i="8"/>
  <c r="AH78" i="8"/>
  <c r="AG12" i="9"/>
  <c r="AY104" i="7"/>
  <c r="AY108" i="9"/>
  <c r="AH63" i="7"/>
  <c r="AH52" i="8"/>
  <c r="AG100" i="9"/>
  <c r="AH50" i="8"/>
  <c r="AG104" i="9"/>
  <c r="AH137" i="7"/>
  <c r="AH93" i="9"/>
  <c r="AX58" i="8"/>
  <c r="AF8" i="9"/>
  <c r="AF51" i="7"/>
  <c r="AH143" i="8"/>
  <c r="AI143" i="8" s="1"/>
  <c r="AG113" i="8"/>
  <c r="AG19" i="9"/>
  <c r="AF49" i="8"/>
  <c r="AH8" i="9"/>
  <c r="AF99" i="9"/>
  <c r="AH68" i="8"/>
  <c r="AF15" i="9"/>
  <c r="AX126" i="9"/>
  <c r="AG70" i="9"/>
  <c r="AH132" i="9"/>
  <c r="AF103" i="9"/>
  <c r="AF43" i="7"/>
  <c r="AH62" i="8"/>
  <c r="AG113" i="9"/>
  <c r="AG149" i="9"/>
  <c r="AF29" i="9"/>
  <c r="AG86" i="9"/>
  <c r="AF118" i="8"/>
  <c r="AH44" i="7"/>
  <c r="AG59" i="7"/>
  <c r="AH23" i="7"/>
  <c r="AG34" i="7"/>
  <c r="AX26" i="8"/>
  <c r="AX90" i="8"/>
  <c r="AX107" i="9"/>
  <c r="AX124" i="9"/>
  <c r="AX140" i="9"/>
  <c r="AX61" i="7"/>
  <c r="AG81" i="7"/>
  <c r="AG49" i="7"/>
  <c r="AH70" i="7"/>
  <c r="AH11" i="9"/>
  <c r="AX150" i="7"/>
  <c r="AF82" i="7"/>
  <c r="AG44" i="9"/>
  <c r="AY24" i="7"/>
  <c r="AH105" i="8"/>
  <c r="AF117" i="8"/>
  <c r="AG23" i="7"/>
  <c r="AH154" i="8"/>
  <c r="AF120" i="7"/>
  <c r="AI120" i="7" s="1"/>
  <c r="AG119" i="8"/>
  <c r="AH61" i="9"/>
  <c r="AG70" i="7"/>
  <c r="AH46" i="8"/>
  <c r="AG95" i="7"/>
  <c r="AG51" i="9"/>
  <c r="AF122" i="7"/>
  <c r="AF72" i="7"/>
  <c r="AX57" i="8"/>
  <c r="AF13" i="7"/>
  <c r="AX8" i="8"/>
  <c r="AG132" i="8"/>
  <c r="AX137" i="9"/>
  <c r="AY137" i="9"/>
  <c r="AG53" i="8"/>
  <c r="AX137" i="7"/>
  <c r="AX62" i="7"/>
  <c r="AX72" i="7"/>
  <c r="AX95" i="9"/>
  <c r="AX110" i="7"/>
  <c r="AX82" i="7"/>
  <c r="AX149" i="8"/>
  <c r="AF84" i="7"/>
  <c r="AI84" i="7" s="1"/>
  <c r="AH52" i="7"/>
  <c r="AH105" i="7"/>
  <c r="AX66" i="7"/>
  <c r="AX67" i="9"/>
  <c r="AY67" i="9"/>
  <c r="AX126" i="7"/>
  <c r="AX86" i="9"/>
  <c r="AH62" i="7"/>
  <c r="AF40" i="9"/>
  <c r="AX131" i="9"/>
  <c r="AX135" i="8"/>
  <c r="AH48" i="7"/>
  <c r="AI48" i="7" s="1"/>
  <c r="AX64" i="8"/>
  <c r="AF41" i="9"/>
  <c r="AF126" i="9"/>
  <c r="AX71" i="8"/>
  <c r="AF132" i="9"/>
  <c r="AF25" i="9"/>
  <c r="AX108" i="8"/>
  <c r="AY108" i="8"/>
  <c r="AG139" i="8"/>
  <c r="AG144" i="8"/>
  <c r="AG55" i="8"/>
  <c r="AF145" i="8"/>
  <c r="AH122" i="7"/>
  <c r="AG52" i="7"/>
  <c r="AF68" i="9"/>
  <c r="AG121" i="7"/>
  <c r="AG125" i="9"/>
  <c r="AF98" i="7"/>
  <c r="AY29" i="9"/>
  <c r="AF134" i="7"/>
  <c r="AH29" i="9"/>
  <c r="AH122" i="9"/>
  <c r="AX89" i="8"/>
  <c r="AF63" i="9"/>
  <c r="AH93" i="7"/>
  <c r="AG128" i="8"/>
  <c r="AF109" i="8"/>
  <c r="AH130" i="9"/>
  <c r="AX16" i="8"/>
  <c r="AY34" i="9"/>
  <c r="AX96" i="9"/>
  <c r="AX149" i="7"/>
  <c r="AF152" i="9"/>
  <c r="AF123" i="7"/>
  <c r="AG63" i="9"/>
  <c r="AG77" i="9"/>
  <c r="AG54" i="7"/>
  <c r="AF130" i="9"/>
  <c r="AX78" i="7"/>
  <c r="AF98" i="9"/>
  <c r="AY43" i="9"/>
  <c r="AY53" i="7"/>
  <c r="AX99" i="8"/>
  <c r="AX145" i="7"/>
  <c r="AX137" i="8"/>
  <c r="AX50" i="8"/>
  <c r="AF138" i="9"/>
  <c r="AG11" i="9"/>
  <c r="AH47" i="9"/>
  <c r="AF53" i="8"/>
  <c r="AG22" i="9"/>
  <c r="AX115" i="7"/>
  <c r="AF62" i="7"/>
  <c r="AH145" i="7"/>
  <c r="AX128" i="9"/>
  <c r="AX125" i="9"/>
  <c r="AF144" i="8"/>
  <c r="AG79" i="8"/>
  <c r="AG145" i="8"/>
  <c r="AH151" i="8"/>
  <c r="AG46" i="9"/>
  <c r="AH60" i="8"/>
  <c r="AG131" i="7"/>
  <c r="AH154" i="7"/>
  <c r="AH34" i="9"/>
  <c r="AG8" i="8"/>
  <c r="AH43" i="8"/>
  <c r="AX17" i="9"/>
  <c r="AG135" i="7"/>
  <c r="AY146" i="7"/>
  <c r="AF24" i="7"/>
  <c r="AF94" i="8"/>
  <c r="AH43" i="7"/>
  <c r="AF62" i="8"/>
  <c r="AG142" i="8"/>
  <c r="AF79" i="8"/>
  <c r="AG52" i="8"/>
  <c r="AX142" i="8"/>
  <c r="AF151" i="8"/>
  <c r="AF65" i="7"/>
  <c r="AX117" i="8"/>
  <c r="AX27" i="7"/>
  <c r="AH130" i="7"/>
  <c r="AF136" i="7"/>
  <c r="AH131" i="7"/>
  <c r="AG69" i="7"/>
  <c r="AG130" i="9"/>
  <c r="AF142" i="7"/>
  <c r="AX31" i="8"/>
  <c r="AX92" i="7"/>
  <c r="AX66" i="8"/>
  <c r="AX14" i="8"/>
  <c r="AY14" i="8"/>
  <c r="AX98" i="7"/>
  <c r="AY70" i="9"/>
  <c r="AF46" i="8"/>
  <c r="AH112" i="7"/>
  <c r="AF55" i="8"/>
  <c r="AF110" i="7"/>
  <c r="AF147" i="9"/>
  <c r="AF43" i="8"/>
  <c r="AH105" i="9"/>
  <c r="AI105" i="9" s="1"/>
  <c r="AH52" i="9"/>
  <c r="AF17" i="7"/>
  <c r="AG126" i="8"/>
  <c r="AH142" i="8"/>
  <c r="AH74" i="7"/>
  <c r="AG82" i="9"/>
  <c r="AG151" i="8"/>
  <c r="AF86" i="7"/>
  <c r="AG127" i="7"/>
  <c r="AG35" i="9"/>
  <c r="AG109" i="9"/>
  <c r="AG136" i="7"/>
  <c r="AH37" i="8"/>
  <c r="AY25" i="8"/>
  <c r="AG142" i="7"/>
  <c r="AX49" i="9"/>
  <c r="AX105" i="7"/>
  <c r="AG110" i="7"/>
  <c r="AX22" i="8"/>
  <c r="AH108" i="9"/>
  <c r="AG156" i="9"/>
  <c r="AF113" i="9"/>
  <c r="AY126" i="8"/>
  <c r="AF19" i="7"/>
  <c r="AF107" i="9"/>
  <c r="AX118" i="7"/>
  <c r="AF92" i="9"/>
  <c r="AI92" i="9" s="1"/>
  <c r="AF31" i="7"/>
  <c r="AX119" i="8"/>
  <c r="AH93" i="8"/>
  <c r="AF115" i="7"/>
  <c r="AG100" i="8"/>
  <c r="AX153" i="7"/>
  <c r="AX53" i="9"/>
  <c r="AX104" i="9"/>
  <c r="AX134" i="7"/>
  <c r="AH58" i="7"/>
  <c r="AG110" i="9"/>
  <c r="AH50" i="9"/>
  <c r="AI50" i="9" s="1"/>
  <c r="AX147" i="8"/>
  <c r="AF93" i="8"/>
  <c r="AG115" i="7"/>
  <c r="AG43" i="9"/>
  <c r="AX128" i="7"/>
  <c r="AI56" i="9"/>
  <c r="AK56" i="9" s="1"/>
  <c r="AM56" i="9" s="1"/>
  <c r="AX73" i="7"/>
  <c r="AX67" i="7"/>
  <c r="AI77" i="7"/>
  <c r="AK77" i="7" s="1"/>
  <c r="AM77" i="7" s="1"/>
  <c r="AX32" i="9"/>
  <c r="AY14" i="9"/>
  <c r="AF35" i="7"/>
  <c r="AI35" i="7" s="1"/>
  <c r="AH17" i="7"/>
  <c r="AH19" i="8"/>
  <c r="AG95" i="8"/>
  <c r="AG65" i="9"/>
  <c r="AF35" i="9"/>
  <c r="AH124" i="9"/>
  <c r="AG93" i="9"/>
  <c r="AG78" i="7"/>
  <c r="AF36" i="9"/>
  <c r="AG146" i="7"/>
  <c r="AF97" i="9"/>
  <c r="AH49" i="9"/>
  <c r="AH111" i="7"/>
  <c r="AH110" i="9"/>
  <c r="AH31" i="7"/>
  <c r="AG139" i="7"/>
  <c r="AY11" i="9"/>
  <c r="AX44" i="7"/>
  <c r="AH51" i="7"/>
  <c r="AF87" i="8"/>
  <c r="AG117" i="9"/>
  <c r="AX156" i="9"/>
  <c r="AG151" i="9"/>
  <c r="AH16" i="8"/>
  <c r="AG87" i="8"/>
  <c r="AY119" i="7"/>
  <c r="AH121" i="9"/>
  <c r="AF114" i="8"/>
  <c r="AG79" i="9"/>
  <c r="AF139" i="9"/>
  <c r="AF87" i="9"/>
  <c r="AH133" i="9"/>
  <c r="AX25" i="9"/>
  <c r="AY11" i="8"/>
  <c r="AG47" i="8"/>
  <c r="AG46" i="7"/>
  <c r="AH139" i="7"/>
  <c r="AG116" i="9"/>
  <c r="AH83" i="8"/>
  <c r="AY46" i="9"/>
  <c r="AX52" i="9"/>
  <c r="AX60" i="8"/>
  <c r="AX114" i="9"/>
  <c r="AY149" i="7"/>
  <c r="AY47" i="8"/>
  <c r="AG60" i="9"/>
  <c r="AX129" i="9"/>
  <c r="AF30" i="9"/>
  <c r="AF110" i="8"/>
  <c r="AF124" i="9"/>
  <c r="AG102" i="9"/>
  <c r="AX37" i="8"/>
  <c r="AX154" i="8"/>
  <c r="AF142" i="9"/>
  <c r="AH11" i="8"/>
  <c r="AH110" i="8"/>
  <c r="AX124" i="8"/>
  <c r="AG13" i="8"/>
  <c r="AF135" i="9"/>
  <c r="AX38" i="7"/>
  <c r="AG42" i="8"/>
  <c r="AG66" i="8"/>
  <c r="AH114" i="8"/>
  <c r="AF74" i="9"/>
  <c r="AH79" i="9"/>
  <c r="AG120" i="9"/>
  <c r="AH67" i="9"/>
  <c r="AH82" i="8"/>
  <c r="AG133" i="9"/>
  <c r="AY48" i="8"/>
  <c r="AX71" i="9"/>
  <c r="AY48" i="7"/>
  <c r="AG99" i="8"/>
  <c r="AH121" i="8"/>
  <c r="AH39" i="9"/>
  <c r="AX123" i="9"/>
  <c r="AF148" i="8"/>
  <c r="AF78" i="9"/>
  <c r="AF154" i="9"/>
  <c r="AF60" i="9"/>
  <c r="AF121" i="8"/>
  <c r="AX10" i="7"/>
  <c r="AG147" i="9"/>
  <c r="AF19" i="9"/>
  <c r="AG22" i="7"/>
  <c r="AH56" i="8"/>
  <c r="AX33" i="8"/>
  <c r="AY68" i="8"/>
  <c r="AF150" i="9"/>
  <c r="AG30" i="7"/>
  <c r="AH31" i="8"/>
  <c r="AI31" i="8" s="1"/>
  <c r="AG152" i="8"/>
  <c r="AF81" i="7"/>
  <c r="AF66" i="8"/>
  <c r="AF12" i="8"/>
  <c r="AX107" i="8"/>
  <c r="AH96" i="9"/>
  <c r="AG86" i="7"/>
  <c r="AF50" i="8"/>
  <c r="AH151" i="7"/>
  <c r="AF58" i="7"/>
  <c r="AX40" i="8"/>
  <c r="AY40" i="8"/>
  <c r="AX72" i="8"/>
  <c r="AX13" i="7"/>
  <c r="AG78" i="9"/>
  <c r="AX139" i="7"/>
  <c r="AF107" i="7"/>
  <c r="AG81" i="9"/>
  <c r="AF151" i="9"/>
  <c r="AG121" i="8"/>
  <c r="AH147" i="9"/>
  <c r="AF95" i="9"/>
  <c r="AG39" i="9"/>
  <c r="AG112" i="7"/>
  <c r="AH22" i="7"/>
  <c r="AH150" i="9"/>
  <c r="AG155" i="9"/>
  <c r="AX154" i="7"/>
  <c r="AG94" i="8"/>
  <c r="AF89" i="9"/>
  <c r="AF54" i="8"/>
  <c r="AH152" i="8"/>
  <c r="AH66" i="8"/>
  <c r="AH86" i="7"/>
  <c r="AY103" i="7"/>
  <c r="AG28" i="8"/>
  <c r="AF60" i="8"/>
  <c r="AG50" i="8"/>
  <c r="AF136" i="9"/>
  <c r="AG149" i="7"/>
  <c r="AG132" i="7"/>
  <c r="AF49" i="9"/>
  <c r="AG58" i="7"/>
  <c r="AX104" i="8"/>
  <c r="AH75" i="7"/>
  <c r="AF71" i="8"/>
  <c r="AF103" i="7"/>
  <c r="AI103" i="7" s="1"/>
  <c r="AK103" i="7" s="1"/>
  <c r="AN103" i="7" s="1"/>
  <c r="AX152" i="8"/>
  <c r="AF69" i="7"/>
  <c r="AH78" i="9"/>
  <c r="AH53" i="8"/>
  <c r="AX150" i="8"/>
  <c r="AY110" i="8"/>
  <c r="AH85" i="8"/>
  <c r="AH89" i="9"/>
  <c r="AH27" i="7"/>
  <c r="AI27" i="7" s="1"/>
  <c r="AK27" i="7" s="1"/>
  <c r="AM27" i="7" s="1"/>
  <c r="AX21" i="9"/>
  <c r="AX85" i="7"/>
  <c r="AH146" i="9"/>
  <c r="AG68" i="8"/>
  <c r="AG24" i="7"/>
  <c r="AG129" i="7"/>
  <c r="AF45" i="9"/>
  <c r="AX81" i="7"/>
  <c r="AH23" i="8"/>
  <c r="AX45" i="7"/>
  <c r="AH40" i="8"/>
  <c r="AF145" i="7"/>
  <c r="AX156" i="8"/>
  <c r="AX129" i="7"/>
  <c r="AG98" i="9"/>
  <c r="AX55" i="8"/>
  <c r="AF80" i="9"/>
  <c r="AF52" i="8"/>
  <c r="AG144" i="7"/>
  <c r="AF36" i="7"/>
  <c r="AH106" i="7"/>
  <c r="AG37" i="8"/>
  <c r="AX87" i="9"/>
  <c r="AX149" i="9"/>
  <c r="AG20" i="7"/>
  <c r="AI20" i="7" s="1"/>
  <c r="AX103" i="8"/>
  <c r="AG36" i="7"/>
  <c r="AH72" i="7"/>
  <c r="AH146" i="7"/>
  <c r="AX41" i="7"/>
  <c r="AY41" i="7"/>
  <c r="AX116" i="7"/>
  <c r="AH147" i="7"/>
  <c r="AG157" i="9"/>
  <c r="AX70" i="7"/>
  <c r="AG62" i="7"/>
  <c r="AX80" i="9"/>
  <c r="AF61" i="9"/>
  <c r="AG18" i="9"/>
  <c r="AF53" i="7"/>
  <c r="AH27" i="8"/>
  <c r="AX146" i="7"/>
  <c r="AG134" i="8"/>
  <c r="AX111" i="9"/>
  <c r="AF36" i="8"/>
  <c r="AH76" i="8"/>
  <c r="AH54" i="9"/>
  <c r="AF50" i="7"/>
  <c r="AF34" i="8"/>
  <c r="AX127" i="9"/>
  <c r="AH107" i="8"/>
  <c r="AF67" i="9"/>
  <c r="AF102" i="7"/>
  <c r="AH98" i="7"/>
  <c r="AF45" i="7"/>
  <c r="AG115" i="9"/>
  <c r="AG148" i="7"/>
  <c r="AG53" i="9"/>
  <c r="AG111" i="7"/>
  <c r="AY144" i="7"/>
  <c r="AH86" i="9"/>
  <c r="AG135" i="8"/>
  <c r="AG96" i="7"/>
  <c r="AF93" i="7"/>
  <c r="AH157" i="9"/>
  <c r="AG45" i="8"/>
  <c r="AF73" i="7"/>
  <c r="AY25" i="7"/>
  <c r="AX43" i="7"/>
  <c r="AH48" i="8"/>
  <c r="AG66" i="9"/>
  <c r="AX107" i="7"/>
  <c r="AY107" i="7"/>
  <c r="AG154" i="8"/>
  <c r="AH95" i="8"/>
  <c r="AF153" i="7"/>
  <c r="AF74" i="7"/>
  <c r="AX54" i="8"/>
  <c r="AX90" i="9"/>
  <c r="AG153" i="7"/>
  <c r="AH64" i="8"/>
  <c r="AH82" i="9"/>
  <c r="AH115" i="9"/>
  <c r="AF53" i="9"/>
  <c r="AF57" i="9"/>
  <c r="AH92" i="7"/>
  <c r="AF150" i="8"/>
  <c r="AF45" i="8"/>
  <c r="AG29" i="8"/>
  <c r="AX46" i="7"/>
  <c r="AX15" i="7"/>
  <c r="AH14" i="8"/>
  <c r="AF14" i="8"/>
  <c r="AH90" i="8"/>
  <c r="AF91" i="9"/>
  <c r="AI91" i="9" s="1"/>
  <c r="AH18" i="9"/>
  <c r="AG53" i="7"/>
  <c r="AG27" i="8"/>
  <c r="AF15" i="8"/>
  <c r="AH72" i="8"/>
  <c r="AX47" i="9"/>
  <c r="AH25" i="9"/>
  <c r="AY138" i="7"/>
  <c r="AG129" i="8"/>
  <c r="AX28" i="7"/>
  <c r="AH85" i="7"/>
  <c r="AH33" i="8"/>
  <c r="AG67" i="9"/>
  <c r="AG102" i="7"/>
  <c r="AG98" i="7"/>
  <c r="AF115" i="9"/>
  <c r="AX103" i="9"/>
  <c r="AH148" i="7"/>
  <c r="AX131" i="7"/>
  <c r="AX75" i="7"/>
  <c r="AF59" i="9"/>
  <c r="AF132" i="8"/>
  <c r="AF44" i="7"/>
  <c r="AH150" i="7"/>
  <c r="AH37" i="9"/>
  <c r="AF126" i="7"/>
  <c r="AG41" i="9"/>
  <c r="AX86" i="7"/>
  <c r="AF84" i="8"/>
  <c r="AX89" i="9"/>
  <c r="AH53" i="7"/>
  <c r="AG16" i="8"/>
  <c r="AF107" i="8"/>
  <c r="AH64" i="7"/>
  <c r="AH137" i="8"/>
  <c r="AF152" i="7"/>
  <c r="AG128" i="7"/>
  <c r="AX41" i="8"/>
  <c r="AG96" i="8"/>
  <c r="AH76" i="7"/>
  <c r="AH59" i="9"/>
  <c r="AH128" i="8"/>
  <c r="AF143" i="7"/>
  <c r="AH128" i="7"/>
  <c r="AF112" i="9"/>
  <c r="AG156" i="7"/>
  <c r="AX33" i="9"/>
  <c r="AF37" i="9"/>
  <c r="AX40" i="7"/>
  <c r="AY49" i="7"/>
  <c r="AX95" i="8"/>
  <c r="AG103" i="8"/>
  <c r="AF92" i="7"/>
  <c r="AX45" i="8"/>
  <c r="AX11" i="7"/>
  <c r="AH53" i="9"/>
  <c r="AG57" i="9"/>
  <c r="AG92" i="7"/>
  <c r="AG93" i="7"/>
  <c r="AG150" i="8"/>
  <c r="AH45" i="8"/>
  <c r="AY51" i="9"/>
  <c r="AF59" i="8"/>
  <c r="AX81" i="8"/>
  <c r="AY81" i="8"/>
  <c r="AF27" i="8"/>
  <c r="AG87" i="7"/>
  <c r="AX112" i="8"/>
  <c r="AF64" i="9"/>
  <c r="AH26" i="8"/>
  <c r="AF121" i="9"/>
  <c r="AF33" i="8"/>
  <c r="AF149" i="9"/>
  <c r="AX25" i="8"/>
  <c r="AG59" i="9"/>
  <c r="AF128" i="9"/>
  <c r="AF156" i="7"/>
  <c r="AG37" i="9"/>
  <c r="AG126" i="7"/>
  <c r="AX93" i="7"/>
  <c r="AF84" i="9"/>
  <c r="AH94" i="7"/>
  <c r="AG16" i="9"/>
  <c r="AH123" i="9"/>
  <c r="AG38" i="9"/>
  <c r="AX53" i="8"/>
  <c r="AY53" i="8"/>
  <c r="AH15" i="8"/>
  <c r="AX151" i="7"/>
  <c r="AX112" i="9"/>
  <c r="AX113" i="9"/>
  <c r="AG25" i="9"/>
  <c r="AX152" i="7"/>
  <c r="AH57" i="8"/>
  <c r="AG121" i="9"/>
  <c r="AH42" i="8"/>
  <c r="AG66" i="7"/>
  <c r="AG63" i="8"/>
  <c r="AH65" i="9"/>
  <c r="AH127" i="7"/>
  <c r="AX123" i="8"/>
  <c r="AG21" i="9"/>
  <c r="AX22" i="9"/>
  <c r="AG139" i="9"/>
  <c r="AG71" i="7"/>
  <c r="AH149" i="9"/>
  <c r="AH97" i="9"/>
  <c r="AF64" i="7"/>
  <c r="AX64" i="7"/>
  <c r="AG104" i="7"/>
  <c r="AX29" i="9"/>
  <c r="AX56" i="9"/>
  <c r="AF145" i="9"/>
  <c r="AX11" i="8"/>
  <c r="AG84" i="9"/>
  <c r="AG51" i="7"/>
  <c r="AG24" i="8"/>
  <c r="AH16" i="9"/>
  <c r="AX63" i="9"/>
  <c r="AH38" i="9"/>
  <c r="AH55" i="9"/>
  <c r="AH141" i="8"/>
  <c r="AG149" i="8"/>
  <c r="AF89" i="8"/>
  <c r="AF67" i="7"/>
  <c r="AF126" i="8"/>
  <c r="AX11" i="9"/>
  <c r="AH30" i="7"/>
  <c r="AX56" i="8"/>
  <c r="AX97" i="8"/>
  <c r="AF65" i="9"/>
  <c r="AF127" i="7"/>
  <c r="AX20" i="9"/>
  <c r="AF105" i="7"/>
  <c r="AH139" i="9"/>
  <c r="AH71" i="7"/>
  <c r="AG97" i="9"/>
  <c r="AH152" i="9"/>
  <c r="AH25" i="8"/>
  <c r="AX112" i="7"/>
  <c r="AG140" i="9"/>
  <c r="AX30" i="7"/>
  <c r="AG71" i="9"/>
  <c r="AF128" i="8"/>
  <c r="AH128" i="9"/>
  <c r="AX9" i="7"/>
  <c r="AH156" i="7"/>
  <c r="AH154" i="9"/>
  <c r="AX17" i="8"/>
  <c r="AY62" i="7"/>
  <c r="AX136" i="7"/>
  <c r="AI91" i="7"/>
  <c r="AX118" i="9"/>
  <c r="AF124" i="7"/>
  <c r="AH143" i="7"/>
  <c r="AX143" i="9"/>
  <c r="AH145" i="9"/>
  <c r="AH96" i="7"/>
  <c r="AX52" i="8"/>
  <c r="AI107" i="9"/>
  <c r="AX132" i="8"/>
  <c r="AF10" i="7"/>
  <c r="AF75" i="7"/>
  <c r="AI9" i="7"/>
  <c r="AK9" i="7" s="1"/>
  <c r="AH119" i="8"/>
  <c r="AX141" i="9"/>
  <c r="AH134" i="8"/>
  <c r="AX20" i="8"/>
  <c r="AX157" i="7"/>
  <c r="AX31" i="9"/>
  <c r="AX119" i="7"/>
  <c r="AG20" i="8"/>
  <c r="AH35" i="9"/>
  <c r="AH88" i="9"/>
  <c r="AI82" i="8"/>
  <c r="AG145" i="9"/>
  <c r="AI100" i="7"/>
  <c r="AK100" i="7" s="1"/>
  <c r="AI109" i="7"/>
  <c r="AX76" i="9"/>
  <c r="AF137" i="9"/>
  <c r="AF149" i="8"/>
  <c r="AF64" i="8"/>
  <c r="F47" i="4"/>
  <c r="C8" i="6" s="1"/>
  <c r="C10" i="6" s="1"/>
  <c r="C6" i="6"/>
  <c r="AH20" i="8"/>
  <c r="AX29" i="8"/>
  <c r="AI73" i="9"/>
  <c r="AX130" i="7"/>
  <c r="AX124" i="7"/>
  <c r="AX147" i="7"/>
  <c r="AY147" i="7"/>
  <c r="AG143" i="7"/>
  <c r="AH51" i="9"/>
  <c r="AI21" i="7"/>
  <c r="AG122" i="7"/>
  <c r="AG116" i="7"/>
  <c r="AX97" i="7"/>
  <c r="AH116" i="7"/>
  <c r="AX19" i="8"/>
  <c r="AG119" i="7"/>
  <c r="AX141" i="7"/>
  <c r="AG89" i="9"/>
  <c r="F47" i="3"/>
  <c r="B8" i="6" s="1"/>
  <c r="B6" i="6"/>
  <c r="AH9" i="9"/>
  <c r="AX59" i="8"/>
  <c r="AH68" i="9"/>
  <c r="AX152" i="9"/>
  <c r="AH141" i="9"/>
  <c r="AX35" i="8"/>
  <c r="AG31" i="7"/>
  <c r="AH22" i="8"/>
  <c r="AX80" i="7"/>
  <c r="AF22" i="9"/>
  <c r="AX126" i="8"/>
  <c r="AG123" i="8"/>
  <c r="AH104" i="7"/>
  <c r="AF142" i="8"/>
  <c r="AG124" i="7"/>
  <c r="AH97" i="7"/>
  <c r="AH124" i="7"/>
  <c r="AG37" i="7"/>
  <c r="AX146" i="8"/>
  <c r="AF146" i="8"/>
  <c r="AX101" i="7"/>
  <c r="AF101" i="7"/>
  <c r="AX8" i="7"/>
  <c r="AF8" i="7"/>
  <c r="AG90" i="7"/>
  <c r="AX25" i="7"/>
  <c r="AX13" i="8"/>
  <c r="AF141" i="9"/>
  <c r="AX101" i="8"/>
  <c r="AG22" i="8"/>
  <c r="AH124" i="8"/>
  <c r="AF29" i="8"/>
  <c r="AI41" i="7"/>
  <c r="AF123" i="8"/>
  <c r="AH126" i="8"/>
  <c r="AX91" i="7"/>
  <c r="AK99" i="7"/>
  <c r="AL99" i="7" s="1"/>
  <c r="AH79" i="8"/>
  <c r="AX80" i="8"/>
  <c r="AX14" i="7"/>
  <c r="AF14" i="7"/>
  <c r="AX51" i="8"/>
  <c r="AF51" i="8"/>
  <c r="AG30" i="9"/>
  <c r="AX134" i="8"/>
  <c r="AX79" i="8"/>
  <c r="AI42" i="7"/>
  <c r="AK42" i="7" s="1"/>
  <c r="AH63" i="9"/>
  <c r="AF22" i="8"/>
  <c r="AF124" i="8"/>
  <c r="AX113" i="7"/>
  <c r="AH30" i="9"/>
  <c r="AX24" i="9"/>
  <c r="AX89" i="7"/>
  <c r="AF89" i="7"/>
  <c r="AH13" i="8"/>
  <c r="AI148" i="9"/>
  <c r="AH80" i="8"/>
  <c r="AX42" i="7"/>
  <c r="AY42" i="7"/>
  <c r="AX104" i="7"/>
  <c r="AF37" i="8"/>
  <c r="AH132" i="8"/>
  <c r="AX39" i="7"/>
  <c r="AH29" i="8"/>
  <c r="AG48" i="9"/>
  <c r="AG59" i="8"/>
  <c r="AF31" i="9"/>
  <c r="AG68" i="9"/>
  <c r="AF154" i="8"/>
  <c r="AX16" i="7"/>
  <c r="AH108" i="8"/>
  <c r="AX96" i="7"/>
  <c r="AX58" i="9"/>
  <c r="AH17" i="9"/>
  <c r="AH31" i="9"/>
  <c r="AH75" i="8"/>
  <c r="AX23" i="8"/>
  <c r="AG76" i="9"/>
  <c r="AG33" i="9"/>
  <c r="AG104" i="8"/>
  <c r="AF129" i="9"/>
  <c r="AH101" i="9"/>
  <c r="AX87" i="7"/>
  <c r="AG11" i="7"/>
  <c r="AF20" i="9"/>
  <c r="AH71" i="8"/>
  <c r="AX48" i="9"/>
  <c r="AH101" i="8"/>
  <c r="AG75" i="9"/>
  <c r="AG58" i="9"/>
  <c r="AH127" i="9"/>
  <c r="AH123" i="8"/>
  <c r="AG124" i="8"/>
  <c r="AI32" i="8"/>
  <c r="AF17" i="9"/>
  <c r="AG129" i="9"/>
  <c r="AX121" i="8"/>
  <c r="AG25" i="7"/>
  <c r="AX130" i="9"/>
  <c r="AG90" i="9"/>
  <c r="AF38" i="9"/>
  <c r="AH61" i="8"/>
  <c r="AX84" i="9"/>
  <c r="AX133" i="9"/>
  <c r="AG31" i="9"/>
  <c r="AG130" i="7"/>
  <c r="AG71" i="8"/>
  <c r="AX68" i="8"/>
  <c r="AF118" i="9"/>
  <c r="AG39" i="7"/>
  <c r="AX114" i="7"/>
  <c r="AX154" i="9"/>
  <c r="AG127" i="8"/>
  <c r="AH153" i="9"/>
  <c r="AG123" i="9"/>
  <c r="AX75" i="9"/>
  <c r="AY75" i="9"/>
  <c r="AX147" i="9"/>
  <c r="AX16" i="9"/>
  <c r="AG61" i="8"/>
  <c r="AH21" i="8"/>
  <c r="AF56" i="8"/>
  <c r="AX59" i="9"/>
  <c r="AG126" i="9"/>
  <c r="AF24" i="9"/>
  <c r="AG108" i="8"/>
  <c r="AI116" i="8"/>
  <c r="AH78" i="7"/>
  <c r="AF85" i="9"/>
  <c r="AX43" i="8"/>
  <c r="AY43" i="8"/>
  <c r="AX133" i="7"/>
  <c r="AH36" i="9"/>
  <c r="AX37" i="9"/>
  <c r="AY37" i="9"/>
  <c r="AF75" i="8"/>
  <c r="AG12" i="8"/>
  <c r="AX35" i="9"/>
  <c r="AF130" i="7"/>
  <c r="AH76" i="9"/>
  <c r="AF153" i="8"/>
  <c r="AF16" i="7"/>
  <c r="AH104" i="8"/>
  <c r="AG101" i="9"/>
  <c r="AX155" i="9"/>
  <c r="AX144" i="7"/>
  <c r="AX39" i="9"/>
  <c r="AH143" i="9"/>
  <c r="AH20" i="9"/>
  <c r="AX139" i="8"/>
  <c r="AX48" i="8"/>
  <c r="AG101" i="8"/>
  <c r="AF75" i="9"/>
  <c r="AH58" i="9"/>
  <c r="AX46" i="9"/>
  <c r="AF127" i="9"/>
  <c r="AI133" i="7"/>
  <c r="AX153" i="8"/>
  <c r="AX61" i="8"/>
  <c r="AG17" i="9"/>
  <c r="AH46" i="9"/>
  <c r="AH129" i="9"/>
  <c r="AH25" i="7"/>
  <c r="AG127" i="9"/>
  <c r="AF123" i="9"/>
  <c r="AI40" i="7"/>
  <c r="AG21" i="8"/>
  <c r="AG24" i="9"/>
  <c r="AG80" i="9"/>
  <c r="AF153" i="9"/>
  <c r="AG56" i="8"/>
  <c r="AX108" i="9"/>
  <c r="AF76" i="8"/>
  <c r="AG113" i="7"/>
  <c r="AG75" i="8"/>
  <c r="AG10" i="9"/>
  <c r="AF157" i="7"/>
  <c r="AF138" i="7"/>
  <c r="AF140" i="8"/>
  <c r="AF131" i="7"/>
  <c r="AF141" i="7"/>
  <c r="AF76" i="9"/>
  <c r="AG153" i="8"/>
  <c r="AG45" i="7"/>
  <c r="AF101" i="9"/>
  <c r="AX90" i="7"/>
  <c r="AY90" i="7"/>
  <c r="AF11" i="7"/>
  <c r="AX122" i="7"/>
  <c r="AG20" i="9"/>
  <c r="AF147" i="7"/>
  <c r="AF101" i="8"/>
  <c r="AG83" i="8"/>
  <c r="AF58" i="9"/>
  <c r="AG23" i="8"/>
  <c r="AF90" i="9"/>
  <c r="AX21" i="8"/>
  <c r="AY21" i="8"/>
  <c r="AF19" i="8"/>
  <c r="AG112" i="8"/>
  <c r="AG64" i="8"/>
  <c r="AH57" i="9"/>
  <c r="AF21" i="8"/>
  <c r="AH24" i="9"/>
  <c r="F47" i="5"/>
  <c r="D8" i="6" s="1"/>
  <c r="D6" i="6"/>
  <c r="AH153" i="7"/>
  <c r="AG147" i="8"/>
  <c r="AF129" i="7"/>
  <c r="AI56" i="7"/>
  <c r="AX155" i="8"/>
  <c r="AF108" i="8"/>
  <c r="AH127" i="8"/>
  <c r="AG97" i="8"/>
  <c r="AH126" i="9"/>
  <c r="AF39" i="7"/>
  <c r="AH144" i="7"/>
  <c r="AH97" i="8"/>
  <c r="AF80" i="7"/>
  <c r="AF87" i="7"/>
  <c r="AX128" i="8"/>
  <c r="AX140" i="8"/>
  <c r="AX139" i="9"/>
  <c r="AH113" i="7"/>
  <c r="AX96" i="8"/>
  <c r="AF57" i="8"/>
  <c r="AX50" i="7"/>
  <c r="AX21" i="7"/>
  <c r="AG50" i="7"/>
  <c r="AG9" i="9"/>
  <c r="AG82" i="7"/>
  <c r="AF35" i="8"/>
  <c r="AX103" i="7"/>
  <c r="AH21" i="9"/>
  <c r="AG157" i="7"/>
  <c r="AG138" i="7"/>
  <c r="AX144" i="8"/>
  <c r="AG156" i="8"/>
  <c r="AG140" i="8"/>
  <c r="AG141" i="7"/>
  <c r="AH153" i="8"/>
  <c r="AH45" i="7"/>
  <c r="AX36" i="7"/>
  <c r="AY36" i="7"/>
  <c r="AF40" i="8"/>
  <c r="AF47" i="9"/>
  <c r="AX114" i="8"/>
  <c r="AY114" i="8"/>
  <c r="AF25" i="8"/>
  <c r="AF96" i="8"/>
  <c r="AG143" i="9"/>
  <c r="AG147" i="7"/>
  <c r="AX12" i="8"/>
  <c r="AX57" i="9"/>
  <c r="AH112" i="9"/>
  <c r="AG45" i="9"/>
  <c r="AH22" i="9"/>
  <c r="AF11" i="8"/>
  <c r="AG118" i="9"/>
  <c r="AF13" i="8"/>
  <c r="AH131" i="9"/>
  <c r="AI131" i="9" s="1"/>
  <c r="AF125" i="9"/>
  <c r="AF150" i="7"/>
  <c r="AH45" i="9"/>
  <c r="AH59" i="8"/>
  <c r="AG48" i="8"/>
  <c r="AH155" i="9"/>
  <c r="AX138" i="7"/>
  <c r="AF104" i="8"/>
  <c r="AG150" i="7"/>
  <c r="AH90" i="9"/>
  <c r="AF61" i="8"/>
  <c r="AF81" i="8"/>
  <c r="AH80" i="7"/>
  <c r="AF127" i="8"/>
  <c r="AG153" i="9"/>
  <c r="AG81" i="8"/>
  <c r="AH84" i="9"/>
  <c r="AX75" i="8"/>
  <c r="AF16" i="9"/>
  <c r="AX150" i="9"/>
  <c r="AF97" i="8"/>
  <c r="AX68" i="9"/>
  <c r="AX65" i="9"/>
  <c r="AG80" i="7"/>
  <c r="AF8" i="8"/>
  <c r="AX101" i="9"/>
  <c r="AY101" i="9"/>
  <c r="AG43" i="8"/>
  <c r="AF112" i="7"/>
  <c r="AX145" i="9"/>
  <c r="AY145" i="9"/>
  <c r="AX30" i="9"/>
  <c r="AX143" i="7"/>
  <c r="AX120" i="9"/>
  <c r="AF113" i="7"/>
  <c r="AX81" i="9"/>
  <c r="AG57" i="8"/>
  <c r="AF95" i="8"/>
  <c r="AH144" i="8"/>
  <c r="AH55" i="8"/>
  <c r="AF9" i="9"/>
  <c r="AF10" i="9"/>
  <c r="AG33" i="8"/>
  <c r="AG35" i="8"/>
  <c r="AH157" i="7"/>
  <c r="AX45" i="9"/>
  <c r="AH156" i="8"/>
  <c r="AH140" i="8"/>
  <c r="AH141" i="7"/>
  <c r="AF151" i="7"/>
  <c r="AG64" i="7"/>
  <c r="AX143" i="8"/>
  <c r="AY143" i="8"/>
  <c r="AG141" i="9"/>
  <c r="AX127" i="7"/>
  <c r="AY127" i="7"/>
  <c r="AG40" i="8"/>
  <c r="AX113" i="8"/>
  <c r="AY113" i="8"/>
  <c r="AG152" i="9"/>
  <c r="AX22" i="7"/>
  <c r="AH96" i="8"/>
  <c r="AF135" i="8"/>
  <c r="AF96" i="7"/>
  <c r="AX79" i="7"/>
  <c r="AF79" i="7"/>
  <c r="AX41" i="9"/>
  <c r="AX57" i="7"/>
  <c r="AF57" i="7"/>
  <c r="AX142" i="7"/>
  <c r="AG154" i="9"/>
  <c r="AI72" i="8" l="1"/>
  <c r="AK72" i="8" s="1"/>
  <c r="AI70" i="9"/>
  <c r="AK70" i="9" s="1"/>
  <c r="AI73" i="8"/>
  <c r="AK73" i="8" s="1"/>
  <c r="AI133" i="8"/>
  <c r="AK133" i="8" s="1"/>
  <c r="AI46" i="8"/>
  <c r="AK46" i="8" s="1"/>
  <c r="AI46" i="7"/>
  <c r="AK46" i="7" s="1"/>
  <c r="AI92" i="8"/>
  <c r="AK92" i="8" s="1"/>
  <c r="AI146" i="9"/>
  <c r="AK146" i="9" s="1"/>
  <c r="AL146" i="9" s="1"/>
  <c r="AI135" i="7"/>
  <c r="AI106" i="7"/>
  <c r="AK106" i="7" s="1"/>
  <c r="AI83" i="9"/>
  <c r="AK83" i="9" s="1"/>
  <c r="AL83" i="9" s="1"/>
  <c r="AO83" i="9" s="1"/>
  <c r="AR83" i="9" s="1"/>
  <c r="AI38" i="8"/>
  <c r="AK38" i="8" s="1"/>
  <c r="AL38" i="8" s="1"/>
  <c r="AI44" i="8"/>
  <c r="AI111" i="8"/>
  <c r="AK111" i="8" s="1"/>
  <c r="AM111" i="8" s="1"/>
  <c r="AI85" i="8"/>
  <c r="AI73" i="7"/>
  <c r="AK73" i="7" s="1"/>
  <c r="AI136" i="9"/>
  <c r="AI111" i="9"/>
  <c r="AI13" i="9"/>
  <c r="AK13" i="9" s="1"/>
  <c r="AM13" i="9" s="1"/>
  <c r="AI132" i="7"/>
  <c r="AI34" i="7"/>
  <c r="AI94" i="9"/>
  <c r="AK94" i="9" s="1"/>
  <c r="AL94" i="9" s="1"/>
  <c r="AO94" i="9" s="1"/>
  <c r="AR94" i="9" s="1"/>
  <c r="AI58" i="8"/>
  <c r="AK58" i="8" s="1"/>
  <c r="AI70" i="7"/>
  <c r="AK70" i="7" s="1"/>
  <c r="AL70" i="7" s="1"/>
  <c r="AI36" i="8"/>
  <c r="AK36" i="8" s="1"/>
  <c r="AI28" i="9"/>
  <c r="AI17" i="7"/>
  <c r="AK17" i="7" s="1"/>
  <c r="AI134" i="7"/>
  <c r="AK134" i="7" s="1"/>
  <c r="AL134" i="7" s="1"/>
  <c r="AI8" i="9"/>
  <c r="AI142" i="9"/>
  <c r="AK142" i="9" s="1"/>
  <c r="AL142" i="9" s="1"/>
  <c r="AO142" i="9" s="1"/>
  <c r="AR142" i="9" s="1"/>
  <c r="AI19" i="7"/>
  <c r="AK19" i="7" s="1"/>
  <c r="AI139" i="8"/>
  <c r="AK139" i="8" s="1"/>
  <c r="AN139" i="8" s="1"/>
  <c r="AI133" i="9"/>
  <c r="AK133" i="9" s="1"/>
  <c r="AI47" i="7"/>
  <c r="AK47" i="7" s="1"/>
  <c r="AN47" i="7" s="1"/>
  <c r="AI44" i="9"/>
  <c r="AK44" i="9" s="1"/>
  <c r="AI54" i="9"/>
  <c r="AK54" i="9" s="1"/>
  <c r="AM54" i="9" s="1"/>
  <c r="AI109" i="8"/>
  <c r="AK109" i="8" s="1"/>
  <c r="AN109" i="8" s="1"/>
  <c r="AI17" i="8"/>
  <c r="AK17" i="8" s="1"/>
  <c r="AI18" i="9"/>
  <c r="AK18" i="9" s="1"/>
  <c r="AI145" i="7"/>
  <c r="AK145" i="7" s="1"/>
  <c r="AL145" i="7" s="1"/>
  <c r="AI62" i="8"/>
  <c r="AK62" i="8" s="1"/>
  <c r="AI117" i="8"/>
  <c r="AK117" i="8" s="1"/>
  <c r="AN117" i="8" s="1"/>
  <c r="AI140" i="7"/>
  <c r="AI95" i="7"/>
  <c r="AK95" i="7" s="1"/>
  <c r="AL95" i="7" s="1"/>
  <c r="AI15" i="7"/>
  <c r="AI102" i="8"/>
  <c r="AI138" i="8"/>
  <c r="AK138" i="8" s="1"/>
  <c r="AN138" i="8" s="1"/>
  <c r="AI63" i="8"/>
  <c r="AK63" i="8" s="1"/>
  <c r="AL63" i="8" s="1"/>
  <c r="AI108" i="9"/>
  <c r="AK108" i="9" s="1"/>
  <c r="AL108" i="9" s="1"/>
  <c r="AI130" i="8"/>
  <c r="AK130" i="8" s="1"/>
  <c r="AM130" i="8" s="1"/>
  <c r="AI156" i="9"/>
  <c r="AK156" i="9" s="1"/>
  <c r="AI74" i="8"/>
  <c r="AK74" i="8" s="1"/>
  <c r="AI104" i="9"/>
  <c r="AI30" i="8"/>
  <c r="AI69" i="9"/>
  <c r="AK69" i="9" s="1"/>
  <c r="AI66" i="9"/>
  <c r="AK66" i="9" s="1"/>
  <c r="AI98" i="9"/>
  <c r="AK98" i="9" s="1"/>
  <c r="AI94" i="8"/>
  <c r="AI74" i="9"/>
  <c r="AI144" i="9"/>
  <c r="AK144" i="9" s="1"/>
  <c r="AN144" i="9" s="1"/>
  <c r="AI64" i="9"/>
  <c r="AK64" i="9" s="1"/>
  <c r="AI61" i="7"/>
  <c r="AK61" i="7" s="1"/>
  <c r="AL61" i="7" s="1"/>
  <c r="AI72" i="9"/>
  <c r="AK72" i="9" s="1"/>
  <c r="AM72" i="9" s="1"/>
  <c r="AI142" i="7"/>
  <c r="AK142" i="7" s="1"/>
  <c r="AL142" i="7" s="1"/>
  <c r="AO142" i="7" s="1"/>
  <c r="AR142" i="7" s="1"/>
  <c r="AI52" i="7"/>
  <c r="AI115" i="8"/>
  <c r="AK115" i="8" s="1"/>
  <c r="AM115" i="8" s="1"/>
  <c r="AI140" i="9"/>
  <c r="AK140" i="9" s="1"/>
  <c r="AI63" i="7"/>
  <c r="AK63" i="7" s="1"/>
  <c r="AL63" i="7" s="1"/>
  <c r="AO63" i="7" s="1"/>
  <c r="AI135" i="9"/>
  <c r="AK135" i="9" s="1"/>
  <c r="AI91" i="8"/>
  <c r="AK91" i="8" s="1"/>
  <c r="AI84" i="8"/>
  <c r="AI102" i="7"/>
  <c r="AI117" i="7"/>
  <c r="AK117" i="7" s="1"/>
  <c r="AM117" i="7" s="1"/>
  <c r="AI67" i="8"/>
  <c r="AK67" i="8" s="1"/>
  <c r="AI65" i="8"/>
  <c r="AK65" i="8" s="1"/>
  <c r="AI12" i="7"/>
  <c r="AK12" i="7" s="1"/>
  <c r="AM12" i="7" s="1"/>
  <c r="AI100" i="9"/>
  <c r="AK100" i="9" s="1"/>
  <c r="AI40" i="9"/>
  <c r="AK40" i="9" s="1"/>
  <c r="AL40" i="9" s="1"/>
  <c r="AI105" i="8"/>
  <c r="AK105" i="8" s="1"/>
  <c r="AI109" i="9"/>
  <c r="AK109" i="9" s="1"/>
  <c r="AL109" i="9" s="1"/>
  <c r="AI155" i="7"/>
  <c r="AK155" i="7" s="1"/>
  <c r="AI26" i="7"/>
  <c r="AK26" i="7" s="1"/>
  <c r="AI48" i="8"/>
  <c r="AI28" i="8"/>
  <c r="AK28" i="8" s="1"/>
  <c r="AI90" i="7"/>
  <c r="AI99" i="9"/>
  <c r="AK99" i="9" s="1"/>
  <c r="AM99" i="9" s="1"/>
  <c r="AI88" i="8"/>
  <c r="AI42" i="9"/>
  <c r="AK42" i="9" s="1"/>
  <c r="AI118" i="8"/>
  <c r="AK118" i="8" s="1"/>
  <c r="AM118" i="8" s="1"/>
  <c r="AI59" i="7"/>
  <c r="AK59" i="7" s="1"/>
  <c r="AL59" i="7" s="1"/>
  <c r="AI18" i="7"/>
  <c r="AK18" i="7" s="1"/>
  <c r="AL18" i="7" s="1"/>
  <c r="AO18" i="7" s="1"/>
  <c r="AI55" i="8"/>
  <c r="AK55" i="8" s="1"/>
  <c r="AM55" i="8" s="1"/>
  <c r="AI32" i="9"/>
  <c r="AK32" i="9" s="1"/>
  <c r="AI113" i="9"/>
  <c r="AK113" i="9" s="1"/>
  <c r="AI122" i="8"/>
  <c r="AK122" i="8" s="1"/>
  <c r="AL122" i="8" s="1"/>
  <c r="AI119" i="9"/>
  <c r="AK119" i="9" s="1"/>
  <c r="AM119" i="9" s="1"/>
  <c r="AI120" i="8"/>
  <c r="AI34" i="9"/>
  <c r="AK34" i="9" s="1"/>
  <c r="AI53" i="7"/>
  <c r="AK53" i="7" s="1"/>
  <c r="AL53" i="7" s="1"/>
  <c r="AO53" i="7" s="1"/>
  <c r="AR53" i="7" s="1"/>
  <c r="AI72" i="7"/>
  <c r="AI49" i="9"/>
  <c r="AK49" i="9" s="1"/>
  <c r="AI114" i="8"/>
  <c r="AK114" i="8" s="1"/>
  <c r="AN114" i="8" s="1"/>
  <c r="AI110" i="8"/>
  <c r="AK110" i="8" s="1"/>
  <c r="AM110" i="8" s="1"/>
  <c r="AI93" i="8"/>
  <c r="AK93" i="8" s="1"/>
  <c r="AI49" i="7"/>
  <c r="AK49" i="7" s="1"/>
  <c r="AL49" i="7" s="1"/>
  <c r="AI27" i="9"/>
  <c r="AK27" i="9" s="1"/>
  <c r="AI32" i="7"/>
  <c r="AK32" i="7" s="1"/>
  <c r="AI125" i="8"/>
  <c r="AK125" i="8" s="1"/>
  <c r="AN125" i="8" s="1"/>
  <c r="AI55" i="7"/>
  <c r="AK55" i="7" s="1"/>
  <c r="AN55" i="7" s="1"/>
  <c r="AI39" i="8"/>
  <c r="AK39" i="8" s="1"/>
  <c r="AI148" i="7"/>
  <c r="AK148" i="7" s="1"/>
  <c r="AI128" i="7"/>
  <c r="AK128" i="7" s="1"/>
  <c r="AI52" i="9"/>
  <c r="AK52" i="9" s="1"/>
  <c r="AM52" i="9" s="1"/>
  <c r="AI138" i="9"/>
  <c r="AI23" i="7"/>
  <c r="AK23" i="7" s="1"/>
  <c r="AL23" i="7" s="1"/>
  <c r="AO23" i="7" s="1"/>
  <c r="AI13" i="7"/>
  <c r="AI143" i="9"/>
  <c r="AK143" i="9" s="1"/>
  <c r="AL143" i="9" s="1"/>
  <c r="AI90" i="8"/>
  <c r="AK90" i="8" s="1"/>
  <c r="AI103" i="8"/>
  <c r="AK103" i="8" s="1"/>
  <c r="AN103" i="8" s="1"/>
  <c r="AI15" i="9"/>
  <c r="AI69" i="8"/>
  <c r="AK69" i="8" s="1"/>
  <c r="AI55" i="9"/>
  <c r="AK55" i="9" s="1"/>
  <c r="AI44" i="7"/>
  <c r="AK44" i="7" s="1"/>
  <c r="AL44" i="7" s="1"/>
  <c r="AO44" i="7" s="1"/>
  <c r="AI129" i="8"/>
  <c r="AK129" i="8" s="1"/>
  <c r="AN100" i="7"/>
  <c r="AI86" i="9"/>
  <c r="AK86" i="9" s="1"/>
  <c r="AN86" i="9" s="1"/>
  <c r="AI24" i="7"/>
  <c r="AK24" i="7" s="1"/>
  <c r="AM68" i="7"/>
  <c r="AI137" i="8"/>
  <c r="AI59" i="9"/>
  <c r="AK59" i="9" s="1"/>
  <c r="AM59" i="9" s="1"/>
  <c r="AI68" i="8"/>
  <c r="AK68" i="8" s="1"/>
  <c r="AI81" i="9"/>
  <c r="AK81" i="9" s="1"/>
  <c r="AL81" i="9" s="1"/>
  <c r="AO81" i="9" s="1"/>
  <c r="AR81" i="9" s="1"/>
  <c r="AI65" i="7"/>
  <c r="AK65" i="7" s="1"/>
  <c r="AI29" i="9"/>
  <c r="AK29" i="9" s="1"/>
  <c r="AI23" i="9"/>
  <c r="AK23" i="9" s="1"/>
  <c r="AL23" i="9" s="1"/>
  <c r="AO23" i="9" s="1"/>
  <c r="AI137" i="7"/>
  <c r="AK137" i="7" s="1"/>
  <c r="AI125" i="7"/>
  <c r="AL125" i="7" s="1"/>
  <c r="AO125" i="7" s="1"/>
  <c r="AR125" i="7" s="1"/>
  <c r="AI12" i="9"/>
  <c r="AK12" i="9" s="1"/>
  <c r="AN12" i="9" s="1"/>
  <c r="AI86" i="8"/>
  <c r="AK86" i="8" s="1"/>
  <c r="AM86" i="8" s="1"/>
  <c r="AI121" i="7"/>
  <c r="AK121" i="7" s="1"/>
  <c r="AI76" i="7"/>
  <c r="AK76" i="7" s="1"/>
  <c r="AL76" i="7" s="1"/>
  <c r="AI85" i="7"/>
  <c r="AK85" i="7" s="1"/>
  <c r="AI34" i="8"/>
  <c r="AK34" i="8" s="1"/>
  <c r="AL34" i="8" s="1"/>
  <c r="AI60" i="7"/>
  <c r="AK60" i="7" s="1"/>
  <c r="AM60" i="7" s="1"/>
  <c r="AI54" i="8"/>
  <c r="AI107" i="7"/>
  <c r="AI120" i="9"/>
  <c r="AK120" i="9" s="1"/>
  <c r="AL120" i="9" s="1"/>
  <c r="AI116" i="9"/>
  <c r="AK116" i="9" s="1"/>
  <c r="AN116" i="9" s="1"/>
  <c r="AI54" i="7"/>
  <c r="AK54" i="7" s="1"/>
  <c r="AN54" i="7" s="1"/>
  <c r="AI113" i="8"/>
  <c r="AK113" i="8" s="1"/>
  <c r="AI9" i="8"/>
  <c r="AK9" i="8" s="1"/>
  <c r="AL9" i="8" s="1"/>
  <c r="AI33" i="7"/>
  <c r="AK33" i="7" s="1"/>
  <c r="AN33" i="7" s="1"/>
  <c r="AI108" i="7"/>
  <c r="AK108" i="7" s="1"/>
  <c r="AL108" i="7" s="1"/>
  <c r="AO108" i="7" s="1"/>
  <c r="AI49" i="8"/>
  <c r="AK49" i="8" s="1"/>
  <c r="AN49" i="8" s="1"/>
  <c r="AI88" i="7"/>
  <c r="AK88" i="7" s="1"/>
  <c r="AN88" i="7" s="1"/>
  <c r="AI102" i="9"/>
  <c r="AK102" i="9" s="1"/>
  <c r="AI100" i="8"/>
  <c r="AK100" i="8" s="1"/>
  <c r="AI77" i="9"/>
  <c r="AK77" i="9" s="1"/>
  <c r="AN77" i="9" s="1"/>
  <c r="AI78" i="8"/>
  <c r="AI14" i="9"/>
  <c r="AK14" i="9" s="1"/>
  <c r="AI87" i="9"/>
  <c r="AI29" i="7"/>
  <c r="AK29" i="7" s="1"/>
  <c r="AL29" i="7" s="1"/>
  <c r="AI18" i="8"/>
  <c r="AK18" i="8" s="1"/>
  <c r="AM18" i="8" s="1"/>
  <c r="AI26" i="8"/>
  <c r="AK26" i="8" s="1"/>
  <c r="AI10" i="8"/>
  <c r="AK10" i="8" s="1"/>
  <c r="AI106" i="8"/>
  <c r="AK106" i="8" s="1"/>
  <c r="AI106" i="9"/>
  <c r="AK106" i="9" s="1"/>
  <c r="AN106" i="9" s="1"/>
  <c r="AI77" i="8"/>
  <c r="AK77" i="8" s="1"/>
  <c r="AI16" i="8"/>
  <c r="AK16" i="8" s="1"/>
  <c r="AN16" i="8" s="1"/>
  <c r="AI71" i="9"/>
  <c r="AK71" i="9" s="1"/>
  <c r="AN71" i="9" s="1"/>
  <c r="AI47" i="8"/>
  <c r="AK47" i="8" s="1"/>
  <c r="AI70" i="8"/>
  <c r="AK70" i="8" s="1"/>
  <c r="AM70" i="8" s="1"/>
  <c r="AI115" i="9"/>
  <c r="AK115" i="9" s="1"/>
  <c r="AN115" i="9" s="1"/>
  <c r="AI87" i="8"/>
  <c r="AK87" i="8" s="1"/>
  <c r="AL87" i="8" s="1"/>
  <c r="AO87" i="8" s="1"/>
  <c r="AR87" i="8" s="1"/>
  <c r="AI43" i="9"/>
  <c r="AI132" i="9"/>
  <c r="AI103" i="9"/>
  <c r="AI83" i="8"/>
  <c r="AK83" i="8" s="1"/>
  <c r="AN83" i="8" s="1"/>
  <c r="AI53" i="9"/>
  <c r="AK53" i="9" s="1"/>
  <c r="AI117" i="9"/>
  <c r="AK117" i="9" s="1"/>
  <c r="AL117" i="9" s="1"/>
  <c r="AI123" i="7"/>
  <c r="AI146" i="7"/>
  <c r="AK146" i="7" s="1"/>
  <c r="AM146" i="7" s="1"/>
  <c r="AI11" i="9"/>
  <c r="AK11" i="9" s="1"/>
  <c r="AI50" i="7"/>
  <c r="AK50" i="7" s="1"/>
  <c r="AM50" i="7" s="1"/>
  <c r="AI20" i="8"/>
  <c r="AK20" i="8" s="1"/>
  <c r="AI67" i="7"/>
  <c r="AK67" i="7" s="1"/>
  <c r="AM67" i="7" s="1"/>
  <c r="AI41" i="9"/>
  <c r="AK41" i="9" s="1"/>
  <c r="AL41" i="9" s="1"/>
  <c r="AI61" i="9"/>
  <c r="AK61" i="9" s="1"/>
  <c r="AM61" i="9" s="1"/>
  <c r="AI99" i="8"/>
  <c r="AK99" i="8" s="1"/>
  <c r="AL99" i="8" s="1"/>
  <c r="AI82" i="9"/>
  <c r="AK82" i="9" s="1"/>
  <c r="AM82" i="9" s="1"/>
  <c r="AI149" i="7"/>
  <c r="AK149" i="7" s="1"/>
  <c r="AL149" i="7" s="1"/>
  <c r="AO149" i="7" s="1"/>
  <c r="AI89" i="8"/>
  <c r="AK89" i="8" s="1"/>
  <c r="AN89" i="8" s="1"/>
  <c r="AI97" i="9"/>
  <c r="AK97" i="9" s="1"/>
  <c r="AM97" i="9" s="1"/>
  <c r="AI62" i="7"/>
  <c r="AK62" i="7" s="1"/>
  <c r="AL62" i="7" s="1"/>
  <c r="AO62" i="7" s="1"/>
  <c r="AR62" i="7" s="1"/>
  <c r="AI50" i="8"/>
  <c r="AK50" i="8" s="1"/>
  <c r="AL50" i="8" s="1"/>
  <c r="AI110" i="9"/>
  <c r="AK110" i="9" s="1"/>
  <c r="AM110" i="9" s="1"/>
  <c r="AI136" i="7"/>
  <c r="AK136" i="7" s="1"/>
  <c r="AI144" i="8"/>
  <c r="AK144" i="8" s="1"/>
  <c r="AI96" i="9"/>
  <c r="AK96" i="9" s="1"/>
  <c r="AL96" i="9" s="1"/>
  <c r="AO96" i="9" s="1"/>
  <c r="AI37" i="7"/>
  <c r="AK37" i="7" s="1"/>
  <c r="AI15" i="8"/>
  <c r="AK15" i="8" s="1"/>
  <c r="AI57" i="9"/>
  <c r="AK57" i="9" s="1"/>
  <c r="AI124" i="9"/>
  <c r="AI115" i="7"/>
  <c r="AK115" i="7" s="1"/>
  <c r="AI126" i="8"/>
  <c r="AI93" i="9"/>
  <c r="AK93" i="9" s="1"/>
  <c r="AL93" i="9" s="1"/>
  <c r="AO93" i="9" s="1"/>
  <c r="AR93" i="9" s="1"/>
  <c r="AI30" i="7"/>
  <c r="AK30" i="7" s="1"/>
  <c r="AI150" i="9"/>
  <c r="AK150" i="9" s="1"/>
  <c r="AM150" i="9" s="1"/>
  <c r="AI98" i="7"/>
  <c r="AK98" i="7" s="1"/>
  <c r="AI43" i="7"/>
  <c r="AK43" i="7" s="1"/>
  <c r="AM43" i="7" s="1"/>
  <c r="AM131" i="8"/>
  <c r="AM100" i="7"/>
  <c r="AI66" i="7"/>
  <c r="AL67" i="8"/>
  <c r="AO67" i="8" s="1"/>
  <c r="AR67" i="8" s="1"/>
  <c r="AI64" i="7"/>
  <c r="AK64" i="7" s="1"/>
  <c r="AL64" i="7" s="1"/>
  <c r="AI74" i="7"/>
  <c r="AK74" i="7" s="1"/>
  <c r="AM74" i="7" s="1"/>
  <c r="AI69" i="7"/>
  <c r="AK69" i="7" s="1"/>
  <c r="AM69" i="7" s="1"/>
  <c r="AI86" i="7"/>
  <c r="AK86" i="7" s="1"/>
  <c r="AN86" i="7" s="1"/>
  <c r="AI19" i="9"/>
  <c r="AK19" i="9" s="1"/>
  <c r="AM38" i="7"/>
  <c r="AI139" i="9"/>
  <c r="AK139" i="9" s="1"/>
  <c r="AI111" i="7"/>
  <c r="AK111" i="7" s="1"/>
  <c r="AL111" i="7" s="1"/>
  <c r="AO111" i="7" s="1"/>
  <c r="AI145" i="8"/>
  <c r="AI156" i="7"/>
  <c r="AK156" i="7" s="1"/>
  <c r="AN156" i="7" s="1"/>
  <c r="AL77" i="7"/>
  <c r="AO77" i="7" s="1"/>
  <c r="AR77" i="7" s="1"/>
  <c r="AI130" i="9"/>
  <c r="AI63" i="9"/>
  <c r="AK63" i="9" s="1"/>
  <c r="AN63" i="9" s="1"/>
  <c r="AN38" i="7"/>
  <c r="AM46" i="8"/>
  <c r="AI127" i="7"/>
  <c r="AK127" i="7" s="1"/>
  <c r="AL127" i="7" s="1"/>
  <c r="AO127" i="7" s="1"/>
  <c r="AR127" i="7" s="1"/>
  <c r="AN118" i="7"/>
  <c r="AI68" i="9"/>
  <c r="AK68" i="9" s="1"/>
  <c r="AN68" i="9" s="1"/>
  <c r="AL114" i="7"/>
  <c r="AO114" i="7" s="1"/>
  <c r="AI128" i="9"/>
  <c r="AK128" i="9" s="1"/>
  <c r="AL128" i="9" s="1"/>
  <c r="AI24" i="8"/>
  <c r="AK24" i="8" s="1"/>
  <c r="AL24" i="8" s="1"/>
  <c r="AN72" i="8"/>
  <c r="AI81" i="7"/>
  <c r="AK81" i="7" s="1"/>
  <c r="AL81" i="7" s="1"/>
  <c r="AI79" i="9"/>
  <c r="AI139" i="7"/>
  <c r="AK139" i="7" s="1"/>
  <c r="AI151" i="9"/>
  <c r="AK151" i="9" s="1"/>
  <c r="AM151" i="9" s="1"/>
  <c r="AI36" i="9"/>
  <c r="AI110" i="7"/>
  <c r="AK110" i="7" s="1"/>
  <c r="AL110" i="7" s="1"/>
  <c r="AI154" i="7"/>
  <c r="AK154" i="7" s="1"/>
  <c r="AM154" i="7" s="1"/>
  <c r="AI119" i="8"/>
  <c r="AK119" i="8" s="1"/>
  <c r="AL119" i="8" s="1"/>
  <c r="AK31" i="8"/>
  <c r="AN31" i="8" s="1"/>
  <c r="AI51" i="7"/>
  <c r="AN70" i="9"/>
  <c r="AI128" i="8"/>
  <c r="AK128" i="8" s="1"/>
  <c r="AM128" i="8" s="1"/>
  <c r="AI148" i="8"/>
  <c r="AK148" i="8" s="1"/>
  <c r="AI65" i="9"/>
  <c r="AN56" i="9"/>
  <c r="AM46" i="7"/>
  <c r="AM118" i="7"/>
  <c r="AL56" i="9"/>
  <c r="AO56" i="9" s="1"/>
  <c r="AR56" i="9" s="1"/>
  <c r="AI35" i="9"/>
  <c r="AL73" i="8"/>
  <c r="AO73" i="8" s="1"/>
  <c r="AM99" i="7"/>
  <c r="AI58" i="7"/>
  <c r="AK58" i="7" s="1"/>
  <c r="AL58" i="7" s="1"/>
  <c r="AL131" i="8"/>
  <c r="AO131" i="8" s="1"/>
  <c r="AR131" i="8" s="1"/>
  <c r="AI122" i="9"/>
  <c r="AI151" i="8"/>
  <c r="AK151" i="8" s="1"/>
  <c r="AI126" i="7"/>
  <c r="AK126" i="7" s="1"/>
  <c r="AL126" i="7" s="1"/>
  <c r="AI33" i="8"/>
  <c r="AI14" i="8"/>
  <c r="AK14" i="8" s="1"/>
  <c r="AI107" i="8"/>
  <c r="AK107" i="8" s="1"/>
  <c r="AN107" i="8" s="1"/>
  <c r="AI53" i="8"/>
  <c r="AK53" i="8" s="1"/>
  <c r="AM53" i="8" s="1"/>
  <c r="AI60" i="8"/>
  <c r="AK60" i="8" s="1"/>
  <c r="AM60" i="8" s="1"/>
  <c r="AI39" i="9"/>
  <c r="AK39" i="9" s="1"/>
  <c r="AL39" i="9" s="1"/>
  <c r="AM72" i="8"/>
  <c r="AM38" i="8"/>
  <c r="AN27" i="7"/>
  <c r="AI154" i="9"/>
  <c r="AK154" i="9" s="1"/>
  <c r="AI132" i="8"/>
  <c r="AK132" i="8" s="1"/>
  <c r="AM132" i="8" s="1"/>
  <c r="AL100" i="7"/>
  <c r="AO100" i="7" s="1"/>
  <c r="AR100" i="7" s="1"/>
  <c r="AI84" i="9"/>
  <c r="AK84" i="9" s="1"/>
  <c r="AL84" i="9" s="1"/>
  <c r="AO84" i="9" s="1"/>
  <c r="AR84" i="9" s="1"/>
  <c r="AI93" i="7"/>
  <c r="AK93" i="7" s="1"/>
  <c r="AL93" i="7" s="1"/>
  <c r="AI22" i="7"/>
  <c r="AI71" i="7"/>
  <c r="AK71" i="7" s="1"/>
  <c r="AN71" i="7" s="1"/>
  <c r="AI27" i="8"/>
  <c r="AK27" i="8" s="1"/>
  <c r="AN27" i="8" s="1"/>
  <c r="AM70" i="9"/>
  <c r="AN38" i="8"/>
  <c r="AN77" i="7"/>
  <c r="AI36" i="7"/>
  <c r="AK36" i="7" s="1"/>
  <c r="AM36" i="7" s="1"/>
  <c r="AI121" i="8"/>
  <c r="AI21" i="9"/>
  <c r="AK21" i="9" s="1"/>
  <c r="AM21" i="9" s="1"/>
  <c r="AM69" i="8"/>
  <c r="AI122" i="7"/>
  <c r="AK122" i="7" s="1"/>
  <c r="AI105" i="7"/>
  <c r="AI149" i="9"/>
  <c r="AK149" i="9" s="1"/>
  <c r="AL149" i="9" s="1"/>
  <c r="AI25" i="9"/>
  <c r="AK25" i="9" s="1"/>
  <c r="AI144" i="7"/>
  <c r="AK144" i="7" s="1"/>
  <c r="AI66" i="8"/>
  <c r="AK66" i="8" s="1"/>
  <c r="AI52" i="8"/>
  <c r="AI152" i="8"/>
  <c r="AK152" i="8" s="1"/>
  <c r="AI12" i="8"/>
  <c r="AK12" i="8" s="1"/>
  <c r="AL12" i="8" s="1"/>
  <c r="AN131" i="8"/>
  <c r="AI134" i="8"/>
  <c r="AK134" i="8" s="1"/>
  <c r="AL134" i="8" s="1"/>
  <c r="AI150" i="8"/>
  <c r="AK150" i="8" s="1"/>
  <c r="AN150" i="8" s="1"/>
  <c r="AI80" i="9"/>
  <c r="AK80" i="9" s="1"/>
  <c r="AM80" i="9" s="1"/>
  <c r="AI60" i="9"/>
  <c r="AK60" i="9" s="1"/>
  <c r="AL60" i="9" s="1"/>
  <c r="AO60" i="9" s="1"/>
  <c r="AK91" i="7"/>
  <c r="AM91" i="7" s="1"/>
  <c r="AK133" i="7"/>
  <c r="AM133" i="7" s="1"/>
  <c r="AK82" i="8"/>
  <c r="AM82" i="8" s="1"/>
  <c r="AI157" i="9"/>
  <c r="AI147" i="9"/>
  <c r="AK147" i="9" s="1"/>
  <c r="AL147" i="9" s="1"/>
  <c r="AO147" i="9" s="1"/>
  <c r="AR147" i="9" s="1"/>
  <c r="AM73" i="8"/>
  <c r="AI92" i="7"/>
  <c r="AK120" i="8"/>
  <c r="AL120" i="8" s="1"/>
  <c r="AI121" i="9"/>
  <c r="AK109" i="7"/>
  <c r="AL109" i="7" s="1"/>
  <c r="AK88" i="8"/>
  <c r="AN88" i="8" s="1"/>
  <c r="AL103" i="7"/>
  <c r="AO103" i="7" s="1"/>
  <c r="AR103" i="7" s="1"/>
  <c r="AM103" i="7"/>
  <c r="AI37" i="9"/>
  <c r="AK37" i="9" s="1"/>
  <c r="AI42" i="8"/>
  <c r="AK157" i="8"/>
  <c r="AN157" i="8" s="1"/>
  <c r="AI78" i="9"/>
  <c r="AI152" i="9"/>
  <c r="AK152" i="9" s="1"/>
  <c r="AN152" i="9" s="1"/>
  <c r="AI23" i="8"/>
  <c r="AK134" i="9"/>
  <c r="AN134" i="9" s="1"/>
  <c r="AK136" i="8"/>
  <c r="AM136" i="8" s="1"/>
  <c r="AK111" i="9"/>
  <c r="AM111" i="9" s="1"/>
  <c r="AI94" i="7"/>
  <c r="AI141" i="8"/>
  <c r="AK85" i="8"/>
  <c r="AL85" i="8" s="1"/>
  <c r="AK131" i="9"/>
  <c r="AM131" i="9" s="1"/>
  <c r="AK90" i="7"/>
  <c r="AM90" i="7" s="1"/>
  <c r="AI95" i="9"/>
  <c r="AK95" i="9" s="1"/>
  <c r="AK84" i="8"/>
  <c r="AM84" i="8" s="1"/>
  <c r="AI156" i="8"/>
  <c r="AK156" i="8" s="1"/>
  <c r="AK143" i="8"/>
  <c r="AL143" i="8" s="1"/>
  <c r="AM143" i="8"/>
  <c r="AI67" i="9"/>
  <c r="AM133" i="8"/>
  <c r="AI143" i="7"/>
  <c r="AK143" i="7" s="1"/>
  <c r="AM143" i="7" s="1"/>
  <c r="AM148" i="7"/>
  <c r="F6" i="8"/>
  <c r="AI45" i="8"/>
  <c r="AM39" i="8"/>
  <c r="AM142" i="9"/>
  <c r="F6" i="9"/>
  <c r="AL68" i="7"/>
  <c r="AO68" i="7" s="1"/>
  <c r="AN62" i="9"/>
  <c r="AI152" i="7"/>
  <c r="AM17" i="7"/>
  <c r="AL106" i="8"/>
  <c r="AO106" i="8" s="1"/>
  <c r="AN68" i="7"/>
  <c r="AL91" i="8"/>
  <c r="AO91" i="8" s="1"/>
  <c r="AK35" i="7"/>
  <c r="AL35" i="7" s="1"/>
  <c r="AO35" i="7" s="1"/>
  <c r="AR35" i="7" s="1"/>
  <c r="AM19" i="7"/>
  <c r="AI153" i="7"/>
  <c r="AK153" i="7" s="1"/>
  <c r="AI61" i="8"/>
  <c r="AK61" i="8" s="1"/>
  <c r="AK136" i="9"/>
  <c r="AN136" i="9" s="1"/>
  <c r="AK145" i="8"/>
  <c r="AL145" i="8" s="1"/>
  <c r="AL46" i="8"/>
  <c r="AN46" i="8"/>
  <c r="AK41" i="8"/>
  <c r="AL41" i="8" s="1"/>
  <c r="AM71" i="9"/>
  <c r="AI80" i="7"/>
  <c r="AK80" i="7" s="1"/>
  <c r="AK120" i="7"/>
  <c r="AL120" i="7" s="1"/>
  <c r="AI123" i="8"/>
  <c r="AK123" i="8" s="1"/>
  <c r="AK20" i="7"/>
  <c r="AM20" i="7" s="1"/>
  <c r="AI101" i="7"/>
  <c r="AI124" i="7"/>
  <c r="AK124" i="7" s="1"/>
  <c r="AK98" i="8"/>
  <c r="AN98" i="8" s="1"/>
  <c r="AI35" i="8"/>
  <c r="AI90" i="9"/>
  <c r="AK90" i="9" s="1"/>
  <c r="AI101" i="9"/>
  <c r="AK101" i="9" s="1"/>
  <c r="AI45" i="9"/>
  <c r="AK102" i="7"/>
  <c r="AL102" i="7" s="1"/>
  <c r="AK107" i="9"/>
  <c r="AL107" i="9" s="1"/>
  <c r="AI48" i="9"/>
  <c r="AI95" i="8"/>
  <c r="AI81" i="8"/>
  <c r="AI76" i="8"/>
  <c r="AI38" i="9"/>
  <c r="AI154" i="8"/>
  <c r="AI31" i="7"/>
  <c r="AI97" i="8"/>
  <c r="AK97" i="8" s="1"/>
  <c r="AI135" i="8"/>
  <c r="AK56" i="7"/>
  <c r="AN56" i="7" s="1"/>
  <c r="AK8" i="9"/>
  <c r="AM8" i="9" s="1"/>
  <c r="AI89" i="9"/>
  <c r="AL42" i="7"/>
  <c r="AI14" i="7"/>
  <c r="AK155" i="8"/>
  <c r="AM155" i="8" s="1"/>
  <c r="AN155" i="8"/>
  <c r="AI64" i="8"/>
  <c r="AN19" i="7"/>
  <c r="AK15" i="7"/>
  <c r="AM15" i="7" s="1"/>
  <c r="AI153" i="8"/>
  <c r="AK153" i="8" s="1"/>
  <c r="AI118" i="9"/>
  <c r="F6" i="7"/>
  <c r="AI97" i="7"/>
  <c r="AK105" i="7"/>
  <c r="AL105" i="7" s="1"/>
  <c r="AK41" i="7"/>
  <c r="AN41" i="7" s="1"/>
  <c r="AK73" i="9"/>
  <c r="AN73" i="9" s="1"/>
  <c r="AK30" i="8"/>
  <c r="AN30" i="8" s="1"/>
  <c r="AL118" i="7"/>
  <c r="AK48" i="7"/>
  <c r="AL48" i="7" s="1"/>
  <c r="AO48" i="7" s="1"/>
  <c r="AR48" i="7" s="1"/>
  <c r="AN48" i="7"/>
  <c r="AK74" i="9"/>
  <c r="AL74" i="9" s="1"/>
  <c r="AM9" i="7"/>
  <c r="AL9" i="7"/>
  <c r="AN9" i="7"/>
  <c r="AI17" i="9"/>
  <c r="AK17" i="9" s="1"/>
  <c r="AI71" i="8"/>
  <c r="AI80" i="8"/>
  <c r="AI119" i="7"/>
  <c r="AL72" i="8"/>
  <c r="AK116" i="8"/>
  <c r="AL116" i="8" s="1"/>
  <c r="AO116" i="8" s="1"/>
  <c r="AR116" i="8" s="1"/>
  <c r="AM116" i="8"/>
  <c r="AI8" i="7"/>
  <c r="AI96" i="7"/>
  <c r="AK40" i="7"/>
  <c r="AM40" i="7" s="1"/>
  <c r="AI153" i="9"/>
  <c r="AK153" i="9" s="1"/>
  <c r="AI124" i="8"/>
  <c r="AK124" i="8" s="1"/>
  <c r="AI51" i="8"/>
  <c r="AI22" i="8"/>
  <c r="AK22" i="8" s="1"/>
  <c r="AI13" i="8"/>
  <c r="AI75" i="7"/>
  <c r="AK92" i="9"/>
  <c r="AL92" i="9" s="1"/>
  <c r="AK140" i="7"/>
  <c r="AL140" i="7" s="1"/>
  <c r="AO140" i="7" s="1"/>
  <c r="AR140" i="7" s="1"/>
  <c r="AK135" i="7"/>
  <c r="AN135" i="7" s="1"/>
  <c r="AM135" i="7"/>
  <c r="AI104" i="8"/>
  <c r="AK104" i="8" s="1"/>
  <c r="AK102" i="8"/>
  <c r="AI147" i="8"/>
  <c r="AI58" i="9"/>
  <c r="AK58" i="9" s="1"/>
  <c r="AI75" i="9"/>
  <c r="AI33" i="9"/>
  <c r="AI37" i="8"/>
  <c r="AK148" i="9"/>
  <c r="AN148" i="9" s="1"/>
  <c r="AM148" i="9"/>
  <c r="AK132" i="7"/>
  <c r="AM132" i="7" s="1"/>
  <c r="AK28" i="9"/>
  <c r="AM28" i="9" s="1"/>
  <c r="AI126" i="9"/>
  <c r="AK26" i="9"/>
  <c r="AL26" i="9" s="1"/>
  <c r="AI96" i="8"/>
  <c r="AI101" i="8"/>
  <c r="AK101" i="8" s="1"/>
  <c r="AI104" i="7"/>
  <c r="AK94" i="8"/>
  <c r="AL94" i="8" s="1"/>
  <c r="AK105" i="9"/>
  <c r="AL105" i="9" s="1"/>
  <c r="AI21" i="8"/>
  <c r="AK21" i="8" s="1"/>
  <c r="AK50" i="9"/>
  <c r="AL50" i="9" s="1"/>
  <c r="AN50" i="9"/>
  <c r="AK43" i="9"/>
  <c r="AN43" i="9" s="1"/>
  <c r="AM43" i="9"/>
  <c r="AN65" i="8"/>
  <c r="AL77" i="8"/>
  <c r="AK91" i="9"/>
  <c r="AN91" i="9" s="1"/>
  <c r="AK83" i="7"/>
  <c r="AM83" i="7" s="1"/>
  <c r="AI57" i="7"/>
  <c r="AI45" i="7"/>
  <c r="AK34" i="7"/>
  <c r="AN34" i="7" s="1"/>
  <c r="AI142" i="8"/>
  <c r="AI112" i="7"/>
  <c r="AI150" i="7"/>
  <c r="AI39" i="7"/>
  <c r="AL19" i="7"/>
  <c r="AN46" i="7"/>
  <c r="AI43" i="8"/>
  <c r="AI82" i="7"/>
  <c r="AK21" i="7"/>
  <c r="AL21" i="7" s="1"/>
  <c r="AI78" i="7"/>
  <c r="AI56" i="8"/>
  <c r="AI25" i="7"/>
  <c r="AK48" i="8"/>
  <c r="AN48" i="8" s="1"/>
  <c r="AI30" i="9"/>
  <c r="AK114" i="9"/>
  <c r="AM114" i="9" s="1"/>
  <c r="AI59" i="8"/>
  <c r="AK44" i="8"/>
  <c r="AM44" i="8"/>
  <c r="AI88" i="9"/>
  <c r="AK28" i="7"/>
  <c r="AM28" i="7" s="1"/>
  <c r="AK84" i="7"/>
  <c r="AL84" i="7" s="1"/>
  <c r="AN44" i="9"/>
  <c r="AI29" i="8"/>
  <c r="AI79" i="7"/>
  <c r="AI47" i="9"/>
  <c r="AI157" i="7"/>
  <c r="AK157" i="7" s="1"/>
  <c r="AL62" i="9"/>
  <c r="AI22" i="9"/>
  <c r="AM98" i="9"/>
  <c r="AL98" i="9"/>
  <c r="AI40" i="8"/>
  <c r="AL135" i="9"/>
  <c r="D10" i="6"/>
  <c r="AI11" i="7"/>
  <c r="AI76" i="9"/>
  <c r="AK76" i="9" s="1"/>
  <c r="AL17" i="7"/>
  <c r="AM62" i="9"/>
  <c r="AK32" i="8"/>
  <c r="AN32" i="8" s="1"/>
  <c r="AI20" i="9"/>
  <c r="AK20" i="9" s="1"/>
  <c r="AL27" i="7"/>
  <c r="AN73" i="8"/>
  <c r="AN42" i="7"/>
  <c r="AL38" i="7"/>
  <c r="AN114" i="7"/>
  <c r="AL70" i="9"/>
  <c r="AI151" i="7"/>
  <c r="AN17" i="7"/>
  <c r="AI16" i="9"/>
  <c r="AL73" i="7"/>
  <c r="AI108" i="8"/>
  <c r="AK108" i="8" s="1"/>
  <c r="AM73" i="7"/>
  <c r="AM93" i="8"/>
  <c r="AI75" i="8"/>
  <c r="AK75" i="8" s="1"/>
  <c r="AM42" i="7"/>
  <c r="AN98" i="9"/>
  <c r="AI79" i="8"/>
  <c r="AI112" i="8"/>
  <c r="AI46" i="9"/>
  <c r="AM114" i="7"/>
  <c r="AI145" i="9"/>
  <c r="AN69" i="9"/>
  <c r="AI138" i="7"/>
  <c r="AI123" i="9"/>
  <c r="AL133" i="7"/>
  <c r="AI9" i="9"/>
  <c r="AK9" i="9" s="1"/>
  <c r="AI8" i="8"/>
  <c r="AL133" i="8"/>
  <c r="AI125" i="9"/>
  <c r="AI11" i="8"/>
  <c r="AI87" i="7"/>
  <c r="AI141" i="7"/>
  <c r="AK141" i="7" s="1"/>
  <c r="AN135" i="9"/>
  <c r="AI127" i="9"/>
  <c r="AK127" i="9" s="1"/>
  <c r="AI16" i="7"/>
  <c r="AI24" i="9"/>
  <c r="AK24" i="9" s="1"/>
  <c r="AL69" i="9"/>
  <c r="AI31" i="9"/>
  <c r="AK31" i="9" s="1"/>
  <c r="AN99" i="7"/>
  <c r="B10" i="6"/>
  <c r="AI10" i="7"/>
  <c r="AI130" i="7"/>
  <c r="AI127" i="8"/>
  <c r="AK127" i="8" s="1"/>
  <c r="AI113" i="7"/>
  <c r="AK113" i="7" s="1"/>
  <c r="AN73" i="7"/>
  <c r="AI131" i="7"/>
  <c r="AI85" i="9"/>
  <c r="AN133" i="8"/>
  <c r="AI129" i="9"/>
  <c r="AK129" i="9" s="1"/>
  <c r="AO99" i="7"/>
  <c r="AI141" i="9"/>
  <c r="AK141" i="9" s="1"/>
  <c r="AI149" i="8"/>
  <c r="AI129" i="7"/>
  <c r="AI51" i="9"/>
  <c r="AI10" i="9"/>
  <c r="AI25" i="8"/>
  <c r="AI57" i="8"/>
  <c r="AM91" i="8"/>
  <c r="AI19" i="8"/>
  <c r="AI147" i="7"/>
  <c r="AI140" i="8"/>
  <c r="AK140" i="8" s="1"/>
  <c r="AI112" i="9"/>
  <c r="AI89" i="7"/>
  <c r="AI155" i="9"/>
  <c r="AI146" i="8"/>
  <c r="AI137" i="9"/>
  <c r="AI116" i="7"/>
  <c r="AM62" i="8" l="1"/>
  <c r="AN62" i="8"/>
  <c r="AN10" i="8"/>
  <c r="AM41" i="7"/>
  <c r="AL92" i="8"/>
  <c r="AL26" i="8"/>
  <c r="AM106" i="7"/>
  <c r="AL106" i="7"/>
  <c r="AN34" i="9"/>
  <c r="AL28" i="8"/>
  <c r="AO28" i="8" s="1"/>
  <c r="AN92" i="8"/>
  <c r="AL98" i="7"/>
  <c r="AO98" i="7" s="1"/>
  <c r="AR98" i="7" s="1"/>
  <c r="AN91" i="8"/>
  <c r="AM33" i="7"/>
  <c r="AL91" i="7"/>
  <c r="AM156" i="9"/>
  <c r="AL46" i="7"/>
  <c r="AM69" i="9"/>
  <c r="AM157" i="8"/>
  <c r="AM92" i="8"/>
  <c r="AM116" i="9"/>
  <c r="AN106" i="7"/>
  <c r="AN106" i="8"/>
  <c r="AP106" i="8" s="1"/>
  <c r="AS106" i="8" s="1"/>
  <c r="BD106" i="8" s="1"/>
  <c r="AK125" i="7"/>
  <c r="AM125" i="7" s="1"/>
  <c r="AM18" i="9"/>
  <c r="AN58" i="8"/>
  <c r="AL32" i="7"/>
  <c r="AL155" i="7"/>
  <c r="AN105" i="8"/>
  <c r="AN156" i="9"/>
  <c r="AN91" i="7"/>
  <c r="AN155" i="7"/>
  <c r="AM41" i="8"/>
  <c r="AN113" i="9"/>
  <c r="AM109" i="7"/>
  <c r="AK104" i="9"/>
  <c r="AN104" i="9" s="1"/>
  <c r="AN41" i="8"/>
  <c r="AN109" i="7"/>
  <c r="AM17" i="8"/>
  <c r="AN113" i="8"/>
  <c r="AL156" i="9"/>
  <c r="AN26" i="7"/>
  <c r="AM36" i="8"/>
  <c r="AN55" i="9"/>
  <c r="AL69" i="8"/>
  <c r="AO69" i="8" s="1"/>
  <c r="AP69" i="8" s="1"/>
  <c r="AS69" i="8" s="1"/>
  <c r="BD69" i="8" s="1"/>
  <c r="AN74" i="8"/>
  <c r="AN69" i="8"/>
  <c r="AL55" i="9"/>
  <c r="AN36" i="8"/>
  <c r="AM102" i="7"/>
  <c r="AN39" i="8"/>
  <c r="AM74" i="8"/>
  <c r="AN65" i="7"/>
  <c r="AL18" i="9"/>
  <c r="AL113" i="8"/>
  <c r="AM113" i="9"/>
  <c r="AM105" i="8"/>
  <c r="AL36" i="8"/>
  <c r="AN18" i="9"/>
  <c r="AM27" i="9"/>
  <c r="AN82" i="8"/>
  <c r="AN14" i="9"/>
  <c r="AM113" i="8"/>
  <c r="AM155" i="7"/>
  <c r="AN122" i="7"/>
  <c r="AL58" i="8"/>
  <c r="AO58" i="8" s="1"/>
  <c r="AR58" i="8" s="1"/>
  <c r="AL39" i="8"/>
  <c r="AO39" i="8" s="1"/>
  <c r="AR39" i="8" s="1"/>
  <c r="AM53" i="9"/>
  <c r="AM58" i="8"/>
  <c r="AM66" i="9"/>
  <c r="AL66" i="9"/>
  <c r="AO66" i="9" s="1"/>
  <c r="AL129" i="8"/>
  <c r="AM129" i="8"/>
  <c r="AM100" i="9"/>
  <c r="AM64" i="9"/>
  <c r="AL135" i="7"/>
  <c r="AM44" i="9"/>
  <c r="AM137" i="8"/>
  <c r="AN122" i="8"/>
  <c r="AL115" i="7"/>
  <c r="AM70" i="7"/>
  <c r="AM55" i="9"/>
  <c r="AM108" i="9"/>
  <c r="AN24" i="7"/>
  <c r="AM120" i="8"/>
  <c r="AN145" i="8"/>
  <c r="AL64" i="9"/>
  <c r="AL8" i="9"/>
  <c r="AO8" i="9" s="1"/>
  <c r="AR8" i="9" s="1"/>
  <c r="AN80" i="9"/>
  <c r="AL24" i="7"/>
  <c r="AO24" i="7" s="1"/>
  <c r="AP24" i="7" s="1"/>
  <c r="AS24" i="7" s="1"/>
  <c r="BD24" i="7" s="1"/>
  <c r="AL104" i="9"/>
  <c r="AO104" i="9" s="1"/>
  <c r="AP104" i="9" s="1"/>
  <c r="AS104" i="9" s="1"/>
  <c r="BD104" i="9" s="1"/>
  <c r="AK138" i="9"/>
  <c r="AN138" i="9" s="1"/>
  <c r="AN148" i="7"/>
  <c r="AN100" i="9"/>
  <c r="AL138" i="8"/>
  <c r="AL133" i="9"/>
  <c r="AK72" i="7"/>
  <c r="AN72" i="7" s="1"/>
  <c r="AM133" i="9"/>
  <c r="AN64" i="9"/>
  <c r="AL108" i="8"/>
  <c r="AO108" i="8" s="1"/>
  <c r="AM26" i="8"/>
  <c r="AN107" i="7"/>
  <c r="AN17" i="8"/>
  <c r="AL137" i="7"/>
  <c r="AO137" i="7" s="1"/>
  <c r="AL74" i="8"/>
  <c r="AO74" i="8" s="1"/>
  <c r="AM65" i="8"/>
  <c r="AK103" i="9"/>
  <c r="AL103" i="9" s="1"/>
  <c r="AO103" i="9" s="1"/>
  <c r="AM28" i="8"/>
  <c r="AN86" i="8"/>
  <c r="AN66" i="9"/>
  <c r="AN133" i="9"/>
  <c r="AK107" i="7"/>
  <c r="AM107" i="7" s="1"/>
  <c r="AL17" i="8"/>
  <c r="AN28" i="8"/>
  <c r="AN26" i="8"/>
  <c r="AL44" i="9"/>
  <c r="AO44" i="9" s="1"/>
  <c r="AR44" i="9" s="1"/>
  <c r="AL26" i="7"/>
  <c r="AL65" i="8"/>
  <c r="AO65" i="8" s="1"/>
  <c r="AR65" i="8" s="1"/>
  <c r="BB65" i="8" s="1"/>
  <c r="AN142" i="9"/>
  <c r="AP142" i="9" s="1"/>
  <c r="AS142" i="9" s="1"/>
  <c r="BD142" i="9" s="1"/>
  <c r="AM10" i="8"/>
  <c r="AL29" i="9"/>
  <c r="AM29" i="9"/>
  <c r="AL140" i="9"/>
  <c r="AM140" i="9"/>
  <c r="AL20" i="8"/>
  <c r="AO20" i="8" s="1"/>
  <c r="AM125" i="8"/>
  <c r="AK87" i="9"/>
  <c r="AL87" i="9" s="1"/>
  <c r="AO87" i="9" s="1"/>
  <c r="AL113" i="9"/>
  <c r="AO113" i="9" s="1"/>
  <c r="AR113" i="9" s="1"/>
  <c r="BB113" i="9" s="1"/>
  <c r="AK52" i="7"/>
  <c r="AN52" i="7" s="1"/>
  <c r="AL117" i="8"/>
  <c r="AO117" i="8" s="1"/>
  <c r="AR117" i="8" s="1"/>
  <c r="AN92" i="9"/>
  <c r="AN116" i="8"/>
  <c r="AP116" i="8" s="1"/>
  <c r="AS116" i="8" s="1"/>
  <c r="BD116" i="8" s="1"/>
  <c r="AL17" i="9"/>
  <c r="AO17" i="9" s="1"/>
  <c r="AR17" i="9" s="1"/>
  <c r="AM9" i="8"/>
  <c r="AL123" i="8"/>
  <c r="AM92" i="9"/>
  <c r="AM87" i="8"/>
  <c r="AL47" i="8"/>
  <c r="AO47" i="8" s="1"/>
  <c r="AM31" i="8"/>
  <c r="AM63" i="7"/>
  <c r="AL127" i="9"/>
  <c r="AM50" i="9"/>
  <c r="AL59" i="9"/>
  <c r="AO59" i="9" s="1"/>
  <c r="AR59" i="9" s="1"/>
  <c r="AL14" i="9"/>
  <c r="AO14" i="9" s="1"/>
  <c r="AR14" i="9" s="1"/>
  <c r="BB14" i="9" s="1"/>
  <c r="AN42" i="9"/>
  <c r="AN67" i="8"/>
  <c r="AP67" i="8" s="1"/>
  <c r="AS67" i="8" s="1"/>
  <c r="BD67" i="8" s="1"/>
  <c r="AL100" i="9"/>
  <c r="AO100" i="9" s="1"/>
  <c r="AR100" i="9" s="1"/>
  <c r="BB100" i="9" s="1"/>
  <c r="AN59" i="7"/>
  <c r="AM145" i="7"/>
  <c r="AM14" i="9"/>
  <c r="AN18" i="7"/>
  <c r="AM95" i="9"/>
  <c r="AK137" i="8"/>
  <c r="AL137" i="8" s="1"/>
  <c r="AM32" i="9"/>
  <c r="AL141" i="7"/>
  <c r="AO141" i="7" s="1"/>
  <c r="AR141" i="7" s="1"/>
  <c r="AN84" i="8"/>
  <c r="AL72" i="9"/>
  <c r="AO72" i="9" s="1"/>
  <c r="AR72" i="9" s="1"/>
  <c r="AN142" i="7"/>
  <c r="AP142" i="7" s="1"/>
  <c r="AQ142" i="7" s="1"/>
  <c r="AT142" i="7" s="1"/>
  <c r="AN93" i="8"/>
  <c r="AM67" i="8"/>
  <c r="AL82" i="8"/>
  <c r="AO82" i="8" s="1"/>
  <c r="AM32" i="7"/>
  <c r="AM142" i="7"/>
  <c r="AN109" i="9"/>
  <c r="AM135" i="9"/>
  <c r="AM42" i="9"/>
  <c r="AM84" i="7"/>
  <c r="AL65" i="7"/>
  <c r="AM109" i="9"/>
  <c r="AL90" i="8"/>
  <c r="AO90" i="8" s="1"/>
  <c r="AL27" i="9"/>
  <c r="AO27" i="9" s="1"/>
  <c r="AR27" i="9" s="1"/>
  <c r="AK15" i="9"/>
  <c r="AL15" i="9" s="1"/>
  <c r="AO15" i="9" s="1"/>
  <c r="AK13" i="7"/>
  <c r="AL13" i="7" s="1"/>
  <c r="AO13" i="7" s="1"/>
  <c r="AR13" i="7" s="1"/>
  <c r="BB13" i="7" s="1"/>
  <c r="AM26" i="7"/>
  <c r="AN74" i="7"/>
  <c r="AL98" i="8"/>
  <c r="AO98" i="8" s="1"/>
  <c r="AP98" i="8" s="1"/>
  <c r="AS98" i="8" s="1"/>
  <c r="BD98" i="8" s="1"/>
  <c r="AN32" i="7"/>
  <c r="AL105" i="8"/>
  <c r="AM154" i="9"/>
  <c r="AN32" i="9"/>
  <c r="AL32" i="9"/>
  <c r="AO32" i="9" s="1"/>
  <c r="AL42" i="9"/>
  <c r="AO42" i="9" s="1"/>
  <c r="AR42" i="9" s="1"/>
  <c r="AL68" i="8"/>
  <c r="AO68" i="8" s="1"/>
  <c r="AR68" i="8" s="1"/>
  <c r="AM156" i="8"/>
  <c r="AN140" i="7"/>
  <c r="AP140" i="7" s="1"/>
  <c r="AS140" i="7" s="1"/>
  <c r="BD140" i="7" s="1"/>
  <c r="AN14" i="8"/>
  <c r="AN154" i="9"/>
  <c r="AL128" i="7"/>
  <c r="AO128" i="7" s="1"/>
  <c r="AR128" i="7" s="1"/>
  <c r="BB128" i="7" s="1"/>
  <c r="AM128" i="7"/>
  <c r="AM49" i="7"/>
  <c r="AM90" i="8"/>
  <c r="AM103" i="8"/>
  <c r="AN100" i="8"/>
  <c r="AK54" i="8"/>
  <c r="AM54" i="8" s="1"/>
  <c r="AN139" i="7"/>
  <c r="AN53" i="9"/>
  <c r="AN139" i="9"/>
  <c r="AM138" i="9"/>
  <c r="AN81" i="9"/>
  <c r="AP81" i="9" s="1"/>
  <c r="AM123" i="7"/>
  <c r="AN121" i="7"/>
  <c r="AL139" i="9"/>
  <c r="AL100" i="8"/>
  <c r="AO100" i="8" s="1"/>
  <c r="AM81" i="9"/>
  <c r="AK36" i="9"/>
  <c r="AM36" i="9" s="1"/>
  <c r="AK123" i="7"/>
  <c r="AN123" i="7" s="1"/>
  <c r="AN125" i="7"/>
  <c r="AL19" i="9"/>
  <c r="AO19" i="9" s="1"/>
  <c r="AR19" i="9" s="1"/>
  <c r="AM137" i="7"/>
  <c r="AN74" i="9"/>
  <c r="AN77" i="8"/>
  <c r="AN108" i="7"/>
  <c r="AP108" i="7" s="1"/>
  <c r="AS108" i="7" s="1"/>
  <c r="BD108" i="7" s="1"/>
  <c r="AK78" i="8"/>
  <c r="AM78" i="8" s="1"/>
  <c r="AM23" i="7"/>
  <c r="AM121" i="7"/>
  <c r="AN49" i="9"/>
  <c r="AM34" i="9"/>
  <c r="AN68" i="8"/>
  <c r="AM19" i="9"/>
  <c r="AN108" i="8"/>
  <c r="AL116" i="9"/>
  <c r="AO116" i="9" s="1"/>
  <c r="AM143" i="9"/>
  <c r="AM65" i="7"/>
  <c r="AN40" i="7"/>
  <c r="AM74" i="9"/>
  <c r="AM56" i="7"/>
  <c r="AM108" i="7"/>
  <c r="AL49" i="9"/>
  <c r="AO49" i="9" s="1"/>
  <c r="AR49" i="9" s="1"/>
  <c r="AM122" i="8"/>
  <c r="AL34" i="9"/>
  <c r="AO34" i="9" s="1"/>
  <c r="AR34" i="9" s="1"/>
  <c r="BB34" i="9" s="1"/>
  <c r="AL148" i="7"/>
  <c r="AO148" i="7" s="1"/>
  <c r="AN59" i="9"/>
  <c r="AL103" i="8"/>
  <c r="AO103" i="8" s="1"/>
  <c r="AR103" i="8" s="1"/>
  <c r="AM105" i="9"/>
  <c r="AL93" i="8"/>
  <c r="AO93" i="8" s="1"/>
  <c r="AR93" i="8" s="1"/>
  <c r="AN110" i="8"/>
  <c r="AM102" i="9"/>
  <c r="AM68" i="8"/>
  <c r="AM77" i="8"/>
  <c r="AL121" i="7"/>
  <c r="AO121" i="7" s="1"/>
  <c r="AR121" i="7" s="1"/>
  <c r="AL88" i="7"/>
  <c r="AO88" i="7" s="1"/>
  <c r="AR88" i="7" s="1"/>
  <c r="AM49" i="9"/>
  <c r="AL53" i="9"/>
  <c r="AO53" i="9" s="1"/>
  <c r="AR53" i="9" s="1"/>
  <c r="AL144" i="9"/>
  <c r="AO144" i="9" s="1"/>
  <c r="AN19" i="9"/>
  <c r="AL102" i="9"/>
  <c r="AO102" i="9" s="1"/>
  <c r="AR102" i="9" s="1"/>
  <c r="AM100" i="8"/>
  <c r="AN119" i="9"/>
  <c r="AK132" i="9"/>
  <c r="AM132" i="9" s="1"/>
  <c r="AL71" i="9"/>
  <c r="AO71" i="9" s="1"/>
  <c r="AN110" i="7"/>
  <c r="AM106" i="8"/>
  <c r="AN102" i="9"/>
  <c r="AL10" i="8"/>
  <c r="AO10" i="8" s="1"/>
  <c r="AN105" i="9"/>
  <c r="AL119" i="9"/>
  <c r="AO119" i="9" s="1"/>
  <c r="AR119" i="9" s="1"/>
  <c r="AL55" i="8"/>
  <c r="AN27" i="9"/>
  <c r="AN63" i="7"/>
  <c r="AP63" i="7" s="1"/>
  <c r="AS63" i="7" s="1"/>
  <c r="BD63" i="7" s="1"/>
  <c r="AN137" i="7"/>
  <c r="AK79" i="9"/>
  <c r="AL79" i="9" s="1"/>
  <c r="AO79" i="9" s="1"/>
  <c r="AR79" i="9" s="1"/>
  <c r="AM138" i="8"/>
  <c r="AL50" i="7"/>
  <c r="AO50" i="7" s="1"/>
  <c r="AL110" i="8"/>
  <c r="AO110" i="8" s="1"/>
  <c r="AM60" i="9"/>
  <c r="AM24" i="7"/>
  <c r="AL125" i="8"/>
  <c r="AO125" i="8" s="1"/>
  <c r="AL153" i="8"/>
  <c r="AO153" i="8" s="1"/>
  <c r="AR153" i="8" s="1"/>
  <c r="AN99" i="8"/>
  <c r="AN90" i="8"/>
  <c r="AM96" i="9"/>
  <c r="AR63" i="7"/>
  <c r="BB63" i="7" s="1"/>
  <c r="AN136" i="7"/>
  <c r="AM136" i="7"/>
  <c r="AN11" i="9"/>
  <c r="AM11" i="9"/>
  <c r="AL11" i="9"/>
  <c r="AO11" i="9" s="1"/>
  <c r="AM37" i="7"/>
  <c r="AN37" i="7"/>
  <c r="AL49" i="8"/>
  <c r="AO49" i="8" s="1"/>
  <c r="AR49" i="8" s="1"/>
  <c r="AN151" i="9"/>
  <c r="AN124" i="8"/>
  <c r="AM115" i="9"/>
  <c r="AM144" i="8"/>
  <c r="AM115" i="7"/>
  <c r="AL136" i="7"/>
  <c r="AO136" i="7" s="1"/>
  <c r="AL144" i="8"/>
  <c r="AM47" i="8"/>
  <c r="AN57" i="9"/>
  <c r="AM152" i="9"/>
  <c r="AN129" i="8"/>
  <c r="AM20" i="9"/>
  <c r="AN111" i="7"/>
  <c r="AP111" i="7" s="1"/>
  <c r="AN35" i="7"/>
  <c r="AP35" i="7" s="1"/>
  <c r="AS35" i="7" s="1"/>
  <c r="BD35" i="7" s="1"/>
  <c r="AL122" i="7"/>
  <c r="AO122" i="7" s="1"/>
  <c r="AN55" i="8"/>
  <c r="AL41" i="7"/>
  <c r="AO41" i="7" s="1"/>
  <c r="AR41" i="7" s="1"/>
  <c r="AM26" i="9"/>
  <c r="AL13" i="9"/>
  <c r="AO13" i="9" s="1"/>
  <c r="AL37" i="9"/>
  <c r="AO37" i="9" s="1"/>
  <c r="AR37" i="9" s="1"/>
  <c r="AN115" i="7"/>
  <c r="AL71" i="7"/>
  <c r="AO71" i="7" s="1"/>
  <c r="AR71" i="7" s="1"/>
  <c r="BB71" i="7" s="1"/>
  <c r="AM54" i="7"/>
  <c r="AN76" i="7"/>
  <c r="AN26" i="9"/>
  <c r="AL58" i="9"/>
  <c r="AO58" i="9" s="1"/>
  <c r="AR58" i="9" s="1"/>
  <c r="AM73" i="9"/>
  <c r="AL52" i="9"/>
  <c r="AO52" i="9" s="1"/>
  <c r="AN29" i="7"/>
  <c r="AM98" i="8"/>
  <c r="AN99" i="9"/>
  <c r="AL97" i="9"/>
  <c r="AO97" i="9" s="1"/>
  <c r="AM136" i="9"/>
  <c r="AN95" i="7"/>
  <c r="AM62" i="7"/>
  <c r="AN134" i="7"/>
  <c r="AM117" i="8"/>
  <c r="AN130" i="8"/>
  <c r="AL151" i="8"/>
  <c r="AO151" i="8" s="1"/>
  <c r="AR151" i="8" s="1"/>
  <c r="BB151" i="8" s="1"/>
  <c r="AM95" i="7"/>
  <c r="AL86" i="9"/>
  <c r="AO86" i="9" s="1"/>
  <c r="AP86" i="9" s="1"/>
  <c r="AS86" i="9" s="1"/>
  <c r="BD86" i="9" s="1"/>
  <c r="AL54" i="7"/>
  <c r="AO54" i="7" s="1"/>
  <c r="AR54" i="7" s="1"/>
  <c r="BB54" i="7" s="1"/>
  <c r="AM80" i="7"/>
  <c r="AN83" i="9"/>
  <c r="AP83" i="9" s="1"/>
  <c r="AS83" i="9" s="1"/>
  <c r="BD83" i="9" s="1"/>
  <c r="AN23" i="9"/>
  <c r="AP23" i="9" s="1"/>
  <c r="AS23" i="9" s="1"/>
  <c r="BD23" i="9" s="1"/>
  <c r="AM98" i="7"/>
  <c r="AM20" i="8"/>
  <c r="AN20" i="8"/>
  <c r="AN61" i="8"/>
  <c r="AN144" i="8"/>
  <c r="AL151" i="9"/>
  <c r="AL129" i="9"/>
  <c r="AN47" i="8"/>
  <c r="AP47" i="8" s="1"/>
  <c r="AS47" i="8" s="1"/>
  <c r="BD47" i="8" s="1"/>
  <c r="AL76" i="9"/>
  <c r="AO76" i="9" s="1"/>
  <c r="AR76" i="9" s="1"/>
  <c r="AM122" i="7"/>
  <c r="AM55" i="7"/>
  <c r="AL106" i="9"/>
  <c r="AL109" i="8"/>
  <c r="AO109" i="8" s="1"/>
  <c r="AP109" i="8" s="1"/>
  <c r="AS109" i="8" s="1"/>
  <c r="BD109" i="8" s="1"/>
  <c r="AN15" i="8"/>
  <c r="AM15" i="8"/>
  <c r="AL15" i="8"/>
  <c r="AO15" i="8" s="1"/>
  <c r="AN146" i="7"/>
  <c r="AL99" i="9"/>
  <c r="AO99" i="9" s="1"/>
  <c r="AO64" i="7"/>
  <c r="AR64" i="7" s="1"/>
  <c r="BB64" i="7" s="1"/>
  <c r="AN44" i="7"/>
  <c r="AM128" i="9"/>
  <c r="AM23" i="9"/>
  <c r="AK66" i="7"/>
  <c r="AN66" i="7"/>
  <c r="AK130" i="9"/>
  <c r="AL130" i="9" s="1"/>
  <c r="AO130" i="9" s="1"/>
  <c r="AN148" i="8"/>
  <c r="AL67" i="7"/>
  <c r="AO67" i="7" s="1"/>
  <c r="AR67" i="7" s="1"/>
  <c r="AL31" i="8"/>
  <c r="AO31" i="8" s="1"/>
  <c r="AP31" i="8" s="1"/>
  <c r="AS31" i="8" s="1"/>
  <c r="BD31" i="8" s="1"/>
  <c r="AM97" i="8"/>
  <c r="AK52" i="8"/>
  <c r="AM52" i="8" s="1"/>
  <c r="AN115" i="8"/>
  <c r="AN126" i="7"/>
  <c r="AM57" i="9"/>
  <c r="AL144" i="7"/>
  <c r="AO144" i="7" s="1"/>
  <c r="AR144" i="7" s="1"/>
  <c r="AN114" i="9"/>
  <c r="AM83" i="8"/>
  <c r="AL104" i="8"/>
  <c r="AO104" i="8" s="1"/>
  <c r="AR104" i="8" s="1"/>
  <c r="AM49" i="8"/>
  <c r="AM146" i="9"/>
  <c r="AK124" i="9"/>
  <c r="AM124" i="9" s="1"/>
  <c r="AM157" i="7"/>
  <c r="AM81" i="7"/>
  <c r="AN60" i="9"/>
  <c r="AP60" i="9" s="1"/>
  <c r="AQ60" i="9" s="1"/>
  <c r="AT60" i="9" s="1"/>
  <c r="BC60" i="9" s="1"/>
  <c r="AL156" i="7"/>
  <c r="AO156" i="7" s="1"/>
  <c r="AN93" i="9"/>
  <c r="AP93" i="9" s="1"/>
  <c r="AM84" i="9"/>
  <c r="AK22" i="7"/>
  <c r="AL22" i="7" s="1"/>
  <c r="AO22" i="7" s="1"/>
  <c r="AR22" i="7" s="1"/>
  <c r="AN124" i="7"/>
  <c r="AM44" i="7"/>
  <c r="AM140" i="7"/>
  <c r="AL33" i="7"/>
  <c r="AO33" i="7" s="1"/>
  <c r="AM139" i="9"/>
  <c r="AM27" i="8"/>
  <c r="AN108" i="9"/>
  <c r="AN146" i="9"/>
  <c r="AL90" i="9"/>
  <c r="AO90" i="9" s="1"/>
  <c r="AR90" i="9" s="1"/>
  <c r="AN23" i="7"/>
  <c r="AP23" i="7" s="1"/>
  <c r="AS23" i="7" s="1"/>
  <c r="BD23" i="7" s="1"/>
  <c r="AN30" i="7"/>
  <c r="AM93" i="9"/>
  <c r="AM83" i="9"/>
  <c r="AL148" i="8"/>
  <c r="AO148" i="8" s="1"/>
  <c r="AN143" i="8"/>
  <c r="AL30" i="7"/>
  <c r="AO30" i="7" s="1"/>
  <c r="AM30" i="7"/>
  <c r="AL115" i="8"/>
  <c r="AO115" i="8" s="1"/>
  <c r="AK126" i="8"/>
  <c r="AL126" i="8" s="1"/>
  <c r="AO126" i="8" s="1"/>
  <c r="AR126" i="8" s="1"/>
  <c r="AM37" i="9"/>
  <c r="AM24" i="8"/>
  <c r="AL141" i="9"/>
  <c r="AO141" i="9" s="1"/>
  <c r="AM12" i="8"/>
  <c r="AN137" i="8"/>
  <c r="AN29" i="9"/>
  <c r="AN118" i="8"/>
  <c r="AN53" i="8"/>
  <c r="AN24" i="8"/>
  <c r="AL152" i="8"/>
  <c r="AO152" i="8" s="1"/>
  <c r="AM86" i="9"/>
  <c r="AM117" i="9"/>
  <c r="AN98" i="7"/>
  <c r="AP98" i="7" s="1"/>
  <c r="AS98" i="7" s="1"/>
  <c r="BD98" i="7" s="1"/>
  <c r="AN61" i="9"/>
  <c r="AM76" i="7"/>
  <c r="AN120" i="8"/>
  <c r="AL60" i="8"/>
  <c r="AO60" i="8" s="1"/>
  <c r="AL52" i="8"/>
  <c r="AO52" i="8" s="1"/>
  <c r="AR52" i="8" s="1"/>
  <c r="AN37" i="9"/>
  <c r="AL70" i="8"/>
  <c r="AO70" i="8" s="1"/>
  <c r="AR70" i="8" s="1"/>
  <c r="AM41" i="9"/>
  <c r="AN152" i="8"/>
  <c r="AN64" i="7"/>
  <c r="AN143" i="9"/>
  <c r="AM64" i="7"/>
  <c r="AL57" i="9"/>
  <c r="AO57" i="9" s="1"/>
  <c r="AR57" i="9" s="1"/>
  <c r="AM148" i="8"/>
  <c r="AL53" i="8"/>
  <c r="AO53" i="8" s="1"/>
  <c r="AM149" i="7"/>
  <c r="AL140" i="8"/>
  <c r="AO140" i="8" s="1"/>
  <c r="AR140" i="8" s="1"/>
  <c r="AM127" i="7"/>
  <c r="AN117" i="9"/>
  <c r="AN72" i="9"/>
  <c r="AK35" i="9"/>
  <c r="AL35" i="9" s="1"/>
  <c r="AO35" i="9" s="1"/>
  <c r="AN41" i="9"/>
  <c r="AN110" i="9"/>
  <c r="AN140" i="9"/>
  <c r="AK121" i="8"/>
  <c r="AM121" i="8" s="1"/>
  <c r="AN50" i="8"/>
  <c r="AN12" i="8"/>
  <c r="AL146" i="7"/>
  <c r="AO146" i="7" s="1"/>
  <c r="AR146" i="7" s="1"/>
  <c r="BB146" i="7" s="1"/>
  <c r="AO134" i="7"/>
  <c r="AR134" i="7" s="1"/>
  <c r="BB134" i="7" s="1"/>
  <c r="AO108" i="9"/>
  <c r="AR108" i="9" s="1"/>
  <c r="BB108" i="9" s="1"/>
  <c r="AO50" i="9"/>
  <c r="AR50" i="9" s="1"/>
  <c r="BB50" i="9" s="1"/>
  <c r="AO85" i="8"/>
  <c r="AR85" i="8" s="1"/>
  <c r="BB85" i="8" s="1"/>
  <c r="AL73" i="9"/>
  <c r="AO73" i="9" s="1"/>
  <c r="AR73" i="9" s="1"/>
  <c r="AN133" i="7"/>
  <c r="AM134" i="7"/>
  <c r="AL90" i="7"/>
  <c r="AO90" i="7" s="1"/>
  <c r="AR90" i="7" s="1"/>
  <c r="AN60" i="8"/>
  <c r="AM71" i="7"/>
  <c r="AN90" i="7"/>
  <c r="AL48" i="8"/>
  <c r="AO48" i="8" s="1"/>
  <c r="AP48" i="8" s="1"/>
  <c r="AS48" i="8" s="1"/>
  <c r="BD48" i="8" s="1"/>
  <c r="AN25" i="9"/>
  <c r="AK122" i="9"/>
  <c r="AN122" i="9" s="1"/>
  <c r="AL20" i="9"/>
  <c r="AO20" i="9" s="1"/>
  <c r="AK33" i="8"/>
  <c r="AL33" i="8" s="1"/>
  <c r="AO33" i="8" s="1"/>
  <c r="AM141" i="7"/>
  <c r="AL80" i="7"/>
  <c r="AO80" i="7" s="1"/>
  <c r="AR80" i="7" s="1"/>
  <c r="AL43" i="9"/>
  <c r="AO43" i="9" s="1"/>
  <c r="AN81" i="7"/>
  <c r="AN87" i="8"/>
  <c r="AP87" i="8" s="1"/>
  <c r="AS87" i="8" s="1"/>
  <c r="BD87" i="8" s="1"/>
  <c r="AL150" i="8"/>
  <c r="AO150" i="8" s="1"/>
  <c r="AP150" i="8" s="1"/>
  <c r="AS150" i="8" s="1"/>
  <c r="BD150" i="8" s="1"/>
  <c r="AN127" i="7"/>
  <c r="AP127" i="7" s="1"/>
  <c r="AS127" i="7" s="1"/>
  <c r="BD127" i="7" s="1"/>
  <c r="AO92" i="8"/>
  <c r="AN85" i="8"/>
  <c r="AM66" i="8"/>
  <c r="AL124" i="7"/>
  <c r="AO124" i="7" s="1"/>
  <c r="AR124" i="7" s="1"/>
  <c r="AL27" i="8"/>
  <c r="AO27" i="8" s="1"/>
  <c r="AR27" i="8" s="1"/>
  <c r="AN49" i="7"/>
  <c r="AM107" i="8"/>
  <c r="AL154" i="9"/>
  <c r="AL80" i="9"/>
  <c r="AO80" i="9" s="1"/>
  <c r="AR80" i="9" s="1"/>
  <c r="BB80" i="9" s="1"/>
  <c r="AL107" i="8"/>
  <c r="AO107" i="8" s="1"/>
  <c r="AR107" i="8" s="1"/>
  <c r="BB107" i="8" s="1"/>
  <c r="AN144" i="7"/>
  <c r="AM25" i="9"/>
  <c r="AN111" i="9"/>
  <c r="AN149" i="9"/>
  <c r="AL61" i="9"/>
  <c r="AO61" i="9" s="1"/>
  <c r="AM151" i="8"/>
  <c r="AM109" i="8"/>
  <c r="AN128" i="7"/>
  <c r="AM134" i="9"/>
  <c r="AM88" i="8"/>
  <c r="AN95" i="9"/>
  <c r="AL60" i="7"/>
  <c r="AO60" i="7" s="1"/>
  <c r="AR73" i="8"/>
  <c r="BB73" i="8" s="1"/>
  <c r="AL66" i="8"/>
  <c r="AO66" i="8" s="1"/>
  <c r="AR66" i="8" s="1"/>
  <c r="AL74" i="7"/>
  <c r="AO74" i="7" s="1"/>
  <c r="AL84" i="8"/>
  <c r="AO84" i="8" s="1"/>
  <c r="AM144" i="7"/>
  <c r="AR106" i="8"/>
  <c r="BB106" i="8" s="1"/>
  <c r="AL157" i="7"/>
  <c r="AO157" i="7" s="1"/>
  <c r="AR157" i="7" s="1"/>
  <c r="AM91" i="9"/>
  <c r="AM40" i="9"/>
  <c r="AM144" i="9"/>
  <c r="AN157" i="7"/>
  <c r="AK23" i="8"/>
  <c r="AM23" i="8" s="1"/>
  <c r="AN120" i="9"/>
  <c r="AL88" i="8"/>
  <c r="AO88" i="8" s="1"/>
  <c r="AP88" i="8" s="1"/>
  <c r="AS88" i="8" s="1"/>
  <c r="BD88" i="8" s="1"/>
  <c r="AN151" i="8"/>
  <c r="AM152" i="8"/>
  <c r="AM85" i="8"/>
  <c r="AM156" i="7"/>
  <c r="AM110" i="7"/>
  <c r="AM48" i="8"/>
  <c r="AL117" i="7"/>
  <c r="AO117" i="7" s="1"/>
  <c r="AR117" i="7" s="1"/>
  <c r="AM21" i="8"/>
  <c r="AN111" i="8"/>
  <c r="AN28" i="9"/>
  <c r="AL156" i="8"/>
  <c r="AO156" i="8" s="1"/>
  <c r="AR156" i="8" s="1"/>
  <c r="AN52" i="9"/>
  <c r="AL25" i="9"/>
  <c r="AO25" i="9" s="1"/>
  <c r="AR25" i="9" s="1"/>
  <c r="AM34" i="8"/>
  <c r="AN43" i="7"/>
  <c r="AN101" i="8"/>
  <c r="AM120" i="9"/>
  <c r="AN9" i="8"/>
  <c r="AM77" i="9"/>
  <c r="AN66" i="8"/>
  <c r="AK51" i="7"/>
  <c r="AM51" i="7" s="1"/>
  <c r="AL51" i="7"/>
  <c r="AL113" i="7"/>
  <c r="AL77" i="9"/>
  <c r="AO77" i="9" s="1"/>
  <c r="AL111" i="9"/>
  <c r="AO111" i="9" s="1"/>
  <c r="AL28" i="9"/>
  <c r="AO28" i="9" s="1"/>
  <c r="AR28" i="9" s="1"/>
  <c r="AN132" i="7"/>
  <c r="AN34" i="8"/>
  <c r="AN120" i="7"/>
  <c r="AM18" i="7"/>
  <c r="AM120" i="7"/>
  <c r="AM145" i="8"/>
  <c r="AN145" i="7"/>
  <c r="AM86" i="7"/>
  <c r="AM94" i="9"/>
  <c r="AN149" i="7"/>
  <c r="AP149" i="7" s="1"/>
  <c r="AS149" i="7" s="1"/>
  <c r="BD149" i="7" s="1"/>
  <c r="AK65" i="9"/>
  <c r="AM65" i="9" s="1"/>
  <c r="AM113" i="7"/>
  <c r="AM108" i="8"/>
  <c r="AM22" i="8"/>
  <c r="AN20" i="9"/>
  <c r="AL114" i="9"/>
  <c r="AO114" i="9" s="1"/>
  <c r="AR114" i="9" s="1"/>
  <c r="AN84" i="9"/>
  <c r="AP84" i="9" s="1"/>
  <c r="AM48" i="7"/>
  <c r="AM107" i="9"/>
  <c r="AL43" i="7"/>
  <c r="AO43" i="7" s="1"/>
  <c r="AR43" i="7" s="1"/>
  <c r="AM124" i="7"/>
  <c r="AL37" i="7"/>
  <c r="AO37" i="7" s="1"/>
  <c r="AR37" i="7" s="1"/>
  <c r="AL86" i="7"/>
  <c r="AO86" i="7" s="1"/>
  <c r="AP86" i="7" s="1"/>
  <c r="AO41" i="9"/>
  <c r="AR41" i="9" s="1"/>
  <c r="BB41" i="9" s="1"/>
  <c r="AO74" i="9"/>
  <c r="AR74" i="9" s="1"/>
  <c r="BB74" i="9" s="1"/>
  <c r="AO149" i="9"/>
  <c r="AL63" i="9"/>
  <c r="AO63" i="9" s="1"/>
  <c r="AM153" i="9"/>
  <c r="AL56" i="7"/>
  <c r="AO56" i="7" s="1"/>
  <c r="AK157" i="9"/>
  <c r="AN157" i="9" s="1"/>
  <c r="AN39" i="9"/>
  <c r="AM39" i="9"/>
  <c r="AN50" i="7"/>
  <c r="AL132" i="7"/>
  <c r="AK78" i="9"/>
  <c r="AN78" i="9" s="1"/>
  <c r="AL78" i="9"/>
  <c r="AL68" i="9"/>
  <c r="AO68" i="9" s="1"/>
  <c r="AR68" i="9" s="1"/>
  <c r="BB68" i="9" s="1"/>
  <c r="AL55" i="7"/>
  <c r="AO55" i="7" s="1"/>
  <c r="AR55" i="7" s="1"/>
  <c r="AM35" i="7"/>
  <c r="AN153" i="7"/>
  <c r="AL69" i="7"/>
  <c r="AO69" i="7" s="1"/>
  <c r="AM153" i="7"/>
  <c r="AL131" i="9"/>
  <c r="AM50" i="8"/>
  <c r="AN117" i="7"/>
  <c r="AN62" i="7"/>
  <c r="AP62" i="7" s="1"/>
  <c r="AS62" i="7" s="1"/>
  <c r="BD62" i="7" s="1"/>
  <c r="AL83" i="8"/>
  <c r="AL157" i="8"/>
  <c r="AO157" i="8" s="1"/>
  <c r="AL86" i="8"/>
  <c r="AN131" i="9"/>
  <c r="AM24" i="9"/>
  <c r="AR91" i="8"/>
  <c r="BB91" i="8" s="1"/>
  <c r="AN70" i="8"/>
  <c r="AN147" i="9"/>
  <c r="AP147" i="9" s="1"/>
  <c r="AN128" i="9"/>
  <c r="AN90" i="9"/>
  <c r="AL153" i="7"/>
  <c r="AO153" i="7" s="1"/>
  <c r="AR153" i="7" s="1"/>
  <c r="AN67" i="7"/>
  <c r="AL95" i="9"/>
  <c r="AM150" i="8"/>
  <c r="AK152" i="7"/>
  <c r="AM152" i="7" s="1"/>
  <c r="AK141" i="8"/>
  <c r="AL141" i="8" s="1"/>
  <c r="AL54" i="9"/>
  <c r="AO54" i="9" s="1"/>
  <c r="AM149" i="9"/>
  <c r="AM32" i="8"/>
  <c r="AL12" i="7"/>
  <c r="AO12" i="7" s="1"/>
  <c r="AK42" i="8"/>
  <c r="AN42" i="8" s="1"/>
  <c r="AM63" i="9"/>
  <c r="AM147" i="9"/>
  <c r="AL111" i="8"/>
  <c r="AO111" i="8" s="1"/>
  <c r="AN53" i="7"/>
  <c r="AP53" i="7" s="1"/>
  <c r="AS53" i="7" s="1"/>
  <c r="BD53" i="7" s="1"/>
  <c r="AL148" i="9"/>
  <c r="AO148" i="9" s="1"/>
  <c r="AR148" i="9" s="1"/>
  <c r="AN96" i="9"/>
  <c r="AP96" i="9" s="1"/>
  <c r="AS96" i="9" s="1"/>
  <c r="BD96" i="9" s="1"/>
  <c r="AM129" i="9"/>
  <c r="AL16" i="8"/>
  <c r="AO16" i="8" s="1"/>
  <c r="AR16" i="8" s="1"/>
  <c r="AN94" i="9"/>
  <c r="AP94" i="9" s="1"/>
  <c r="AM126" i="7"/>
  <c r="AM153" i="8"/>
  <c r="AR96" i="9"/>
  <c r="BB96" i="9" s="1"/>
  <c r="AN156" i="8"/>
  <c r="AL130" i="8"/>
  <c r="AO130" i="8" s="1"/>
  <c r="AL32" i="8"/>
  <c r="AO32" i="8" s="1"/>
  <c r="AM68" i="9"/>
  <c r="AM140" i="8"/>
  <c r="AL118" i="8"/>
  <c r="AO118" i="8" s="1"/>
  <c r="AR118" i="8" s="1"/>
  <c r="AR111" i="7"/>
  <c r="BB111" i="7" s="1"/>
  <c r="AN58" i="9"/>
  <c r="AL154" i="7"/>
  <c r="AO154" i="7" s="1"/>
  <c r="AM139" i="8"/>
  <c r="AL110" i="9"/>
  <c r="AO110" i="9" s="1"/>
  <c r="AN141" i="9"/>
  <c r="AL143" i="7"/>
  <c r="AO143" i="7" s="1"/>
  <c r="AL82" i="9"/>
  <c r="AM16" i="8"/>
  <c r="AK92" i="7"/>
  <c r="AM92" i="7" s="1"/>
  <c r="AK94" i="7"/>
  <c r="AN94" i="7" s="1"/>
  <c r="AL139" i="8"/>
  <c r="AO139" i="8" s="1"/>
  <c r="AK67" i="9"/>
  <c r="AM67" i="9" s="1"/>
  <c r="AL132" i="8"/>
  <c r="AL24" i="9"/>
  <c r="AO24" i="9" s="1"/>
  <c r="AM111" i="7"/>
  <c r="AL155" i="8"/>
  <c r="AO155" i="8" s="1"/>
  <c r="AM21" i="7"/>
  <c r="AM127" i="8"/>
  <c r="AN54" i="9"/>
  <c r="AN143" i="7"/>
  <c r="AN70" i="7"/>
  <c r="AN21" i="7"/>
  <c r="AM58" i="9"/>
  <c r="AN136" i="8"/>
  <c r="AO26" i="7"/>
  <c r="AR26" i="7" s="1"/>
  <c r="AN132" i="8"/>
  <c r="AM141" i="9"/>
  <c r="AL9" i="9"/>
  <c r="AO9" i="9" s="1"/>
  <c r="AN141" i="7"/>
  <c r="AL134" i="9"/>
  <c r="AO134" i="9" s="1"/>
  <c r="AL54" i="8"/>
  <c r="AN13" i="9"/>
  <c r="AL34" i="7"/>
  <c r="AO34" i="7" s="1"/>
  <c r="AM34" i="7"/>
  <c r="AN12" i="7"/>
  <c r="AN154" i="7"/>
  <c r="AL101" i="9"/>
  <c r="AO101" i="9" s="1"/>
  <c r="AK45" i="8"/>
  <c r="AN45" i="8"/>
  <c r="AN82" i="9"/>
  <c r="AL136" i="8"/>
  <c r="AO136" i="8" s="1"/>
  <c r="AM53" i="7"/>
  <c r="AK121" i="9"/>
  <c r="AN121" i="9" s="1"/>
  <c r="BB140" i="7"/>
  <c r="BB147" i="9"/>
  <c r="BB100" i="7"/>
  <c r="BB58" i="8"/>
  <c r="AO93" i="7"/>
  <c r="AR93" i="7"/>
  <c r="AO102" i="7"/>
  <c r="AR102" i="7" s="1"/>
  <c r="BB44" i="9"/>
  <c r="AO119" i="8"/>
  <c r="AR119" i="8" s="1"/>
  <c r="AO134" i="8"/>
  <c r="BB127" i="7"/>
  <c r="BB48" i="7"/>
  <c r="BB35" i="7"/>
  <c r="BB142" i="9"/>
  <c r="BB62" i="7"/>
  <c r="AO26" i="9"/>
  <c r="BB98" i="7"/>
  <c r="BB116" i="8"/>
  <c r="AO117" i="9"/>
  <c r="AR117" i="9"/>
  <c r="BB94" i="9"/>
  <c r="BB81" i="9"/>
  <c r="AO120" i="9"/>
  <c r="AR120" i="9" s="1"/>
  <c r="AO107" i="9"/>
  <c r="AR107" i="9" s="1"/>
  <c r="AL102" i="8"/>
  <c r="AM102" i="8"/>
  <c r="AK25" i="8"/>
  <c r="AL25" i="8" s="1"/>
  <c r="BB79" i="9"/>
  <c r="AK89" i="7"/>
  <c r="AN89" i="7" s="1"/>
  <c r="AK51" i="9"/>
  <c r="AL51" i="9" s="1"/>
  <c r="AO73" i="7"/>
  <c r="AR73" i="7" s="1"/>
  <c r="AO77" i="8"/>
  <c r="AR77" i="8" s="1"/>
  <c r="AL124" i="8"/>
  <c r="AL30" i="8"/>
  <c r="AM30" i="8"/>
  <c r="AK147" i="7"/>
  <c r="AM147" i="7" s="1"/>
  <c r="AP68" i="7"/>
  <c r="AS68" i="7" s="1"/>
  <c r="BD68" i="7" s="1"/>
  <c r="AM139" i="7"/>
  <c r="AL139" i="7"/>
  <c r="AK39" i="7"/>
  <c r="AM39" i="7" s="1"/>
  <c r="AO40" i="9"/>
  <c r="AK71" i="8"/>
  <c r="AM71" i="8" s="1"/>
  <c r="AK11" i="8"/>
  <c r="AL11" i="8" s="1"/>
  <c r="AM134" i="8"/>
  <c r="AO49" i="7"/>
  <c r="AR49" i="7" s="1"/>
  <c r="AN18" i="8"/>
  <c r="AL18" i="8"/>
  <c r="BB131" i="8"/>
  <c r="AO64" i="9"/>
  <c r="AR64" i="9" s="1"/>
  <c r="AK125" i="9"/>
  <c r="AN125" i="9" s="1"/>
  <c r="AK16" i="9"/>
  <c r="AL16" i="9" s="1"/>
  <c r="AN102" i="7"/>
  <c r="AL91" i="9"/>
  <c r="AO55" i="9"/>
  <c r="AR55" i="9" s="1"/>
  <c r="AK80" i="8"/>
  <c r="AN80" i="8" s="1"/>
  <c r="AL36" i="7"/>
  <c r="AN36" i="7"/>
  <c r="AO58" i="7"/>
  <c r="AR58" i="7" s="1"/>
  <c r="AP73" i="8"/>
  <c r="AS73" i="8" s="1"/>
  <c r="BD73" i="8" s="1"/>
  <c r="AO95" i="7"/>
  <c r="AR95" i="7" s="1"/>
  <c r="AO91" i="7"/>
  <c r="AR91" i="7" s="1"/>
  <c r="AO21" i="7"/>
  <c r="AR21" i="7" s="1"/>
  <c r="AK33" i="9"/>
  <c r="AL33" i="9" s="1"/>
  <c r="AK13" i="8"/>
  <c r="AM13" i="8" s="1"/>
  <c r="AN129" i="9"/>
  <c r="AM12" i="9"/>
  <c r="AL12" i="9"/>
  <c r="AN15" i="7"/>
  <c r="AL97" i="8"/>
  <c r="AN97" i="9"/>
  <c r="AO18" i="9"/>
  <c r="AO41" i="8"/>
  <c r="AR41" i="8" s="1"/>
  <c r="AM58" i="7"/>
  <c r="AL115" i="9"/>
  <c r="AL21" i="9"/>
  <c r="AM61" i="8"/>
  <c r="AL127" i="8"/>
  <c r="AK8" i="8"/>
  <c r="AL8" i="8" s="1"/>
  <c r="AN113" i="7"/>
  <c r="AO50" i="8"/>
  <c r="AO81" i="7"/>
  <c r="AR81" i="7" s="1"/>
  <c r="AO143" i="8"/>
  <c r="AR143" i="8" s="1"/>
  <c r="AK29" i="8"/>
  <c r="AL29" i="8" s="1"/>
  <c r="AL136" i="9"/>
  <c r="AN44" i="8"/>
  <c r="AL44" i="8"/>
  <c r="AK82" i="7"/>
  <c r="AM82" i="7" s="1"/>
  <c r="AL82" i="7"/>
  <c r="AN40" i="9"/>
  <c r="AK57" i="7"/>
  <c r="AL57" i="7" s="1"/>
  <c r="AN127" i="8"/>
  <c r="AL153" i="9"/>
  <c r="AO72" i="8"/>
  <c r="AR72" i="8" s="1"/>
  <c r="AO9" i="7"/>
  <c r="AR9" i="7" s="1"/>
  <c r="AN8" i="9"/>
  <c r="AN107" i="9"/>
  <c r="AO39" i="9"/>
  <c r="AR39" i="9" s="1"/>
  <c r="AR60" i="9"/>
  <c r="AO140" i="9"/>
  <c r="AR140" i="9" s="1"/>
  <c r="AO145" i="8"/>
  <c r="AR145" i="8" s="1"/>
  <c r="AN58" i="7"/>
  <c r="AL62" i="8"/>
  <c r="AO98" i="9"/>
  <c r="AR98" i="9" s="1"/>
  <c r="AP114" i="7"/>
  <c r="AS114" i="7" s="1"/>
  <c r="BD114" i="7" s="1"/>
  <c r="AO129" i="8"/>
  <c r="AR129" i="8" s="1"/>
  <c r="BB125" i="7"/>
  <c r="AO105" i="7"/>
  <c r="AR105" i="7" s="1"/>
  <c r="AK14" i="7"/>
  <c r="AL14" i="7" s="1"/>
  <c r="AO105" i="8"/>
  <c r="AR105" i="8" s="1"/>
  <c r="AO113" i="7"/>
  <c r="AR113" i="7" s="1"/>
  <c r="AK11" i="7"/>
  <c r="AM11" i="7" s="1"/>
  <c r="BB27" i="9"/>
  <c r="AK112" i="8"/>
  <c r="AM112" i="8" s="1"/>
  <c r="AK22" i="9"/>
  <c r="AL22" i="9" s="1"/>
  <c r="AM22" i="9"/>
  <c r="AK75" i="9"/>
  <c r="AL75" i="9" s="1"/>
  <c r="AM14" i="8"/>
  <c r="AL14" i="8"/>
  <c r="AK129" i="7"/>
  <c r="AM129" i="7" s="1"/>
  <c r="AK142" i="8"/>
  <c r="AL142" i="8" s="1"/>
  <c r="AO38" i="8"/>
  <c r="AR38" i="8" s="1"/>
  <c r="AM47" i="7"/>
  <c r="AL47" i="7"/>
  <c r="AK104" i="7"/>
  <c r="AL104" i="7" s="1"/>
  <c r="AK64" i="8"/>
  <c r="AN64" i="8" s="1"/>
  <c r="AK38" i="9"/>
  <c r="AL38" i="9" s="1"/>
  <c r="AK48" i="9"/>
  <c r="AM48" i="9" s="1"/>
  <c r="AO110" i="7"/>
  <c r="AR110" i="7" s="1"/>
  <c r="AN104" i="8"/>
  <c r="AN84" i="7"/>
  <c r="AK25" i="7"/>
  <c r="AN25" i="7" s="1"/>
  <c r="AM101" i="8"/>
  <c r="AN153" i="9"/>
  <c r="AN150" i="9"/>
  <c r="AL150" i="9"/>
  <c r="AK35" i="8"/>
  <c r="AM35" i="8" s="1"/>
  <c r="AP66" i="9"/>
  <c r="AS66" i="9" s="1"/>
  <c r="BD66" i="9" s="1"/>
  <c r="AP48" i="7"/>
  <c r="AO109" i="7"/>
  <c r="AO12" i="8"/>
  <c r="AR12" i="8" s="1"/>
  <c r="AO63" i="8"/>
  <c r="AR63" i="8" s="1"/>
  <c r="AO123" i="8"/>
  <c r="AR123" i="8" s="1"/>
  <c r="AR149" i="7"/>
  <c r="AN28" i="7"/>
  <c r="AL28" i="7"/>
  <c r="AN76" i="9"/>
  <c r="AR137" i="7"/>
  <c r="AK88" i="9"/>
  <c r="AN88" i="9" s="1"/>
  <c r="AN140" i="8"/>
  <c r="AL22" i="8"/>
  <c r="AO42" i="7"/>
  <c r="AR42" i="7" s="1"/>
  <c r="AO65" i="7"/>
  <c r="AR65" i="7" s="1"/>
  <c r="AO26" i="8"/>
  <c r="AR26" i="8" s="1"/>
  <c r="AN134" i="8"/>
  <c r="AM101" i="9"/>
  <c r="BB77" i="7"/>
  <c r="AO55" i="8"/>
  <c r="AR55" i="8" s="1"/>
  <c r="AO69" i="9"/>
  <c r="AR69" i="9" s="1"/>
  <c r="AO17" i="8"/>
  <c r="AK37" i="8"/>
  <c r="AN37" i="8" s="1"/>
  <c r="AK75" i="7"/>
  <c r="AM75" i="7" s="1"/>
  <c r="AO109" i="9"/>
  <c r="AR109" i="9" s="1"/>
  <c r="AO143" i="9"/>
  <c r="AR143" i="9" s="1"/>
  <c r="AK79" i="8"/>
  <c r="AN79" i="8" s="1"/>
  <c r="AO120" i="8"/>
  <c r="AR120" i="8" s="1"/>
  <c r="AP131" i="8"/>
  <c r="AS131" i="8" s="1"/>
  <c r="BD131" i="8" s="1"/>
  <c r="AO46" i="8"/>
  <c r="AN21" i="9"/>
  <c r="AK118" i="9"/>
  <c r="AN118" i="9" s="1"/>
  <c r="AK135" i="8"/>
  <c r="AL135" i="8" s="1"/>
  <c r="AM135" i="8"/>
  <c r="AK19" i="8"/>
  <c r="AL19" i="8" s="1"/>
  <c r="AO133" i="8"/>
  <c r="AR133" i="8" s="1"/>
  <c r="AK138" i="7"/>
  <c r="AL138" i="7" s="1"/>
  <c r="AO135" i="9"/>
  <c r="AR135" i="9" s="1"/>
  <c r="AK150" i="7"/>
  <c r="AN150" i="7" s="1"/>
  <c r="AM119" i="8"/>
  <c r="AM123" i="8"/>
  <c r="AN9" i="9"/>
  <c r="BB93" i="9"/>
  <c r="AP44" i="7"/>
  <c r="AS44" i="7" s="1"/>
  <c r="BD44" i="7" s="1"/>
  <c r="AK147" i="8"/>
  <c r="AM147" i="8" s="1"/>
  <c r="BB103" i="7"/>
  <c r="AM9" i="9"/>
  <c r="AK146" i="8"/>
  <c r="AN146" i="8" s="1"/>
  <c r="AM90" i="9"/>
  <c r="AK130" i="7"/>
  <c r="AN130" i="7" s="1"/>
  <c r="AP14" i="9"/>
  <c r="AS14" i="9" s="1"/>
  <c r="BD14" i="9" s="1"/>
  <c r="AN97" i="8"/>
  <c r="AK145" i="9"/>
  <c r="AN145" i="9" s="1"/>
  <c r="AN24" i="9"/>
  <c r="AO76" i="7"/>
  <c r="AR76" i="7" s="1"/>
  <c r="AN61" i="7"/>
  <c r="AK56" i="8"/>
  <c r="AM56" i="8" s="1"/>
  <c r="AO19" i="7"/>
  <c r="AR19" i="7" s="1"/>
  <c r="AL152" i="9"/>
  <c r="AM94" i="8"/>
  <c r="AR44" i="7"/>
  <c r="AP103" i="7"/>
  <c r="AS103" i="7" s="1"/>
  <c r="BD103" i="7" s="1"/>
  <c r="AK119" i="7"/>
  <c r="AM119" i="7" s="1"/>
  <c r="AN69" i="7"/>
  <c r="AM59" i="7"/>
  <c r="AO70" i="7"/>
  <c r="AR70" i="7" s="1"/>
  <c r="AL15" i="7"/>
  <c r="AN60" i="7"/>
  <c r="AO146" i="9"/>
  <c r="AR146" i="9" s="1"/>
  <c r="AM88" i="7"/>
  <c r="AN153" i="8"/>
  <c r="AO120" i="7"/>
  <c r="AR120" i="7" s="1"/>
  <c r="AR66" i="9"/>
  <c r="AO118" i="7"/>
  <c r="AR118" i="7" s="1"/>
  <c r="AK45" i="9"/>
  <c r="AN45" i="9" s="1"/>
  <c r="AO127" i="9"/>
  <c r="AK59" i="8"/>
  <c r="AN59" i="8" s="1"/>
  <c r="AR23" i="7"/>
  <c r="AR114" i="7"/>
  <c r="AO122" i="8"/>
  <c r="AR122" i="8" s="1"/>
  <c r="AO29" i="7"/>
  <c r="AR29" i="7" s="1"/>
  <c r="AK46" i="9"/>
  <c r="AL46" i="9" s="1"/>
  <c r="AL75" i="8"/>
  <c r="AN75" i="8"/>
  <c r="AP18" i="7"/>
  <c r="AK81" i="8"/>
  <c r="AL81" i="8" s="1"/>
  <c r="AM124" i="8"/>
  <c r="BB142" i="7"/>
  <c r="AM127" i="9"/>
  <c r="AK123" i="9"/>
  <c r="AM123" i="9" s="1"/>
  <c r="AR68" i="7"/>
  <c r="AR18" i="7"/>
  <c r="AN17" i="9"/>
  <c r="AO29" i="9"/>
  <c r="AR29" i="9" s="1"/>
  <c r="AK96" i="7"/>
  <c r="AM96" i="7" s="1"/>
  <c r="AM75" i="8"/>
  <c r="AN123" i="8"/>
  <c r="AO145" i="7"/>
  <c r="AR145" i="7" s="1"/>
  <c r="AM17" i="9"/>
  <c r="AO27" i="7"/>
  <c r="AR27" i="7" s="1"/>
  <c r="AO135" i="7"/>
  <c r="AR135" i="7" s="1"/>
  <c r="AK112" i="9"/>
  <c r="AN112" i="9" s="1"/>
  <c r="AK10" i="9"/>
  <c r="AL10" i="9" s="1"/>
  <c r="AO32" i="7"/>
  <c r="AR32" i="7" s="1"/>
  <c r="AO115" i="7"/>
  <c r="AR115" i="7" s="1"/>
  <c r="AO155" i="7"/>
  <c r="AN127" i="9"/>
  <c r="AK151" i="7"/>
  <c r="AL151" i="7" s="1"/>
  <c r="AO38" i="7"/>
  <c r="AR38" i="7" s="1"/>
  <c r="AO62" i="9"/>
  <c r="AR62" i="9" s="1"/>
  <c r="AN31" i="9"/>
  <c r="AM61" i="7"/>
  <c r="AK30" i="9"/>
  <c r="AL30" i="9" s="1"/>
  <c r="AK112" i="7"/>
  <c r="AL112" i="7" s="1"/>
  <c r="AK45" i="7"/>
  <c r="AL45" i="7" s="1"/>
  <c r="AN94" i="8"/>
  <c r="AK96" i="8"/>
  <c r="AL96" i="8" s="1"/>
  <c r="AO92" i="9"/>
  <c r="AR92" i="9" s="1"/>
  <c r="AK8" i="7"/>
  <c r="AL8" i="7" s="1"/>
  <c r="AO59" i="7"/>
  <c r="AR59" i="7" s="1"/>
  <c r="AO106" i="7"/>
  <c r="AR106" i="7" s="1"/>
  <c r="AO24" i="8"/>
  <c r="AR24" i="8" s="1"/>
  <c r="AL128" i="8"/>
  <c r="AP56" i="9"/>
  <c r="AS56" i="9" s="1"/>
  <c r="BD56" i="9" s="1"/>
  <c r="AN80" i="7"/>
  <c r="AL40" i="7"/>
  <c r="BB84" i="9"/>
  <c r="AL85" i="7"/>
  <c r="AN85" i="7"/>
  <c r="AO113" i="8"/>
  <c r="AR113" i="8" s="1"/>
  <c r="BB53" i="7"/>
  <c r="AK85" i="9"/>
  <c r="AM85" i="9" s="1"/>
  <c r="AK10" i="7"/>
  <c r="AN10" i="7" s="1"/>
  <c r="AM10" i="7"/>
  <c r="BB83" i="9"/>
  <c r="AR108" i="7"/>
  <c r="BB87" i="8"/>
  <c r="AO99" i="8"/>
  <c r="AR99" i="8" s="1"/>
  <c r="AL20" i="7"/>
  <c r="AN20" i="7"/>
  <c r="AO151" i="9"/>
  <c r="AR151" i="9" s="1"/>
  <c r="AP100" i="7"/>
  <c r="AS100" i="7" s="1"/>
  <c r="BD100" i="7" s="1"/>
  <c r="AK47" i="9"/>
  <c r="AN47" i="9" s="1"/>
  <c r="AK97" i="7"/>
  <c r="AN97" i="7" s="1"/>
  <c r="AK31" i="7"/>
  <c r="AM31" i="7" s="1"/>
  <c r="AK76" i="8"/>
  <c r="AL76" i="8" s="1"/>
  <c r="AL89" i="8"/>
  <c r="AN101" i="9"/>
  <c r="AM76" i="9"/>
  <c r="AK154" i="8"/>
  <c r="AL154" i="8" s="1"/>
  <c r="AK79" i="7"/>
  <c r="AL79" i="7" s="1"/>
  <c r="AO137" i="8"/>
  <c r="AR137" i="8" s="1"/>
  <c r="BB67" i="8"/>
  <c r="AK95" i="8"/>
  <c r="AN95" i="8" s="1"/>
  <c r="AP77" i="7"/>
  <c r="AS77" i="7" s="1"/>
  <c r="BD77" i="7" s="1"/>
  <c r="AK149" i="8"/>
  <c r="AL149" i="8" s="1"/>
  <c r="AO133" i="7"/>
  <c r="AR133" i="7" s="1"/>
  <c r="AL101" i="8"/>
  <c r="AK101" i="7"/>
  <c r="AL101" i="7" s="1"/>
  <c r="AO101" i="7" s="1"/>
  <c r="AR101" i="7" s="1"/>
  <c r="AM63" i="8"/>
  <c r="AM104" i="8"/>
  <c r="AO129" i="9"/>
  <c r="AO126" i="7"/>
  <c r="AR126" i="7" s="1"/>
  <c r="AO84" i="7"/>
  <c r="AR84" i="7" s="1"/>
  <c r="AK116" i="7"/>
  <c r="AM116" i="7" s="1"/>
  <c r="AP99" i="7"/>
  <c r="AS99" i="7" s="1"/>
  <c r="BD99" i="7" s="1"/>
  <c r="AK131" i="7"/>
  <c r="AN131" i="7" s="1"/>
  <c r="AK16" i="7"/>
  <c r="AN16" i="7" s="1"/>
  <c r="AK87" i="7"/>
  <c r="AN87" i="7" s="1"/>
  <c r="AO17" i="7"/>
  <c r="AR17" i="7" s="1"/>
  <c r="AK40" i="8"/>
  <c r="AL40" i="8" s="1"/>
  <c r="AN40" i="8"/>
  <c r="AO61" i="7"/>
  <c r="AL114" i="8"/>
  <c r="AM114" i="8"/>
  <c r="AK78" i="7"/>
  <c r="AL78" i="7" s="1"/>
  <c r="AO105" i="9"/>
  <c r="AR105" i="9" s="1"/>
  <c r="AO94" i="8"/>
  <c r="AO36" i="8"/>
  <c r="AR36" i="8" s="1"/>
  <c r="AN22" i="8"/>
  <c r="AO133" i="9"/>
  <c r="AR133" i="9" s="1"/>
  <c r="AN105" i="7"/>
  <c r="AO156" i="9"/>
  <c r="AR156" i="9" s="1"/>
  <c r="AN128" i="8"/>
  <c r="AM93" i="7"/>
  <c r="AN93" i="7"/>
  <c r="AO128" i="9"/>
  <c r="AR128" i="9" s="1"/>
  <c r="BB56" i="9"/>
  <c r="AM106" i="9"/>
  <c r="AK137" i="9"/>
  <c r="AL137" i="9" s="1"/>
  <c r="AK155" i="9"/>
  <c r="AN155" i="9" s="1"/>
  <c r="AK57" i="8"/>
  <c r="AN57" i="8" s="1"/>
  <c r="AR23" i="9"/>
  <c r="AR99" i="7"/>
  <c r="AN21" i="8"/>
  <c r="AP91" i="8"/>
  <c r="AS91" i="8" s="1"/>
  <c r="BD91" i="8" s="1"/>
  <c r="AL31" i="9"/>
  <c r="AM31" i="9"/>
  <c r="AO70" i="9"/>
  <c r="AR70" i="9" s="1"/>
  <c r="AO139" i="9"/>
  <c r="AK43" i="8"/>
  <c r="AM43" i="8" s="1"/>
  <c r="AO138" i="8"/>
  <c r="AN119" i="8"/>
  <c r="AL83" i="7"/>
  <c r="AN83" i="7"/>
  <c r="AL21" i="8"/>
  <c r="AK126" i="9"/>
  <c r="AL126" i="9" s="1"/>
  <c r="AM85" i="7"/>
  <c r="AN102" i="8"/>
  <c r="AN63" i="8"/>
  <c r="AK51" i="8"/>
  <c r="AL51" i="8" s="1"/>
  <c r="AP125" i="7"/>
  <c r="AR47" i="8"/>
  <c r="AO9" i="8"/>
  <c r="AR9" i="8" s="1"/>
  <c r="AM105" i="7"/>
  <c r="AO46" i="7"/>
  <c r="AR46" i="7" s="1"/>
  <c r="AK89" i="9"/>
  <c r="AM89" i="9" s="1"/>
  <c r="AO34" i="8"/>
  <c r="AR34" i="8" s="1"/>
  <c r="AM29" i="7"/>
  <c r="AM99" i="8"/>
  <c r="AM89" i="8"/>
  <c r="AO144" i="8"/>
  <c r="AR144" i="8" s="1"/>
  <c r="AL61" i="8"/>
  <c r="AP58" i="8" l="1"/>
  <c r="AQ58" i="8" s="1"/>
  <c r="AT58" i="8" s="1"/>
  <c r="AL147" i="7"/>
  <c r="AP92" i="8"/>
  <c r="AS92" i="8" s="1"/>
  <c r="BD92" i="8" s="1"/>
  <c r="AM104" i="9"/>
  <c r="AN87" i="9"/>
  <c r="AP137" i="7"/>
  <c r="AS137" i="7" s="1"/>
  <c r="BD137" i="7" s="1"/>
  <c r="AR98" i="8"/>
  <c r="AP113" i="9"/>
  <c r="AS113" i="9" s="1"/>
  <c r="BD113" i="9" s="1"/>
  <c r="AM87" i="7"/>
  <c r="AQ81" i="9"/>
  <c r="AT81" i="9" s="1"/>
  <c r="BC81" i="9" s="1"/>
  <c r="AL138" i="9"/>
  <c r="AN82" i="7"/>
  <c r="AM79" i="9"/>
  <c r="AM130" i="9"/>
  <c r="AR24" i="7"/>
  <c r="BB24" i="7" s="1"/>
  <c r="AP44" i="9"/>
  <c r="AS44" i="9" s="1"/>
  <c r="BD44" i="9" s="1"/>
  <c r="AP20" i="8"/>
  <c r="AS20" i="8" s="1"/>
  <c r="BD20" i="8" s="1"/>
  <c r="AR69" i="8"/>
  <c r="BB69" i="8" s="1"/>
  <c r="AM15" i="9"/>
  <c r="AM52" i="7"/>
  <c r="AN124" i="9"/>
  <c r="AP34" i="9"/>
  <c r="AS34" i="9" s="1"/>
  <c r="BD34" i="9" s="1"/>
  <c r="AL52" i="7"/>
  <c r="AO52" i="7" s="1"/>
  <c r="AP52" i="7" s="1"/>
  <c r="AS52" i="7" s="1"/>
  <c r="BD52" i="7" s="1"/>
  <c r="AL107" i="7"/>
  <c r="AO107" i="7" s="1"/>
  <c r="AP107" i="7" s="1"/>
  <c r="AS107" i="7" s="1"/>
  <c r="BD107" i="7" s="1"/>
  <c r="AL45" i="9"/>
  <c r="AN79" i="9"/>
  <c r="AP79" i="9" s="1"/>
  <c r="AS79" i="9" s="1"/>
  <c r="BD79" i="9" s="1"/>
  <c r="AP148" i="7"/>
  <c r="AS148" i="7" s="1"/>
  <c r="BD148" i="7" s="1"/>
  <c r="AR103" i="9"/>
  <c r="BB103" i="9" s="1"/>
  <c r="AL123" i="9"/>
  <c r="AO123" i="9" s="1"/>
  <c r="AP128" i="7"/>
  <c r="AS128" i="7" s="1"/>
  <c r="BD128" i="7" s="1"/>
  <c r="AL72" i="7"/>
  <c r="AO72" i="7" s="1"/>
  <c r="AR72" i="7" s="1"/>
  <c r="BB72" i="7" s="1"/>
  <c r="AM72" i="7"/>
  <c r="AN103" i="9"/>
  <c r="AP103" i="9" s="1"/>
  <c r="AS103" i="9" s="1"/>
  <c r="BD103" i="9" s="1"/>
  <c r="AR148" i="7"/>
  <c r="BB148" i="7" s="1"/>
  <c r="AP27" i="9"/>
  <c r="AS27" i="9" s="1"/>
  <c r="BD27" i="9" s="1"/>
  <c r="AM11" i="8"/>
  <c r="AP134" i="7"/>
  <c r="AS134" i="7" s="1"/>
  <c r="BD134" i="7" s="1"/>
  <c r="AM103" i="9"/>
  <c r="AR115" i="8"/>
  <c r="BB115" i="8" s="1"/>
  <c r="AP100" i="9"/>
  <c r="AS100" i="9" s="1"/>
  <c r="BD100" i="9" s="1"/>
  <c r="AR104" i="9"/>
  <c r="BB104" i="9" s="1"/>
  <c r="AN135" i="8"/>
  <c r="AR20" i="8"/>
  <c r="BB20" i="8" s="1"/>
  <c r="AL65" i="9"/>
  <c r="AO65" i="9" s="1"/>
  <c r="AP146" i="7"/>
  <c r="AQ146" i="7" s="1"/>
  <c r="AT146" i="7" s="1"/>
  <c r="AS142" i="7"/>
  <c r="BD142" i="7" s="1"/>
  <c r="AQ73" i="8"/>
  <c r="AT73" i="8" s="1"/>
  <c r="BC73" i="8" s="1"/>
  <c r="AR86" i="9"/>
  <c r="AN141" i="8"/>
  <c r="AL78" i="8"/>
  <c r="AO78" i="8" s="1"/>
  <c r="AP78" i="8" s="1"/>
  <c r="AS78" i="8" s="1"/>
  <c r="BD78" i="8" s="1"/>
  <c r="AN35" i="9"/>
  <c r="AP35" i="9" s="1"/>
  <c r="AM157" i="9"/>
  <c r="AM13" i="7"/>
  <c r="AN101" i="7"/>
  <c r="AP101" i="7" s="1"/>
  <c r="AS101" i="7" s="1"/>
  <c r="BD101" i="7" s="1"/>
  <c r="AM154" i="8"/>
  <c r="AN123" i="9"/>
  <c r="AP54" i="9"/>
  <c r="AS54" i="9" s="1"/>
  <c r="BD54" i="9" s="1"/>
  <c r="AN51" i="7"/>
  <c r="AN13" i="7"/>
  <c r="AP13" i="7" s="1"/>
  <c r="AS13" i="7" s="1"/>
  <c r="BD13" i="7" s="1"/>
  <c r="AM38" i="9"/>
  <c r="AP115" i="8"/>
  <c r="AS115" i="8" s="1"/>
  <c r="BD115" i="8" s="1"/>
  <c r="AL123" i="7"/>
  <c r="AO123" i="7" s="1"/>
  <c r="AR123" i="7" s="1"/>
  <c r="BB123" i="7" s="1"/>
  <c r="AN8" i="7"/>
  <c r="AN38" i="9"/>
  <c r="AM80" i="8"/>
  <c r="AP71" i="7"/>
  <c r="AS71" i="7" s="1"/>
  <c r="AR90" i="8"/>
  <c r="BB90" i="8" s="1"/>
  <c r="AR148" i="8"/>
  <c r="BB148" i="8" s="1"/>
  <c r="AM87" i="9"/>
  <c r="AM78" i="7"/>
  <c r="AM76" i="8"/>
  <c r="AP26" i="7"/>
  <c r="AS26" i="7" s="1"/>
  <c r="BD26" i="7" s="1"/>
  <c r="AL25" i="7"/>
  <c r="AO25" i="7" s="1"/>
  <c r="AR25" i="7" s="1"/>
  <c r="AN15" i="9"/>
  <c r="AP15" i="9" s="1"/>
  <c r="AS15" i="9" s="1"/>
  <c r="BD15" i="9" s="1"/>
  <c r="AN51" i="9"/>
  <c r="AR50" i="7"/>
  <c r="BB50" i="7" s="1"/>
  <c r="AM79" i="8"/>
  <c r="AR31" i="8"/>
  <c r="BB31" i="8" s="1"/>
  <c r="AN132" i="9"/>
  <c r="AM95" i="8"/>
  <c r="AN76" i="8"/>
  <c r="AL79" i="8"/>
  <c r="AL132" i="9"/>
  <c r="AO132" i="9" s="1"/>
  <c r="AR132" i="9" s="1"/>
  <c r="BB132" i="9" s="1"/>
  <c r="AM42" i="8"/>
  <c r="AP64" i="7"/>
  <c r="AS64" i="7" s="1"/>
  <c r="BD64" i="7" s="1"/>
  <c r="AP148" i="8"/>
  <c r="AS148" i="8" s="1"/>
  <c r="BD148" i="8" s="1"/>
  <c r="AN54" i="8"/>
  <c r="AP74" i="9"/>
  <c r="AN36" i="9"/>
  <c r="AL36" i="9"/>
  <c r="AO36" i="9" s="1"/>
  <c r="AP36" i="9" s="1"/>
  <c r="AS36" i="9" s="1"/>
  <c r="BD36" i="9" s="1"/>
  <c r="AL124" i="9"/>
  <c r="AO124" i="9" s="1"/>
  <c r="AM126" i="8"/>
  <c r="AR109" i="8"/>
  <c r="BB109" i="8" s="1"/>
  <c r="AM33" i="8"/>
  <c r="AN52" i="8"/>
  <c r="AN78" i="8"/>
  <c r="AP41" i="9"/>
  <c r="AS41" i="9" s="1"/>
  <c r="BD41" i="9" s="1"/>
  <c r="AR129" i="9"/>
  <c r="BB129" i="9" s="1"/>
  <c r="AP50" i="9"/>
  <c r="AS50" i="9" s="1"/>
  <c r="BD50" i="9" s="1"/>
  <c r="AN31" i="7"/>
  <c r="AL89" i="7"/>
  <c r="AO89" i="7" s="1"/>
  <c r="AR89" i="7" s="1"/>
  <c r="AQ35" i="7"/>
  <c r="AT35" i="7" s="1"/>
  <c r="BC35" i="7" s="1"/>
  <c r="AL152" i="7"/>
  <c r="AO152" i="7" s="1"/>
  <c r="AS94" i="9"/>
  <c r="BD94" i="9" s="1"/>
  <c r="AQ94" i="9"/>
  <c r="AT94" i="9" s="1"/>
  <c r="BC94" i="9" s="1"/>
  <c r="AO141" i="8"/>
  <c r="AR141" i="8"/>
  <c r="BB141" i="8" s="1"/>
  <c r="AQ48" i="7"/>
  <c r="AT48" i="7" s="1"/>
  <c r="BC48" i="7" s="1"/>
  <c r="AO106" i="9"/>
  <c r="AR106" i="9" s="1"/>
  <c r="BB106" i="9" s="1"/>
  <c r="AM22" i="7"/>
  <c r="AL88" i="9"/>
  <c r="AO88" i="9" s="1"/>
  <c r="AR88" i="9" s="1"/>
  <c r="AM141" i="8"/>
  <c r="AM47" i="9"/>
  <c r="AN75" i="7"/>
  <c r="AM88" i="9"/>
  <c r="AR156" i="7"/>
  <c r="BB156" i="7" s="1"/>
  <c r="AQ111" i="7"/>
  <c r="AT111" i="7" s="1"/>
  <c r="BC111" i="7" s="1"/>
  <c r="AQ106" i="8"/>
  <c r="AT106" i="8" s="1"/>
  <c r="BC106" i="8" s="1"/>
  <c r="AQ98" i="7"/>
  <c r="AT98" i="7" s="1"/>
  <c r="BC98" i="7" s="1"/>
  <c r="AN147" i="7"/>
  <c r="AP68" i="9"/>
  <c r="AP54" i="7"/>
  <c r="AS54" i="7" s="1"/>
  <c r="BD54" i="7" s="1"/>
  <c r="AL23" i="8"/>
  <c r="AO23" i="8" s="1"/>
  <c r="AR23" i="8" s="1"/>
  <c r="BB23" i="8" s="1"/>
  <c r="AN33" i="8"/>
  <c r="AP33" i="8" s="1"/>
  <c r="AN22" i="7"/>
  <c r="AP22" i="7" s="1"/>
  <c r="AS22" i="7" s="1"/>
  <c r="BD22" i="7" s="1"/>
  <c r="AP151" i="8"/>
  <c r="AS151" i="8" s="1"/>
  <c r="BD151" i="8" s="1"/>
  <c r="AN138" i="7"/>
  <c r="AP65" i="8"/>
  <c r="AQ65" i="8" s="1"/>
  <c r="AT65" i="8" s="1"/>
  <c r="AL42" i="8"/>
  <c r="AO42" i="8" s="1"/>
  <c r="AP42" i="8" s="1"/>
  <c r="AS42" i="8" s="1"/>
  <c r="BD42" i="8" s="1"/>
  <c r="AR130" i="9"/>
  <c r="BB130" i="9" s="1"/>
  <c r="AQ26" i="7"/>
  <c r="AT26" i="7" s="1"/>
  <c r="BC26" i="7" s="1"/>
  <c r="AP107" i="8"/>
  <c r="AS107" i="8" s="1"/>
  <c r="BD107" i="8" s="1"/>
  <c r="AN57" i="7"/>
  <c r="AL67" i="9"/>
  <c r="AO67" i="9" s="1"/>
  <c r="AR67" i="9" s="1"/>
  <c r="BB67" i="9" s="1"/>
  <c r="AQ68" i="7"/>
  <c r="AT68" i="7" s="1"/>
  <c r="BC68" i="7" s="1"/>
  <c r="AM25" i="8"/>
  <c r="AM59" i="8"/>
  <c r="AN67" i="9"/>
  <c r="AR150" i="8"/>
  <c r="AL10" i="7"/>
  <c r="AO10" i="7" s="1"/>
  <c r="AL37" i="8"/>
  <c r="AO37" i="8" s="1"/>
  <c r="AR37" i="8" s="1"/>
  <c r="AL150" i="7"/>
  <c r="AO150" i="7" s="1"/>
  <c r="AP150" i="7" s="1"/>
  <c r="AM150" i="7"/>
  <c r="AL121" i="8"/>
  <c r="AM101" i="7"/>
  <c r="AR99" i="9"/>
  <c r="BB99" i="9" s="1"/>
  <c r="AM96" i="8"/>
  <c r="AR74" i="7"/>
  <c r="BB74" i="7" s="1"/>
  <c r="AQ67" i="8"/>
  <c r="AT67" i="8" s="1"/>
  <c r="BC67" i="8" s="1"/>
  <c r="AL75" i="7"/>
  <c r="AO75" i="7" s="1"/>
  <c r="AM138" i="7"/>
  <c r="AN121" i="8"/>
  <c r="AN126" i="8"/>
  <c r="AP126" i="8" s="1"/>
  <c r="AS126" i="8" s="1"/>
  <c r="BD126" i="8" s="1"/>
  <c r="AN13" i="8"/>
  <c r="AN147" i="8"/>
  <c r="AN142" i="8"/>
  <c r="AL112" i="8"/>
  <c r="AO112" i="8" s="1"/>
  <c r="AR112" i="8" s="1"/>
  <c r="AQ87" i="8"/>
  <c r="AT87" i="8" s="1"/>
  <c r="BC87" i="8" s="1"/>
  <c r="AM51" i="9"/>
  <c r="AN65" i="9"/>
  <c r="AP65" i="9" s="1"/>
  <c r="AS65" i="9" s="1"/>
  <c r="BD65" i="9" s="1"/>
  <c r="AN130" i="9"/>
  <c r="AP130" i="9" s="1"/>
  <c r="AL116" i="7"/>
  <c r="AO116" i="7" s="1"/>
  <c r="AR116" i="7" s="1"/>
  <c r="AQ100" i="9"/>
  <c r="AT100" i="9" s="1"/>
  <c r="BC100" i="9" s="1"/>
  <c r="AL59" i="8"/>
  <c r="AO59" i="8" s="1"/>
  <c r="AR59" i="8" s="1"/>
  <c r="AN112" i="8"/>
  <c r="AP108" i="9"/>
  <c r="AS108" i="9" s="1"/>
  <c r="BD108" i="9" s="1"/>
  <c r="AL129" i="7"/>
  <c r="AO129" i="7" s="1"/>
  <c r="AP85" i="8"/>
  <c r="AS85" i="8" s="1"/>
  <c r="BD85" i="8" s="1"/>
  <c r="AL89" i="9"/>
  <c r="AO89" i="9" s="1"/>
  <c r="AR89" i="9" s="1"/>
  <c r="AQ20" i="8"/>
  <c r="AT20" i="8" s="1"/>
  <c r="AP136" i="8"/>
  <c r="AS136" i="8" s="1"/>
  <c r="BD136" i="8" s="1"/>
  <c r="AN23" i="8"/>
  <c r="AQ86" i="7"/>
  <c r="AT86" i="7" s="1"/>
  <c r="BC86" i="7" s="1"/>
  <c r="AL56" i="8"/>
  <c r="AO56" i="8" s="1"/>
  <c r="AR56" i="8" s="1"/>
  <c r="BB56" i="8" s="1"/>
  <c r="AM66" i="7"/>
  <c r="AL66" i="7"/>
  <c r="AO66" i="7" s="1"/>
  <c r="AR66" i="7" s="1"/>
  <c r="BB66" i="7" s="1"/>
  <c r="AM35" i="9"/>
  <c r="AQ84" i="9"/>
  <c r="AT84" i="9" s="1"/>
  <c r="AS84" i="9"/>
  <c r="BD84" i="9" s="1"/>
  <c r="AQ69" i="8"/>
  <c r="AT69" i="8" s="1"/>
  <c r="BC69" i="8" s="1"/>
  <c r="AR88" i="8"/>
  <c r="AM131" i="7"/>
  <c r="AR154" i="7"/>
  <c r="BB154" i="7" s="1"/>
  <c r="AR69" i="7"/>
  <c r="BB69" i="7" s="1"/>
  <c r="AL131" i="7"/>
  <c r="AO131" i="7" s="1"/>
  <c r="AR131" i="7" s="1"/>
  <c r="AN46" i="9"/>
  <c r="AQ77" i="7"/>
  <c r="AT77" i="7" s="1"/>
  <c r="BC77" i="7" s="1"/>
  <c r="AN154" i="8"/>
  <c r="AL31" i="7"/>
  <c r="AO31" i="7" s="1"/>
  <c r="AN112" i="7"/>
  <c r="AN151" i="7"/>
  <c r="AR48" i="8"/>
  <c r="AL13" i="8"/>
  <c r="AO13" i="8" s="1"/>
  <c r="AR13" i="8" s="1"/>
  <c r="AM29" i="8"/>
  <c r="AL122" i="9"/>
  <c r="AO122" i="9" s="1"/>
  <c r="AR92" i="8"/>
  <c r="BB92" i="8" s="1"/>
  <c r="AO51" i="7"/>
  <c r="AQ103" i="7"/>
  <c r="AT103" i="7" s="1"/>
  <c r="AM112" i="7"/>
  <c r="AM151" i="7"/>
  <c r="AN19" i="8"/>
  <c r="AQ115" i="8"/>
  <c r="AT115" i="8" s="1"/>
  <c r="BC115" i="8" s="1"/>
  <c r="AM142" i="8"/>
  <c r="AP80" i="9"/>
  <c r="AQ80" i="9" s="1"/>
  <c r="AT80" i="9" s="1"/>
  <c r="BC80" i="9" s="1"/>
  <c r="AR63" i="9"/>
  <c r="BB63" i="9" s="1"/>
  <c r="AM122" i="9"/>
  <c r="AN43" i="8"/>
  <c r="AR77" i="9"/>
  <c r="BB77" i="9" s="1"/>
  <c r="AR33" i="8"/>
  <c r="BB33" i="8" s="1"/>
  <c r="AN89" i="9"/>
  <c r="AR155" i="8"/>
  <c r="BB155" i="8" s="1"/>
  <c r="AO154" i="9"/>
  <c r="AP154" i="9" s="1"/>
  <c r="AN56" i="8"/>
  <c r="AM37" i="8"/>
  <c r="AQ31" i="8"/>
  <c r="AT31" i="8" s="1"/>
  <c r="BC31" i="8" s="1"/>
  <c r="AR34" i="7"/>
  <c r="BB34" i="7" s="1"/>
  <c r="AP111" i="8"/>
  <c r="AS111" i="8" s="1"/>
  <c r="BD111" i="8" s="1"/>
  <c r="AM79" i="7"/>
  <c r="AP149" i="9"/>
  <c r="AQ149" i="9" s="1"/>
  <c r="AT149" i="9" s="1"/>
  <c r="AN78" i="7"/>
  <c r="AN119" i="7"/>
  <c r="AQ137" i="7"/>
  <c r="AT137" i="7" s="1"/>
  <c r="BC137" i="7" s="1"/>
  <c r="AQ23" i="9"/>
  <c r="AT23" i="9" s="1"/>
  <c r="BC23" i="9" s="1"/>
  <c r="AN152" i="7"/>
  <c r="AL157" i="9"/>
  <c r="AR86" i="7"/>
  <c r="AQ96" i="9"/>
  <c r="AT96" i="9" s="1"/>
  <c r="BC96" i="9" s="1"/>
  <c r="AS81" i="9"/>
  <c r="BD81" i="9" s="1"/>
  <c r="AM75" i="9"/>
  <c r="AL39" i="7"/>
  <c r="AO39" i="7" s="1"/>
  <c r="AN11" i="7"/>
  <c r="AL80" i="8"/>
  <c r="AO80" i="8" s="1"/>
  <c r="AR80" i="8" s="1"/>
  <c r="AQ86" i="9"/>
  <c r="AT86" i="9" s="1"/>
  <c r="BC86" i="9" s="1"/>
  <c r="BB26" i="7"/>
  <c r="BC142" i="7"/>
  <c r="AL71" i="8"/>
  <c r="AO71" i="8" s="1"/>
  <c r="AS86" i="7"/>
  <c r="BD86" i="7" s="1"/>
  <c r="AO83" i="8"/>
  <c r="AR83" i="8"/>
  <c r="BB83" i="8" s="1"/>
  <c r="AQ24" i="7"/>
  <c r="AT24" i="7" s="1"/>
  <c r="BC24" i="7" s="1"/>
  <c r="AO86" i="8"/>
  <c r="AR86" i="8" s="1"/>
  <c r="BB86" i="8" s="1"/>
  <c r="AN71" i="8"/>
  <c r="AR130" i="8"/>
  <c r="BB130" i="8" s="1"/>
  <c r="AL35" i="8"/>
  <c r="AO35" i="8" s="1"/>
  <c r="AM121" i="9"/>
  <c r="AL48" i="9"/>
  <c r="AO48" i="9" s="1"/>
  <c r="AR48" i="9" s="1"/>
  <c r="AU142" i="7"/>
  <c r="AV142" i="7" s="1"/>
  <c r="AL95" i="8"/>
  <c r="AO95" i="8" s="1"/>
  <c r="AL121" i="9"/>
  <c r="AL146" i="8"/>
  <c r="AO146" i="8" s="1"/>
  <c r="AP146" i="8" s="1"/>
  <c r="AS146" i="8" s="1"/>
  <c r="BD146" i="8" s="1"/>
  <c r="AL16" i="7"/>
  <c r="AO16" i="7" s="1"/>
  <c r="AR16" i="7" s="1"/>
  <c r="AM16" i="7"/>
  <c r="AN79" i="7"/>
  <c r="AR136" i="8"/>
  <c r="BB136" i="8" s="1"/>
  <c r="AQ116" i="8"/>
  <c r="AU116" i="8" s="1"/>
  <c r="AV116" i="8" s="1"/>
  <c r="AN48" i="9"/>
  <c r="AM33" i="9"/>
  <c r="AM8" i="8"/>
  <c r="AL87" i="7"/>
  <c r="AO87" i="7" s="1"/>
  <c r="AM25" i="7"/>
  <c r="AL92" i="7"/>
  <c r="AN92" i="7"/>
  <c r="AM78" i="9"/>
  <c r="AU60" i="9"/>
  <c r="AV60" i="9" s="1"/>
  <c r="AM146" i="8"/>
  <c r="AO132" i="7"/>
  <c r="AR132" i="7" s="1"/>
  <c r="BB132" i="7" s="1"/>
  <c r="AQ150" i="8"/>
  <c r="AT150" i="8" s="1"/>
  <c r="BC150" i="8" s="1"/>
  <c r="AR157" i="8"/>
  <c r="BB157" i="8" s="1"/>
  <c r="AS58" i="8"/>
  <c r="BD58" i="8" s="1"/>
  <c r="AS18" i="7"/>
  <c r="BD18" i="7" s="1"/>
  <c r="AO54" i="8"/>
  <c r="AR54" i="8" s="1"/>
  <c r="BB54" i="8" s="1"/>
  <c r="AL45" i="8"/>
  <c r="AM45" i="8"/>
  <c r="AL125" i="9"/>
  <c r="AO125" i="9" s="1"/>
  <c r="AS60" i="9"/>
  <c r="BD60" i="9" s="1"/>
  <c r="AQ18" i="7"/>
  <c r="AT18" i="7" s="1"/>
  <c r="BC18" i="7" s="1"/>
  <c r="AQ147" i="9"/>
  <c r="AT147" i="9" s="1"/>
  <c r="AM125" i="9"/>
  <c r="AW35" i="7"/>
  <c r="AL47" i="9"/>
  <c r="AO47" i="9" s="1"/>
  <c r="AO131" i="9"/>
  <c r="AP131" i="9" s="1"/>
  <c r="AS131" i="9" s="1"/>
  <c r="BD131" i="9" s="1"/>
  <c r="AM40" i="8"/>
  <c r="AR32" i="8"/>
  <c r="BB32" i="8" s="1"/>
  <c r="AM8" i="7"/>
  <c r="AR54" i="9"/>
  <c r="BB54" i="9" s="1"/>
  <c r="AQ63" i="7"/>
  <c r="AT63" i="7" s="1"/>
  <c r="BC63" i="7" s="1"/>
  <c r="AN33" i="9"/>
  <c r="AN25" i="8"/>
  <c r="AO82" i="9"/>
  <c r="AR82" i="9" s="1"/>
  <c r="BB82" i="9" s="1"/>
  <c r="AR111" i="8"/>
  <c r="BB111" i="8" s="1"/>
  <c r="AO78" i="9"/>
  <c r="AP78" i="9" s="1"/>
  <c r="AS78" i="9" s="1"/>
  <c r="BD78" i="9" s="1"/>
  <c r="AN8" i="8"/>
  <c r="AQ44" i="7"/>
  <c r="AU44" i="7" s="1"/>
  <c r="AV44" i="7" s="1"/>
  <c r="AR149" i="9"/>
  <c r="BB149" i="9" s="1"/>
  <c r="AQ140" i="7"/>
  <c r="AU140" i="7" s="1"/>
  <c r="AV140" i="7" s="1"/>
  <c r="AQ14" i="9"/>
  <c r="AT14" i="9" s="1"/>
  <c r="AO132" i="8"/>
  <c r="AP132" i="8" s="1"/>
  <c r="AQ132" i="8" s="1"/>
  <c r="AT132" i="8" s="1"/>
  <c r="BC132" i="8" s="1"/>
  <c r="AO95" i="9"/>
  <c r="AR95" i="9" s="1"/>
  <c r="BB95" i="9" s="1"/>
  <c r="AR9" i="9"/>
  <c r="BB9" i="9" s="1"/>
  <c r="AR56" i="7"/>
  <c r="BB56" i="7" s="1"/>
  <c r="AN129" i="7"/>
  <c r="AL94" i="7"/>
  <c r="AM155" i="9"/>
  <c r="AN149" i="8"/>
  <c r="AN85" i="9"/>
  <c r="AN10" i="9"/>
  <c r="AM104" i="7"/>
  <c r="AN11" i="8"/>
  <c r="AM94" i="7"/>
  <c r="BB59" i="9"/>
  <c r="BB153" i="7"/>
  <c r="AO126" i="9"/>
  <c r="AR126" i="9" s="1"/>
  <c r="BC146" i="7"/>
  <c r="BB92" i="9"/>
  <c r="BB55" i="8"/>
  <c r="AO142" i="8"/>
  <c r="AR142" i="8" s="1"/>
  <c r="AO33" i="9"/>
  <c r="BB55" i="9"/>
  <c r="AO78" i="7"/>
  <c r="AR78" i="7" s="1"/>
  <c r="BB135" i="7"/>
  <c r="BB68" i="8"/>
  <c r="BB58" i="7"/>
  <c r="BB133" i="9"/>
  <c r="BB27" i="7"/>
  <c r="AO135" i="8"/>
  <c r="AR135" i="8" s="1"/>
  <c r="BB42" i="9"/>
  <c r="BB110" i="7"/>
  <c r="BB81" i="7"/>
  <c r="BB64" i="9"/>
  <c r="BC58" i="8"/>
  <c r="BC20" i="8"/>
  <c r="BA20" i="8"/>
  <c r="BB99" i="8"/>
  <c r="BB76" i="9"/>
  <c r="AO104" i="7"/>
  <c r="AO79" i="7"/>
  <c r="AR79" i="7"/>
  <c r="BB145" i="7"/>
  <c r="BB156" i="8"/>
  <c r="AO22" i="9"/>
  <c r="AR22" i="9" s="1"/>
  <c r="BB157" i="7"/>
  <c r="BB66" i="8"/>
  <c r="BB120" i="9"/>
  <c r="AO46" i="9"/>
  <c r="AR46" i="9" s="1"/>
  <c r="BB16" i="8"/>
  <c r="BB140" i="8"/>
  <c r="BB67" i="7"/>
  <c r="AO14" i="7"/>
  <c r="AR14" i="7" s="1"/>
  <c r="BB80" i="7"/>
  <c r="AO40" i="8"/>
  <c r="AR40" i="8" s="1"/>
  <c r="BB38" i="7"/>
  <c r="BB90" i="7"/>
  <c r="BB46" i="7"/>
  <c r="BB17" i="7"/>
  <c r="BB133" i="8"/>
  <c r="BB104" i="8"/>
  <c r="BB105" i="9"/>
  <c r="BB151" i="9"/>
  <c r="BB148" i="9"/>
  <c r="BB70" i="8"/>
  <c r="BB32" i="7"/>
  <c r="BB146" i="9"/>
  <c r="BB58" i="9"/>
  <c r="BB37" i="7"/>
  <c r="BB36" i="8"/>
  <c r="BB88" i="7"/>
  <c r="BB49" i="7"/>
  <c r="BB9" i="8"/>
  <c r="BB126" i="7"/>
  <c r="BB129" i="8"/>
  <c r="BB143" i="8"/>
  <c r="BB126" i="8"/>
  <c r="AP108" i="8"/>
  <c r="AS108" i="8" s="1"/>
  <c r="BD108" i="8" s="1"/>
  <c r="BB98" i="9"/>
  <c r="BB55" i="7"/>
  <c r="AR108" i="8"/>
  <c r="AU146" i="7"/>
  <c r="AV146" i="7" s="1"/>
  <c r="AP17" i="8"/>
  <c r="AS17" i="8" s="1"/>
  <c r="BD17" i="8" s="1"/>
  <c r="AP145" i="8"/>
  <c r="AS145" i="8" s="1"/>
  <c r="BD145" i="8" s="1"/>
  <c r="AO12" i="9"/>
  <c r="AR12" i="9" s="1"/>
  <c r="AO31" i="9"/>
  <c r="AR31" i="9" s="1"/>
  <c r="AQ56" i="9"/>
  <c r="AT56" i="9" s="1"/>
  <c r="AO81" i="8"/>
  <c r="AR81" i="8" s="1"/>
  <c r="BB66" i="9"/>
  <c r="BB34" i="8"/>
  <c r="AN51" i="8"/>
  <c r="AM30" i="9"/>
  <c r="AN30" i="9"/>
  <c r="AN81" i="8"/>
  <c r="AP46" i="7"/>
  <c r="AS46" i="7" s="1"/>
  <c r="BD46" i="7" s="1"/>
  <c r="AP82" i="8"/>
  <c r="BB73" i="9"/>
  <c r="AP61" i="7"/>
  <c r="AS61" i="7" s="1"/>
  <c r="BD61" i="7" s="1"/>
  <c r="AP20" i="9"/>
  <c r="AS20" i="9" s="1"/>
  <c r="BD20" i="9" s="1"/>
  <c r="BB52" i="8"/>
  <c r="BB102" i="9"/>
  <c r="BB73" i="7"/>
  <c r="AO38" i="9"/>
  <c r="AR38" i="9" s="1"/>
  <c r="AO149" i="8"/>
  <c r="AO89" i="8"/>
  <c r="AP38" i="7"/>
  <c r="AS38" i="7" s="1"/>
  <c r="BD38" i="7" s="1"/>
  <c r="AP120" i="8"/>
  <c r="AO28" i="7"/>
  <c r="AR28" i="7" s="1"/>
  <c r="AO136" i="9"/>
  <c r="AR136" i="9" s="1"/>
  <c r="AL11" i="7"/>
  <c r="AP11" i="9"/>
  <c r="AS11" i="9" s="1"/>
  <c r="BD11" i="9" s="1"/>
  <c r="AP125" i="8"/>
  <c r="AS125" i="8" s="1"/>
  <c r="BD125" i="8" s="1"/>
  <c r="AP105" i="9"/>
  <c r="AS105" i="9" s="1"/>
  <c r="BD105" i="9" s="1"/>
  <c r="AP106" i="7"/>
  <c r="AS106" i="7" s="1"/>
  <c r="BD106" i="7" s="1"/>
  <c r="AP56" i="7"/>
  <c r="BB21" i="7"/>
  <c r="AO51" i="8"/>
  <c r="AR51" i="8" s="1"/>
  <c r="AR11" i="9"/>
  <c r="AR125" i="8"/>
  <c r="AP12" i="8"/>
  <c r="AS12" i="8" s="1"/>
  <c r="BD12" i="8" s="1"/>
  <c r="AP129" i="8"/>
  <c r="AS129" i="8" s="1"/>
  <c r="BD129" i="8" s="1"/>
  <c r="AP50" i="8"/>
  <c r="AS50" i="8" s="1"/>
  <c r="BD50" i="8" s="1"/>
  <c r="AP21" i="7"/>
  <c r="AS21" i="7" s="1"/>
  <c r="BD21" i="7" s="1"/>
  <c r="AN104" i="7"/>
  <c r="AP137" i="8"/>
  <c r="AS137" i="8" s="1"/>
  <c r="BD137" i="8" s="1"/>
  <c r="BB120" i="7"/>
  <c r="AQ127" i="7"/>
  <c r="AT127" i="7" s="1"/>
  <c r="AP13" i="9"/>
  <c r="AS13" i="9" s="1"/>
  <c r="BD13" i="9" s="1"/>
  <c r="AO57" i="7"/>
  <c r="AR57" i="7" s="1"/>
  <c r="AP61" i="9"/>
  <c r="AS61" i="9" s="1"/>
  <c r="BD61" i="9" s="1"/>
  <c r="AO154" i="8"/>
  <c r="AR154" i="8" s="1"/>
  <c r="AP99" i="9"/>
  <c r="AS99" i="9" s="1"/>
  <c r="BD99" i="9" s="1"/>
  <c r="AP110" i="9"/>
  <c r="AS110" i="9" s="1"/>
  <c r="BD110" i="9" s="1"/>
  <c r="BB27" i="8"/>
  <c r="AO79" i="8"/>
  <c r="AR79" i="8" s="1"/>
  <c r="AS125" i="7"/>
  <c r="BD125" i="7" s="1"/>
  <c r="BB63" i="8"/>
  <c r="AP124" i="7"/>
  <c r="AS124" i="7" s="1"/>
  <c r="BD124" i="7" s="1"/>
  <c r="AO47" i="7"/>
  <c r="AR47" i="7" s="1"/>
  <c r="BB8" i="9"/>
  <c r="AN14" i="7"/>
  <c r="AQ114" i="7"/>
  <c r="AT114" i="7" s="1"/>
  <c r="BC114" i="7" s="1"/>
  <c r="AP156" i="7"/>
  <c r="AS156" i="7" s="1"/>
  <c r="BD156" i="7" s="1"/>
  <c r="AP140" i="9"/>
  <c r="AS140" i="9" s="1"/>
  <c r="BD140" i="9" s="1"/>
  <c r="AS93" i="9"/>
  <c r="BD93" i="9" s="1"/>
  <c r="AS68" i="9"/>
  <c r="BD68" i="9" s="1"/>
  <c r="AO97" i="8"/>
  <c r="AP91" i="7"/>
  <c r="AS91" i="7" s="1"/>
  <c r="BD91" i="7" s="1"/>
  <c r="AP19" i="9"/>
  <c r="AS19" i="9" s="1"/>
  <c r="BD19" i="9" s="1"/>
  <c r="AP32" i="9"/>
  <c r="AS32" i="9" s="1"/>
  <c r="BD32" i="9" s="1"/>
  <c r="BB90" i="9"/>
  <c r="AP77" i="8"/>
  <c r="AS77" i="8" s="1"/>
  <c r="BD77" i="8" s="1"/>
  <c r="AQ104" i="9"/>
  <c r="AT104" i="9" s="1"/>
  <c r="BC104" i="9" s="1"/>
  <c r="AL85" i="9"/>
  <c r="AP26" i="9"/>
  <c r="AQ26" i="9" s="1"/>
  <c r="AT26" i="9" s="1"/>
  <c r="BC26" i="9" s="1"/>
  <c r="AM45" i="9"/>
  <c r="AP118" i="8"/>
  <c r="AS118" i="8" s="1"/>
  <c r="BD118" i="8" s="1"/>
  <c r="AP93" i="8"/>
  <c r="AS93" i="8" s="1"/>
  <c r="BD93" i="8" s="1"/>
  <c r="AQ91" i="8"/>
  <c r="AT91" i="8" s="1"/>
  <c r="AL155" i="9"/>
  <c r="AP9" i="9"/>
  <c r="AS9" i="9" s="1"/>
  <c r="BD9" i="9" s="1"/>
  <c r="AP144" i="7"/>
  <c r="AP57" i="9"/>
  <c r="AS57" i="9" s="1"/>
  <c r="BD57" i="9" s="1"/>
  <c r="AO8" i="7"/>
  <c r="AP62" i="9"/>
  <c r="AS62" i="9" s="1"/>
  <c r="BD62" i="9" s="1"/>
  <c r="AO10" i="9"/>
  <c r="AQ62" i="7"/>
  <c r="AT62" i="7" s="1"/>
  <c r="AR110" i="9"/>
  <c r="AP43" i="7"/>
  <c r="AS43" i="7" s="1"/>
  <c r="BD43" i="7" s="1"/>
  <c r="AP25" i="9"/>
  <c r="AS25" i="9" s="1"/>
  <c r="BD25" i="9" s="1"/>
  <c r="AP70" i="7"/>
  <c r="AS70" i="7" s="1"/>
  <c r="BD70" i="7" s="1"/>
  <c r="AP27" i="8"/>
  <c r="AS27" i="8" s="1"/>
  <c r="BD27" i="8" s="1"/>
  <c r="AP19" i="7"/>
  <c r="AS19" i="7" s="1"/>
  <c r="BD19" i="7" s="1"/>
  <c r="AL147" i="8"/>
  <c r="AP72" i="9"/>
  <c r="AS72" i="9" s="1"/>
  <c r="BD72" i="9" s="1"/>
  <c r="BB137" i="7"/>
  <c r="AP63" i="8"/>
  <c r="AQ63" i="8" s="1"/>
  <c r="AT63" i="8" s="1"/>
  <c r="AN35" i="8"/>
  <c r="AP8" i="9"/>
  <c r="AS8" i="9" s="1"/>
  <c r="BD8" i="9" s="1"/>
  <c r="AQ8" i="9"/>
  <c r="AT8" i="9" s="1"/>
  <c r="BC8" i="9" s="1"/>
  <c r="AM14" i="7"/>
  <c r="BB60" i="9"/>
  <c r="AQ93" i="9"/>
  <c r="AT93" i="9" s="1"/>
  <c r="AO21" i="9"/>
  <c r="AP95" i="7"/>
  <c r="AS95" i="7" s="1"/>
  <c r="BD95" i="7" s="1"/>
  <c r="AR32" i="9"/>
  <c r="AP90" i="9"/>
  <c r="AS90" i="9" s="1"/>
  <c r="BD90" i="9" s="1"/>
  <c r="AN22" i="9"/>
  <c r="AR26" i="9"/>
  <c r="AP102" i="7"/>
  <c r="AS102" i="7" s="1"/>
  <c r="BD102" i="7" s="1"/>
  <c r="AO127" i="8"/>
  <c r="AR127" i="8" s="1"/>
  <c r="AQ125" i="7"/>
  <c r="AT125" i="7" s="1"/>
  <c r="BB26" i="8"/>
  <c r="AP50" i="7"/>
  <c r="AS50" i="7" s="1"/>
  <c r="BD50" i="7" s="1"/>
  <c r="BB105" i="8"/>
  <c r="BB72" i="8"/>
  <c r="AP15" i="8"/>
  <c r="AS15" i="8" s="1"/>
  <c r="BD15" i="8" s="1"/>
  <c r="AP126" i="7"/>
  <c r="AP117" i="8"/>
  <c r="AS117" i="8" s="1"/>
  <c r="BD117" i="8" s="1"/>
  <c r="AP145" i="7"/>
  <c r="AS145" i="7" s="1"/>
  <c r="BD145" i="7" s="1"/>
  <c r="AP111" i="9"/>
  <c r="AS111" i="9" s="1"/>
  <c r="BD111" i="9" s="1"/>
  <c r="AP53" i="8"/>
  <c r="AS53" i="8" s="1"/>
  <c r="BD53" i="8" s="1"/>
  <c r="BB12" i="8"/>
  <c r="AP105" i="8"/>
  <c r="AS105" i="8" s="1"/>
  <c r="BD105" i="8" s="1"/>
  <c r="AP49" i="9"/>
  <c r="AS49" i="9" s="1"/>
  <c r="BD49" i="9" s="1"/>
  <c r="AO20" i="7"/>
  <c r="AR20" i="7" s="1"/>
  <c r="BB44" i="7"/>
  <c r="AO153" i="9"/>
  <c r="AR153" i="9" s="1"/>
  <c r="AL57" i="8"/>
  <c r="AM57" i="8"/>
  <c r="AP99" i="8"/>
  <c r="AS99" i="8" s="1"/>
  <c r="BD99" i="8" s="1"/>
  <c r="AP90" i="8"/>
  <c r="AS90" i="8" s="1"/>
  <c r="BD90" i="8" s="1"/>
  <c r="AP59" i="7"/>
  <c r="AS59" i="7" s="1"/>
  <c r="BD59" i="7" s="1"/>
  <c r="AP74" i="8"/>
  <c r="AS74" i="8" s="1"/>
  <c r="BD74" i="8" s="1"/>
  <c r="AR50" i="8"/>
  <c r="AP134" i="8"/>
  <c r="AQ134" i="8" s="1"/>
  <c r="AR13" i="9"/>
  <c r="AP58" i="7"/>
  <c r="AQ58" i="7" s="1"/>
  <c r="AP87" i="9"/>
  <c r="AS87" i="9" s="1"/>
  <c r="BD87" i="9" s="1"/>
  <c r="AP141" i="7"/>
  <c r="AS141" i="7" s="1"/>
  <c r="BD141" i="7" s="1"/>
  <c r="BB70" i="7"/>
  <c r="AO138" i="7"/>
  <c r="AR138" i="7" s="1"/>
  <c r="AO83" i="7"/>
  <c r="AR83" i="7" s="1"/>
  <c r="BB57" i="9"/>
  <c r="AO40" i="7"/>
  <c r="AR40" i="7" s="1"/>
  <c r="AP84" i="8"/>
  <c r="AS84" i="8" s="1"/>
  <c r="BD84" i="8" s="1"/>
  <c r="BB72" i="9"/>
  <c r="BB42" i="7"/>
  <c r="AP140" i="8"/>
  <c r="AS140" i="8" s="1"/>
  <c r="BD140" i="8" s="1"/>
  <c r="AS111" i="7"/>
  <c r="BD111" i="7" s="1"/>
  <c r="AP42" i="9"/>
  <c r="AS42" i="9" s="1"/>
  <c r="BD42" i="9" s="1"/>
  <c r="AP141" i="9"/>
  <c r="AS141" i="9" s="1"/>
  <c r="BD141" i="9" s="1"/>
  <c r="AM64" i="8"/>
  <c r="AL64" i="8"/>
  <c r="BB38" i="8"/>
  <c r="AO75" i="9"/>
  <c r="AR75" i="9" s="1"/>
  <c r="BB105" i="7"/>
  <c r="AP43" i="9"/>
  <c r="BB95" i="7"/>
  <c r="AO51" i="9"/>
  <c r="AR51" i="9" s="1"/>
  <c r="BB107" i="9"/>
  <c r="BB102" i="7"/>
  <c r="AP144" i="8"/>
  <c r="AS144" i="8" s="1"/>
  <c r="BD144" i="8" s="1"/>
  <c r="AP63" i="9"/>
  <c r="AS63" i="9" s="1"/>
  <c r="BD63" i="9" s="1"/>
  <c r="AP70" i="9"/>
  <c r="AS70" i="9" s="1"/>
  <c r="BD70" i="9" s="1"/>
  <c r="AM137" i="9"/>
  <c r="AU58" i="8"/>
  <c r="AV58" i="8" s="1"/>
  <c r="AQ109" i="8"/>
  <c r="AT109" i="8" s="1"/>
  <c r="BC109" i="8" s="1"/>
  <c r="AP84" i="7"/>
  <c r="AP53" i="9"/>
  <c r="AS53" i="9" s="1"/>
  <c r="BD53" i="9" s="1"/>
  <c r="AM45" i="7"/>
  <c r="AN45" i="7"/>
  <c r="AP77" i="9"/>
  <c r="AS77" i="9" s="1"/>
  <c r="BD77" i="9" s="1"/>
  <c r="AR84" i="8"/>
  <c r="AM46" i="9"/>
  <c r="AP29" i="7"/>
  <c r="AS29" i="7" s="1"/>
  <c r="BD29" i="7" s="1"/>
  <c r="BB114" i="7"/>
  <c r="AP127" i="9"/>
  <c r="AQ127" i="9" s="1"/>
  <c r="AP114" i="9"/>
  <c r="AS114" i="9" s="1"/>
  <c r="BD114" i="9" s="1"/>
  <c r="AP74" i="7"/>
  <c r="AS74" i="7" s="1"/>
  <c r="BD74" i="7" s="1"/>
  <c r="AP42" i="7"/>
  <c r="AS42" i="7" s="1"/>
  <c r="BD42" i="7" s="1"/>
  <c r="AP71" i="9"/>
  <c r="AS71" i="9" s="1"/>
  <c r="BD71" i="9" s="1"/>
  <c r="AP30" i="7"/>
  <c r="AS30" i="7" s="1"/>
  <c r="BD30" i="7" s="1"/>
  <c r="AR141" i="9"/>
  <c r="AP154" i="7"/>
  <c r="AS154" i="7" s="1"/>
  <c r="BD154" i="7" s="1"/>
  <c r="AP38" i="8"/>
  <c r="AS38" i="8" s="1"/>
  <c r="BD38" i="8" s="1"/>
  <c r="AN75" i="9"/>
  <c r="AP105" i="7"/>
  <c r="AS105" i="7" s="1"/>
  <c r="BD105" i="7" s="1"/>
  <c r="AQ23" i="7"/>
  <c r="AT23" i="7" s="1"/>
  <c r="BC23" i="7" s="1"/>
  <c r="AQ149" i="7"/>
  <c r="AT149" i="7" s="1"/>
  <c r="BC149" i="7" s="1"/>
  <c r="AP39" i="9"/>
  <c r="AS39" i="9" s="1"/>
  <c r="BD39" i="9" s="1"/>
  <c r="AO8" i="8"/>
  <c r="AR43" i="9"/>
  <c r="AP103" i="8"/>
  <c r="AS103" i="8" s="1"/>
  <c r="BD103" i="8" s="1"/>
  <c r="AP40" i="9"/>
  <c r="AS40" i="9" s="1"/>
  <c r="BD40" i="9" s="1"/>
  <c r="AQ108" i="7"/>
  <c r="AT108" i="7" s="1"/>
  <c r="BC108" i="7" s="1"/>
  <c r="AP107" i="9"/>
  <c r="AS107" i="9" s="1"/>
  <c r="BD107" i="9" s="1"/>
  <c r="AN116" i="7"/>
  <c r="BB93" i="7"/>
  <c r="BB18" i="7"/>
  <c r="AQ142" i="9"/>
  <c r="AT142" i="9" s="1"/>
  <c r="AP122" i="8"/>
  <c r="AS122" i="8" s="1"/>
  <c r="BD122" i="8" s="1"/>
  <c r="BB23" i="7"/>
  <c r="AR127" i="9"/>
  <c r="AP68" i="8"/>
  <c r="AS68" i="8" s="1"/>
  <c r="BD68" i="8" s="1"/>
  <c r="AP121" i="7"/>
  <c r="AS121" i="7" s="1"/>
  <c r="BD121" i="7" s="1"/>
  <c r="AQ88" i="8"/>
  <c r="AP143" i="9"/>
  <c r="AS143" i="9" s="1"/>
  <c r="BD143" i="9" s="1"/>
  <c r="AR71" i="9"/>
  <c r="AR30" i="7"/>
  <c r="BB39" i="9"/>
  <c r="AP9" i="7"/>
  <c r="AS9" i="7" s="1"/>
  <c r="BD9" i="7" s="1"/>
  <c r="AP143" i="8"/>
  <c r="AS143" i="8" s="1"/>
  <c r="BD143" i="8" s="1"/>
  <c r="AO115" i="9"/>
  <c r="AR115" i="9" s="1"/>
  <c r="BB103" i="8"/>
  <c r="AP58" i="9"/>
  <c r="AS58" i="9" s="1"/>
  <c r="BD58" i="9" s="1"/>
  <c r="BB22" i="7"/>
  <c r="AM16" i="9"/>
  <c r="AP64" i="9"/>
  <c r="AS64" i="9" s="1"/>
  <c r="BD64" i="9" s="1"/>
  <c r="AR40" i="9"/>
  <c r="AP93" i="7"/>
  <c r="AQ93" i="7" s="1"/>
  <c r="BB115" i="7"/>
  <c r="AR82" i="8"/>
  <c r="BB106" i="7"/>
  <c r="BB68" i="7"/>
  <c r="AP60" i="8"/>
  <c r="AS60" i="8" s="1"/>
  <c r="BD60" i="8" s="1"/>
  <c r="BB109" i="9"/>
  <c r="AP98" i="9"/>
  <c r="AS98" i="9" s="1"/>
  <c r="BD98" i="9" s="1"/>
  <c r="BB49" i="9"/>
  <c r="BB86" i="9"/>
  <c r="BB117" i="9"/>
  <c r="AP37" i="7"/>
  <c r="AS37" i="7" s="1"/>
  <c r="BD37" i="7" s="1"/>
  <c r="AO85" i="7"/>
  <c r="AR85" i="7" s="1"/>
  <c r="AP101" i="9"/>
  <c r="AS101" i="9" s="1"/>
  <c r="BD101" i="9" s="1"/>
  <c r="AR60" i="8"/>
  <c r="AP109" i="9"/>
  <c r="AS109" i="9" s="1"/>
  <c r="BD109" i="9" s="1"/>
  <c r="AO150" i="9"/>
  <c r="AP32" i="8"/>
  <c r="AS32" i="8" s="1"/>
  <c r="BD32" i="8" s="1"/>
  <c r="AO101" i="8"/>
  <c r="BB59" i="7"/>
  <c r="AR111" i="9"/>
  <c r="AP90" i="7"/>
  <c r="AS90" i="7" s="1"/>
  <c r="BD90" i="7" s="1"/>
  <c r="AP39" i="8"/>
  <c r="AS39" i="8" s="1"/>
  <c r="BD39" i="8" s="1"/>
  <c r="AP66" i="8"/>
  <c r="AO29" i="8"/>
  <c r="AR29" i="8" s="1"/>
  <c r="AO124" i="8"/>
  <c r="AR124" i="8" s="1"/>
  <c r="AP134" i="9"/>
  <c r="AS134" i="9" s="1"/>
  <c r="BD134" i="9" s="1"/>
  <c r="BB101" i="7"/>
  <c r="BB69" i="9"/>
  <c r="AP65" i="7"/>
  <c r="AS65" i="7" s="1"/>
  <c r="BD65" i="7" s="1"/>
  <c r="AO18" i="8"/>
  <c r="AQ83" i="9"/>
  <c r="AR74" i="8"/>
  <c r="AP120" i="7"/>
  <c r="AS120" i="7" s="1"/>
  <c r="BD120" i="7" s="1"/>
  <c r="AO15" i="7"/>
  <c r="AR15" i="7" s="1"/>
  <c r="AP24" i="9"/>
  <c r="AQ24" i="9" s="1"/>
  <c r="AL118" i="9"/>
  <c r="AM118" i="9"/>
  <c r="AP69" i="9"/>
  <c r="AS69" i="9" s="1"/>
  <c r="BD69" i="9" s="1"/>
  <c r="AP110" i="8"/>
  <c r="AS110" i="8" s="1"/>
  <c r="BD110" i="8" s="1"/>
  <c r="BB124" i="7"/>
  <c r="AM57" i="7"/>
  <c r="BB91" i="7"/>
  <c r="AO61" i="8"/>
  <c r="AR61" i="8" s="1"/>
  <c r="BB118" i="8"/>
  <c r="AQ47" i="8"/>
  <c r="AS147" i="9"/>
  <c r="BD147" i="9" s="1"/>
  <c r="AP104" i="8"/>
  <c r="AO152" i="9"/>
  <c r="AR152" i="9" s="1"/>
  <c r="AR24" i="9"/>
  <c r="AP153" i="7"/>
  <c r="AS153" i="7" s="1"/>
  <c r="BD153" i="7" s="1"/>
  <c r="AR87" i="9"/>
  <c r="AP9" i="8"/>
  <c r="AP133" i="9"/>
  <c r="AS133" i="9" s="1"/>
  <c r="BD133" i="9" s="1"/>
  <c r="AO45" i="7"/>
  <c r="AR45" i="7" s="1"/>
  <c r="AP32" i="7"/>
  <c r="AS32" i="7" s="1"/>
  <c r="BD32" i="7" s="1"/>
  <c r="BB29" i="7"/>
  <c r="AP133" i="8"/>
  <c r="BB88" i="8"/>
  <c r="AP55" i="8"/>
  <c r="AS55" i="8" s="1"/>
  <c r="BD55" i="8" s="1"/>
  <c r="AP138" i="8"/>
  <c r="AS138" i="8" s="1"/>
  <c r="BD138" i="8" s="1"/>
  <c r="BB70" i="9"/>
  <c r="AO137" i="9"/>
  <c r="AR137" i="9" s="1"/>
  <c r="BB156" i="9"/>
  <c r="BB53" i="9"/>
  <c r="BB24" i="8"/>
  <c r="AN29" i="8"/>
  <c r="AM145" i="9"/>
  <c r="AP156" i="9"/>
  <c r="AS156" i="9" s="1"/>
  <c r="BD156" i="9" s="1"/>
  <c r="AP133" i="7"/>
  <c r="AS133" i="7" s="1"/>
  <c r="BD133" i="7" s="1"/>
  <c r="AP113" i="8"/>
  <c r="AS113" i="8" s="1"/>
  <c r="BD113" i="8" s="1"/>
  <c r="AP24" i="8"/>
  <c r="AS24" i="8" s="1"/>
  <c r="BD24" i="8" s="1"/>
  <c r="AP155" i="7"/>
  <c r="AS155" i="7" s="1"/>
  <c r="BD155" i="7" s="1"/>
  <c r="AL112" i="9"/>
  <c r="AP28" i="8"/>
  <c r="BB122" i="8"/>
  <c r="BB118" i="7"/>
  <c r="AS74" i="9"/>
  <c r="BD74" i="9" s="1"/>
  <c r="BB76" i="7"/>
  <c r="BB121" i="7"/>
  <c r="AP46" i="8"/>
  <c r="AS46" i="8" s="1"/>
  <c r="BD46" i="8" s="1"/>
  <c r="BB143" i="9"/>
  <c r="AP33" i="7"/>
  <c r="AS33" i="7" s="1"/>
  <c r="BD33" i="7" s="1"/>
  <c r="AP110" i="7"/>
  <c r="AS110" i="7" s="1"/>
  <c r="BD110" i="7" s="1"/>
  <c r="AP67" i="7"/>
  <c r="AS67" i="7" s="1"/>
  <c r="BD67" i="7" s="1"/>
  <c r="AO14" i="8"/>
  <c r="BB41" i="7"/>
  <c r="BB9" i="7"/>
  <c r="AO82" i="7"/>
  <c r="AR82" i="7" s="1"/>
  <c r="AP18" i="9"/>
  <c r="AS18" i="9" s="1"/>
  <c r="BD18" i="9" s="1"/>
  <c r="BB153" i="8"/>
  <c r="AO16" i="9"/>
  <c r="AR16" i="9" s="1"/>
  <c r="AP49" i="7"/>
  <c r="AS49" i="7" s="1"/>
  <c r="BD49" i="7" s="1"/>
  <c r="AO30" i="8"/>
  <c r="AR30" i="8" s="1"/>
  <c r="AO102" i="8"/>
  <c r="AP139" i="8"/>
  <c r="AP146" i="9"/>
  <c r="AS146" i="9" s="1"/>
  <c r="BD146" i="9" s="1"/>
  <c r="BB120" i="8"/>
  <c r="AP100" i="8"/>
  <c r="AS100" i="8" s="1"/>
  <c r="BD100" i="8" s="1"/>
  <c r="BB123" i="8"/>
  <c r="AN126" i="9"/>
  <c r="AM126" i="9"/>
  <c r="AP26" i="8"/>
  <c r="AS26" i="8" s="1"/>
  <c r="BD26" i="8" s="1"/>
  <c r="AP122" i="7"/>
  <c r="AS122" i="7" s="1"/>
  <c r="BD122" i="7" s="1"/>
  <c r="AP72" i="8"/>
  <c r="AS72" i="8" s="1"/>
  <c r="BD72" i="8" s="1"/>
  <c r="BB137" i="8"/>
  <c r="AO30" i="9"/>
  <c r="BB98" i="8"/>
  <c r="AR101" i="9"/>
  <c r="AL145" i="9"/>
  <c r="AR53" i="8"/>
  <c r="AP135" i="9"/>
  <c r="AS135" i="9" s="1"/>
  <c r="BD135" i="9" s="1"/>
  <c r="AR17" i="8"/>
  <c r="BB65" i="7"/>
  <c r="BB41" i="8"/>
  <c r="AP55" i="9"/>
  <c r="AS55" i="9" s="1"/>
  <c r="BD55" i="9" s="1"/>
  <c r="AO21" i="8"/>
  <c r="AR21" i="8" s="1"/>
  <c r="AP116" i="9"/>
  <c r="AS116" i="9" s="1"/>
  <c r="BD116" i="9" s="1"/>
  <c r="AO76" i="8"/>
  <c r="AP109" i="7"/>
  <c r="AS109" i="7" s="1"/>
  <c r="BD109" i="7" s="1"/>
  <c r="AP41" i="8"/>
  <c r="AS41" i="8" s="1"/>
  <c r="BD41" i="8" s="1"/>
  <c r="BB17" i="9"/>
  <c r="AO151" i="7"/>
  <c r="AR151" i="7" s="1"/>
  <c r="AP34" i="8"/>
  <c r="AS34" i="8" s="1"/>
  <c r="BD34" i="8" s="1"/>
  <c r="AR116" i="9"/>
  <c r="BB141" i="7"/>
  <c r="BB140" i="9"/>
  <c r="BB77" i="8"/>
  <c r="AP17" i="9"/>
  <c r="AQ17" i="9" s="1"/>
  <c r="AR134" i="8"/>
  <c r="AR61" i="9"/>
  <c r="BB144" i="7"/>
  <c r="AP88" i="7"/>
  <c r="AS88" i="7" s="1"/>
  <c r="BD88" i="7" s="1"/>
  <c r="BB43" i="7"/>
  <c r="BB149" i="7"/>
  <c r="AP119" i="8"/>
  <c r="AS119" i="8" s="1"/>
  <c r="BD119" i="8" s="1"/>
  <c r="AQ119" i="8"/>
  <c r="AU119" i="8" s="1"/>
  <c r="AV119" i="8" s="1"/>
  <c r="BB93" i="8"/>
  <c r="AP80" i="7"/>
  <c r="AQ80" i="7" s="1"/>
  <c r="AT80" i="7" s="1"/>
  <c r="BC80" i="7" s="1"/>
  <c r="BB84" i="7"/>
  <c r="AP70" i="8"/>
  <c r="AS70" i="8" s="1"/>
  <c r="BD70" i="8" s="1"/>
  <c r="AO128" i="8"/>
  <c r="AR128" i="8" s="1"/>
  <c r="BB62" i="9"/>
  <c r="AO75" i="8"/>
  <c r="AR75" i="8" s="1"/>
  <c r="BB25" i="9"/>
  <c r="BB144" i="8"/>
  <c r="AQ100" i="7"/>
  <c r="AT100" i="7" s="1"/>
  <c r="AM97" i="7"/>
  <c r="AP155" i="8"/>
  <c r="AS155" i="8" s="1"/>
  <c r="BD155" i="8" s="1"/>
  <c r="BB37" i="9"/>
  <c r="BB49" i="8"/>
  <c r="AR155" i="7"/>
  <c r="AM112" i="9"/>
  <c r="AL96" i="7"/>
  <c r="AN96" i="7"/>
  <c r="AR28" i="8"/>
  <c r="AP118" i="7"/>
  <c r="AS118" i="7" s="1"/>
  <c r="BD118" i="7" s="1"/>
  <c r="AQ74" i="9"/>
  <c r="AT74" i="9" s="1"/>
  <c r="AP76" i="7"/>
  <c r="AS76" i="7" s="1"/>
  <c r="BD76" i="7" s="1"/>
  <c r="AO19" i="8"/>
  <c r="AR46" i="8"/>
  <c r="AP97" i="9"/>
  <c r="AS97" i="9" s="1"/>
  <c r="BD97" i="9" s="1"/>
  <c r="AR33" i="7"/>
  <c r="AQ66" i="9"/>
  <c r="AT66" i="9" s="1"/>
  <c r="BC66" i="9" s="1"/>
  <c r="AP52" i="9"/>
  <c r="AS52" i="9" s="1"/>
  <c r="BD52" i="9" s="1"/>
  <c r="AP144" i="9"/>
  <c r="AS144" i="9" s="1"/>
  <c r="BD144" i="9" s="1"/>
  <c r="AP41" i="7"/>
  <c r="AS41" i="7" s="1"/>
  <c r="BD41" i="7" s="1"/>
  <c r="AP34" i="7"/>
  <c r="AS34" i="7" s="1"/>
  <c r="BD34" i="7" s="1"/>
  <c r="AO62" i="8"/>
  <c r="AR62" i="8" s="1"/>
  <c r="AQ48" i="8"/>
  <c r="AT48" i="8" s="1"/>
  <c r="BC48" i="8" s="1"/>
  <c r="AR18" i="9"/>
  <c r="AP153" i="8"/>
  <c r="AQ153" i="8" s="1"/>
  <c r="AT153" i="8" s="1"/>
  <c r="AP28" i="9"/>
  <c r="AS28" i="9" s="1"/>
  <c r="BD28" i="9" s="1"/>
  <c r="AS48" i="7"/>
  <c r="BD48" i="7" s="1"/>
  <c r="AN16" i="9"/>
  <c r="AO11" i="8"/>
  <c r="AN39" i="7"/>
  <c r="AM89" i="7"/>
  <c r="AO25" i="8"/>
  <c r="AR25" i="8" s="1"/>
  <c r="AP12" i="7"/>
  <c r="AS12" i="7" s="1"/>
  <c r="BD12" i="7" s="1"/>
  <c r="AR35" i="9"/>
  <c r="AM81" i="8"/>
  <c r="BA35" i="7"/>
  <c r="AM10" i="9"/>
  <c r="BB119" i="9"/>
  <c r="BB117" i="7"/>
  <c r="AO147" i="7"/>
  <c r="BB108" i="7"/>
  <c r="BB29" i="9"/>
  <c r="AP76" i="9"/>
  <c r="BB113" i="7"/>
  <c r="BB117" i="8"/>
  <c r="AP123" i="8"/>
  <c r="AS123" i="8" s="1"/>
  <c r="BD123" i="8" s="1"/>
  <c r="BB145" i="8"/>
  <c r="AP81" i="7"/>
  <c r="AS81" i="7" s="1"/>
  <c r="BD81" i="7" s="1"/>
  <c r="AP157" i="8"/>
  <c r="AS157" i="8" s="1"/>
  <c r="BD157" i="8" s="1"/>
  <c r="AO91" i="9"/>
  <c r="AR91" i="9" s="1"/>
  <c r="AP73" i="7"/>
  <c r="AS73" i="7" s="1"/>
  <c r="BD73" i="7" s="1"/>
  <c r="AP157" i="7"/>
  <c r="AS157" i="7" s="1"/>
  <c r="BD157" i="7" s="1"/>
  <c r="AP59" i="9"/>
  <c r="AS59" i="9" s="1"/>
  <c r="BD59" i="9" s="1"/>
  <c r="BB39" i="8"/>
  <c r="BB135" i="9"/>
  <c r="AR15" i="8"/>
  <c r="AP60" i="7"/>
  <c r="AS60" i="7" s="1"/>
  <c r="BD60" i="7" s="1"/>
  <c r="AP117" i="9"/>
  <c r="AS117" i="9" s="1"/>
  <c r="BD117" i="9" s="1"/>
  <c r="AO96" i="8"/>
  <c r="AR96" i="8" s="1"/>
  <c r="AR15" i="9"/>
  <c r="AR122" i="7"/>
  <c r="AR60" i="7"/>
  <c r="AP120" i="9"/>
  <c r="AS120" i="9" s="1"/>
  <c r="BD120" i="9" s="1"/>
  <c r="AP139" i="9"/>
  <c r="AS139" i="9" s="1"/>
  <c r="BD139" i="9" s="1"/>
  <c r="AP36" i="8"/>
  <c r="AS36" i="8" s="1"/>
  <c r="BD36" i="8" s="1"/>
  <c r="AP148" i="9"/>
  <c r="AS148" i="9" s="1"/>
  <c r="BD148" i="9" s="1"/>
  <c r="AU35" i="7"/>
  <c r="AV35" i="7" s="1"/>
  <c r="AO45" i="9"/>
  <c r="AR45" i="9" s="1"/>
  <c r="AP16" i="8"/>
  <c r="AS16" i="8" s="1"/>
  <c r="BD16" i="8" s="1"/>
  <c r="AQ98" i="8"/>
  <c r="AT98" i="8" s="1"/>
  <c r="BC98" i="8" s="1"/>
  <c r="AR134" i="9"/>
  <c r="AO112" i="7"/>
  <c r="AR112" i="7" s="1"/>
  <c r="AM51" i="8"/>
  <c r="AR139" i="9"/>
  <c r="AP129" i="9"/>
  <c r="AS129" i="9" s="1"/>
  <c r="BD129" i="9" s="1"/>
  <c r="AQ53" i="7"/>
  <c r="AT53" i="7" s="1"/>
  <c r="AR109" i="7"/>
  <c r="BB19" i="9"/>
  <c r="BB119" i="8"/>
  <c r="AP156" i="8"/>
  <c r="AS156" i="8" s="1"/>
  <c r="BD156" i="8" s="1"/>
  <c r="AR110" i="8"/>
  <c r="AN96" i="8"/>
  <c r="AP17" i="7"/>
  <c r="AS17" i="7" s="1"/>
  <c r="BD17" i="7" s="1"/>
  <c r="AP135" i="7"/>
  <c r="AS135" i="7" s="1"/>
  <c r="BD135" i="7" s="1"/>
  <c r="BB19" i="7"/>
  <c r="BB114" i="9"/>
  <c r="BB133" i="7"/>
  <c r="BB113" i="8"/>
  <c r="AP92" i="9"/>
  <c r="AS92" i="9" s="1"/>
  <c r="BD92" i="9" s="1"/>
  <c r="BB47" i="8"/>
  <c r="AR138" i="8"/>
  <c r="BB99" i="7"/>
  <c r="AN137" i="9"/>
  <c r="BB128" i="9"/>
  <c r="AP152" i="8"/>
  <c r="AP94" i="8"/>
  <c r="AP10" i="8"/>
  <c r="AS10" i="8" s="1"/>
  <c r="BD10" i="8" s="1"/>
  <c r="AQ99" i="7"/>
  <c r="AT99" i="7" s="1"/>
  <c r="BC99" i="7" s="1"/>
  <c r="AP151" i="9"/>
  <c r="AS151" i="9" s="1"/>
  <c r="BD151" i="9" s="1"/>
  <c r="AP136" i="7"/>
  <c r="AS136" i="7" s="1"/>
  <c r="BD136" i="7" s="1"/>
  <c r="AP143" i="7"/>
  <c r="AS143" i="7" s="1"/>
  <c r="BD143" i="7" s="1"/>
  <c r="AP128" i="9"/>
  <c r="AS128" i="9" s="1"/>
  <c r="BD128" i="9" s="1"/>
  <c r="AR152" i="8"/>
  <c r="AQ68" i="9"/>
  <c r="AT68" i="9" s="1"/>
  <c r="AR94" i="8"/>
  <c r="AO114" i="8"/>
  <c r="AR114" i="8" s="1"/>
  <c r="AR10" i="8"/>
  <c r="AR136" i="7"/>
  <c r="AP119" i="9"/>
  <c r="AS119" i="9" s="1"/>
  <c r="BD119" i="9" s="1"/>
  <c r="AL43" i="8"/>
  <c r="BB23" i="9"/>
  <c r="AR143" i="7"/>
  <c r="AP73" i="9"/>
  <c r="AS73" i="9" s="1"/>
  <c r="BD73" i="9" s="1"/>
  <c r="AR61" i="7"/>
  <c r="AP117" i="7"/>
  <c r="AS117" i="7" s="1"/>
  <c r="BD117" i="7" s="1"/>
  <c r="AM149" i="8"/>
  <c r="AL97" i="7"/>
  <c r="AP37" i="9"/>
  <c r="AS37" i="9" s="1"/>
  <c r="BD37" i="9" s="1"/>
  <c r="AP49" i="8"/>
  <c r="AS49" i="8" s="1"/>
  <c r="BD49" i="8" s="1"/>
  <c r="AR20" i="9"/>
  <c r="AP115" i="7"/>
  <c r="AP52" i="8"/>
  <c r="AS52" i="8" s="1"/>
  <c r="BD52" i="8" s="1"/>
  <c r="AP27" i="7"/>
  <c r="AS27" i="7" s="1"/>
  <c r="BD27" i="7" s="1"/>
  <c r="AP29" i="9"/>
  <c r="AS29" i="9" s="1"/>
  <c r="BD29" i="9" s="1"/>
  <c r="AQ92" i="8"/>
  <c r="AT92" i="8" s="1"/>
  <c r="AP69" i="7"/>
  <c r="AQ69" i="7" s="1"/>
  <c r="AR139" i="8"/>
  <c r="AL119" i="7"/>
  <c r="AL130" i="7"/>
  <c r="AM130" i="7"/>
  <c r="AM19" i="8"/>
  <c r="AQ131" i="8"/>
  <c r="AT131" i="8" s="1"/>
  <c r="AR100" i="8"/>
  <c r="AO22" i="8"/>
  <c r="AR22" i="8" s="1"/>
  <c r="AR97" i="9"/>
  <c r="AR52" i="9"/>
  <c r="AR144" i="9"/>
  <c r="AP113" i="7"/>
  <c r="AO44" i="8"/>
  <c r="AR44" i="8" s="1"/>
  <c r="AP55" i="7"/>
  <c r="AS55" i="7" s="1"/>
  <c r="BD55" i="7" s="1"/>
  <c r="AO36" i="7"/>
  <c r="AR36" i="7" s="1"/>
  <c r="BB28" i="9"/>
  <c r="AP102" i="9"/>
  <c r="AO139" i="7"/>
  <c r="AR139" i="7" s="1"/>
  <c r="AR65" i="9"/>
  <c r="AP130" i="8"/>
  <c r="AS130" i="8" s="1"/>
  <c r="BD130" i="8" s="1"/>
  <c r="AR12" i="7"/>
  <c r="AQ13" i="7" l="1"/>
  <c r="AT13" i="7" s="1"/>
  <c r="AO138" i="9"/>
  <c r="AR138" i="9"/>
  <c r="BB138" i="9" s="1"/>
  <c r="AS146" i="7"/>
  <c r="BD146" i="7" s="1"/>
  <c r="AP72" i="7"/>
  <c r="AS72" i="7" s="1"/>
  <c r="BD72" i="7" s="1"/>
  <c r="AU81" i="9"/>
  <c r="AV81" i="9" s="1"/>
  <c r="AQ34" i="9"/>
  <c r="AQ113" i="9"/>
  <c r="AT113" i="9" s="1"/>
  <c r="BC113" i="9" s="1"/>
  <c r="AQ52" i="7"/>
  <c r="AT52" i="7" s="1"/>
  <c r="BC52" i="7" s="1"/>
  <c r="AQ103" i="9"/>
  <c r="AT103" i="9" s="1"/>
  <c r="AW103" i="9" s="1"/>
  <c r="AQ35" i="9"/>
  <c r="AT35" i="9" s="1"/>
  <c r="BC35" i="9" s="1"/>
  <c r="AW68" i="7"/>
  <c r="AQ136" i="8"/>
  <c r="AT136" i="8" s="1"/>
  <c r="BC136" i="8" s="1"/>
  <c r="AQ44" i="9"/>
  <c r="AQ148" i="7"/>
  <c r="AW87" i="8"/>
  <c r="BA146" i="7"/>
  <c r="BA67" i="8"/>
  <c r="AP106" i="9"/>
  <c r="AS106" i="9" s="1"/>
  <c r="BD106" i="9" s="1"/>
  <c r="AR107" i="7"/>
  <c r="BA87" i="8"/>
  <c r="AR52" i="7"/>
  <c r="BB52" i="7" s="1"/>
  <c r="BA94" i="9"/>
  <c r="AW94" i="9"/>
  <c r="AQ49" i="7"/>
  <c r="AT49" i="7" s="1"/>
  <c r="BC49" i="7" s="1"/>
  <c r="AS149" i="9"/>
  <c r="BD149" i="9" s="1"/>
  <c r="AQ61" i="7"/>
  <c r="AU61" i="7" s="1"/>
  <c r="AV61" i="7" s="1"/>
  <c r="AW106" i="8"/>
  <c r="BA98" i="7"/>
  <c r="AR124" i="9"/>
  <c r="BA69" i="8"/>
  <c r="AW142" i="7"/>
  <c r="AW20" i="8"/>
  <c r="AQ150" i="7"/>
  <c r="AT150" i="7" s="1"/>
  <c r="BC150" i="7" s="1"/>
  <c r="AR36" i="9"/>
  <c r="BB36" i="9" s="1"/>
  <c r="AQ128" i="9"/>
  <c r="AT128" i="9" s="1"/>
  <c r="BC128" i="9" s="1"/>
  <c r="AQ27" i="9"/>
  <c r="AU27" i="9" s="1"/>
  <c r="AV27" i="9" s="1"/>
  <c r="AP51" i="7"/>
  <c r="AS51" i="7" s="1"/>
  <c r="BD51" i="7" s="1"/>
  <c r="AU150" i="8"/>
  <c r="AV150" i="8" s="1"/>
  <c r="AZ150" i="8" s="1"/>
  <c r="AQ54" i="9"/>
  <c r="AT54" i="9" s="1"/>
  <c r="AW98" i="7"/>
  <c r="AW150" i="8"/>
  <c r="BA142" i="7"/>
  <c r="AQ134" i="7"/>
  <c r="AT134" i="7" s="1"/>
  <c r="AQ26" i="8"/>
  <c r="AT26" i="8" s="1"/>
  <c r="AW26" i="8" s="1"/>
  <c r="AQ40" i="9"/>
  <c r="AT40" i="9" s="1"/>
  <c r="BC40" i="9" s="1"/>
  <c r="AQ71" i="9"/>
  <c r="AT71" i="9" s="1"/>
  <c r="BC71" i="9" s="1"/>
  <c r="AU98" i="7"/>
  <c r="AV98" i="7" s="1"/>
  <c r="AQ107" i="8"/>
  <c r="AQ128" i="7"/>
  <c r="AT128" i="7" s="1"/>
  <c r="BC128" i="7" s="1"/>
  <c r="AQ72" i="7"/>
  <c r="AT72" i="7" s="1"/>
  <c r="BC72" i="7" s="1"/>
  <c r="AQ79" i="9"/>
  <c r="AT79" i="9" s="1"/>
  <c r="AW79" i="9" s="1"/>
  <c r="AP141" i="8"/>
  <c r="AS141" i="8" s="1"/>
  <c r="BD141" i="8" s="1"/>
  <c r="AU73" i="8"/>
  <c r="AV73" i="8" s="1"/>
  <c r="AU31" i="8"/>
  <c r="AV31" i="8" s="1"/>
  <c r="AQ145" i="7"/>
  <c r="AT145" i="7" s="1"/>
  <c r="BC145" i="7" s="1"/>
  <c r="AR51" i="7"/>
  <c r="BB51" i="7" s="1"/>
  <c r="AQ71" i="7"/>
  <c r="AT71" i="7" s="1"/>
  <c r="BC71" i="7" s="1"/>
  <c r="AU48" i="7"/>
  <c r="AV48" i="7" s="1"/>
  <c r="AW73" i="8"/>
  <c r="AU20" i="8"/>
  <c r="AV20" i="8" s="1"/>
  <c r="AR78" i="8"/>
  <c r="BB78" i="8" s="1"/>
  <c r="AU111" i="7"/>
  <c r="AV111" i="7" s="1"/>
  <c r="AP129" i="7"/>
  <c r="AQ129" i="7" s="1"/>
  <c r="AU129" i="7" s="1"/>
  <c r="AV129" i="7" s="1"/>
  <c r="BA73" i="8"/>
  <c r="AU87" i="8"/>
  <c r="AV87" i="8" s="1"/>
  <c r="AZ87" i="8" s="1"/>
  <c r="AP123" i="7"/>
  <c r="AW84" i="9"/>
  <c r="AW67" i="8"/>
  <c r="AU67" i="8"/>
  <c r="AV67" i="8" s="1"/>
  <c r="BA68" i="7"/>
  <c r="AQ143" i="8"/>
  <c r="AT143" i="8" s="1"/>
  <c r="BC143" i="8" s="1"/>
  <c r="AU149" i="9"/>
  <c r="AV149" i="9" s="1"/>
  <c r="AZ142" i="7"/>
  <c r="AP66" i="7"/>
  <c r="AS66" i="7" s="1"/>
  <c r="BD66" i="7" s="1"/>
  <c r="AR125" i="9"/>
  <c r="AQ9" i="7"/>
  <c r="AT9" i="7" s="1"/>
  <c r="BC9" i="7" s="1"/>
  <c r="AQ85" i="8"/>
  <c r="AT85" i="8" s="1"/>
  <c r="BC85" i="8" s="1"/>
  <c r="AQ41" i="9"/>
  <c r="AT41" i="9" s="1"/>
  <c r="BC41" i="9" s="1"/>
  <c r="AQ50" i="9"/>
  <c r="AT50" i="9" s="1"/>
  <c r="BC50" i="9" s="1"/>
  <c r="BB150" i="8"/>
  <c r="AQ46" i="7"/>
  <c r="AT46" i="7" s="1"/>
  <c r="BC46" i="7" s="1"/>
  <c r="AQ122" i="7"/>
  <c r="AT122" i="7" s="1"/>
  <c r="BC122" i="7" s="1"/>
  <c r="AQ148" i="8"/>
  <c r="AT148" i="8" s="1"/>
  <c r="AP23" i="8"/>
  <c r="AS23" i="8" s="1"/>
  <c r="BD23" i="8" s="1"/>
  <c r="AU68" i="7"/>
  <c r="AV68" i="7" s="1"/>
  <c r="AZ68" i="7" s="1"/>
  <c r="AQ24" i="8"/>
  <c r="AT24" i="8" s="1"/>
  <c r="BC24" i="8" s="1"/>
  <c r="AQ70" i="7"/>
  <c r="AT70" i="7" s="1"/>
  <c r="BC70" i="7" s="1"/>
  <c r="AQ9" i="9"/>
  <c r="AT9" i="9" s="1"/>
  <c r="BC9" i="9" s="1"/>
  <c r="AQ64" i="7"/>
  <c r="AT64" i="7" s="1"/>
  <c r="BA64" i="7" s="1"/>
  <c r="AQ33" i="8"/>
  <c r="AT33" i="8" s="1"/>
  <c r="AS33" i="8"/>
  <c r="BD33" i="8" s="1"/>
  <c r="BC65" i="8"/>
  <c r="AQ111" i="9"/>
  <c r="AT111" i="9" s="1"/>
  <c r="BC111" i="9" s="1"/>
  <c r="AU115" i="8"/>
  <c r="AV115" i="8" s="1"/>
  <c r="AQ131" i="9"/>
  <c r="AT131" i="9" s="1"/>
  <c r="BC131" i="9" s="1"/>
  <c r="AW26" i="7"/>
  <c r="BA26" i="7"/>
  <c r="AU94" i="9"/>
  <c r="AV94" i="9" s="1"/>
  <c r="AU86" i="7"/>
  <c r="AV86" i="7" s="1"/>
  <c r="AS65" i="8"/>
  <c r="BD65" i="8" s="1"/>
  <c r="AU106" i="8"/>
  <c r="AV106" i="8" s="1"/>
  <c r="AZ106" i="8" s="1"/>
  <c r="BA137" i="7"/>
  <c r="AU109" i="8"/>
  <c r="AV109" i="8" s="1"/>
  <c r="AW86" i="7"/>
  <c r="AU84" i="9"/>
  <c r="AV84" i="9" s="1"/>
  <c r="BA106" i="8"/>
  <c r="AW115" i="8"/>
  <c r="AU48" i="8"/>
  <c r="AV48" i="8" s="1"/>
  <c r="BA115" i="8"/>
  <c r="AQ151" i="8"/>
  <c r="AT151" i="8" s="1"/>
  <c r="AW86" i="9"/>
  <c r="AQ50" i="7"/>
  <c r="AT50" i="7" s="1"/>
  <c r="BC50" i="7" s="1"/>
  <c r="AU26" i="7"/>
  <c r="AV26" i="7" s="1"/>
  <c r="AQ20" i="9"/>
  <c r="AT20" i="9" s="1"/>
  <c r="BC20" i="9" s="1"/>
  <c r="AQ54" i="7"/>
  <c r="BA48" i="8"/>
  <c r="AQ108" i="9"/>
  <c r="AT108" i="9" s="1"/>
  <c r="BC108" i="9" s="1"/>
  <c r="AU63" i="7"/>
  <c r="AV63" i="7" s="1"/>
  <c r="AQ134" i="9"/>
  <c r="AT134" i="9" s="1"/>
  <c r="BC134" i="9" s="1"/>
  <c r="AQ78" i="8"/>
  <c r="AT78" i="8" s="1"/>
  <c r="BC78" i="8" s="1"/>
  <c r="AS130" i="9"/>
  <c r="BD130" i="9" s="1"/>
  <c r="AQ130" i="9"/>
  <c r="AT130" i="9" s="1"/>
  <c r="AS150" i="7"/>
  <c r="BD150" i="7" s="1"/>
  <c r="AQ37" i="9"/>
  <c r="AT37" i="9" s="1"/>
  <c r="AW37" i="9" s="1"/>
  <c r="AQ148" i="9"/>
  <c r="AT148" i="9" s="1"/>
  <c r="BC148" i="9" s="1"/>
  <c r="AQ113" i="8"/>
  <c r="AU113" i="8" s="1"/>
  <c r="AV113" i="8" s="1"/>
  <c r="AW137" i="7"/>
  <c r="BA96" i="9"/>
  <c r="BA77" i="7"/>
  <c r="AT44" i="7"/>
  <c r="BC44" i="7" s="1"/>
  <c r="AO157" i="9"/>
  <c r="AR157" i="9" s="1"/>
  <c r="BB157" i="9" s="1"/>
  <c r="AU147" i="9"/>
  <c r="AV147" i="9" s="1"/>
  <c r="BA84" i="9"/>
  <c r="AR150" i="7"/>
  <c r="BB150" i="7" s="1"/>
  <c r="BB48" i="8"/>
  <c r="BA86" i="7"/>
  <c r="AU96" i="9"/>
  <c r="AV96" i="9" s="1"/>
  <c r="AQ129" i="9"/>
  <c r="AT129" i="9" s="1"/>
  <c r="BC129" i="9" s="1"/>
  <c r="AQ41" i="7"/>
  <c r="AT41" i="7" s="1"/>
  <c r="BC41" i="7" s="1"/>
  <c r="BC84" i="9"/>
  <c r="BA100" i="9"/>
  <c r="BA31" i="8"/>
  <c r="BA113" i="9"/>
  <c r="AR129" i="7"/>
  <c r="BB129" i="7" s="1"/>
  <c r="BB86" i="7"/>
  <c r="AT140" i="7"/>
  <c r="BC140" i="7" s="1"/>
  <c r="AR75" i="7"/>
  <c r="BB75" i="7" s="1"/>
  <c r="AP56" i="8"/>
  <c r="AS56" i="8" s="1"/>
  <c r="BD56" i="8" s="1"/>
  <c r="AW63" i="7"/>
  <c r="AW81" i="9"/>
  <c r="AZ81" i="9" s="1"/>
  <c r="AW100" i="9"/>
  <c r="AO121" i="8"/>
  <c r="AU56" i="9"/>
  <c r="AV56" i="9" s="1"/>
  <c r="AT61" i="7"/>
  <c r="BC61" i="7" s="1"/>
  <c r="AW113" i="9"/>
  <c r="AQ117" i="8"/>
  <c r="AT117" i="8" s="1"/>
  <c r="BC117" i="8" s="1"/>
  <c r="AU100" i="9"/>
  <c r="AV100" i="9" s="1"/>
  <c r="BA63" i="7"/>
  <c r="AW58" i="8"/>
  <c r="AZ58" i="8" s="1"/>
  <c r="AQ78" i="9"/>
  <c r="AT78" i="9" s="1"/>
  <c r="BC78" i="9" s="1"/>
  <c r="AW31" i="8"/>
  <c r="AW96" i="9"/>
  <c r="AU136" i="8"/>
  <c r="AV136" i="8" s="1"/>
  <c r="AU65" i="8"/>
  <c r="AV65" i="8" s="1"/>
  <c r="AQ146" i="9"/>
  <c r="AT146" i="9" s="1"/>
  <c r="BC146" i="9" s="1"/>
  <c r="AS35" i="9"/>
  <c r="BD35" i="9" s="1"/>
  <c r="BA58" i="8"/>
  <c r="AW136" i="8"/>
  <c r="AU132" i="8"/>
  <c r="AV132" i="8" s="1"/>
  <c r="AW23" i="9"/>
  <c r="BA86" i="9"/>
  <c r="AU24" i="7"/>
  <c r="AV24" i="7" s="1"/>
  <c r="AW60" i="9"/>
  <c r="AZ60" i="9" s="1"/>
  <c r="AU23" i="7"/>
  <c r="AV23" i="7" s="1"/>
  <c r="AS24" i="9"/>
  <c r="BD24" i="9" s="1"/>
  <c r="AS80" i="7"/>
  <c r="BD80" i="7" s="1"/>
  <c r="AU23" i="9"/>
  <c r="AV23" i="9" s="1"/>
  <c r="AR122" i="9"/>
  <c r="BB122" i="9" s="1"/>
  <c r="AP122" i="9"/>
  <c r="BA23" i="9"/>
  <c r="AU80" i="9"/>
  <c r="AV80" i="9" s="1"/>
  <c r="BA114" i="7"/>
  <c r="AT116" i="8"/>
  <c r="BC116" i="8" s="1"/>
  <c r="BA60" i="9"/>
  <c r="AQ91" i="7"/>
  <c r="AT91" i="7" s="1"/>
  <c r="AW77" i="7"/>
  <c r="BA24" i="7"/>
  <c r="AW69" i="8"/>
  <c r="AQ111" i="8"/>
  <c r="AT111" i="8" s="1"/>
  <c r="AW111" i="8" s="1"/>
  <c r="AR154" i="9"/>
  <c r="BB154" i="9" s="1"/>
  <c r="AQ39" i="9"/>
  <c r="AT39" i="9" s="1"/>
  <c r="BC39" i="9" s="1"/>
  <c r="BC103" i="7"/>
  <c r="BA103" i="7"/>
  <c r="AU77" i="7"/>
  <c r="AV77" i="7" s="1"/>
  <c r="AW24" i="7"/>
  <c r="AU149" i="7"/>
  <c r="AV149" i="7" s="1"/>
  <c r="AW103" i="7"/>
  <c r="AQ156" i="8"/>
  <c r="AT156" i="8" s="1"/>
  <c r="BC156" i="8" s="1"/>
  <c r="AU86" i="9"/>
  <c r="AV86" i="9" s="1"/>
  <c r="AZ86" i="9" s="1"/>
  <c r="AQ29" i="7"/>
  <c r="AU29" i="7" s="1"/>
  <c r="AV29" i="7" s="1"/>
  <c r="AW18" i="7"/>
  <c r="AQ70" i="9"/>
  <c r="AT70" i="9" s="1"/>
  <c r="BC70" i="9" s="1"/>
  <c r="AU148" i="8"/>
  <c r="AV148" i="8" s="1"/>
  <c r="AQ151" i="9"/>
  <c r="AT151" i="9" s="1"/>
  <c r="BC151" i="9" s="1"/>
  <c r="AQ117" i="9"/>
  <c r="AT117" i="9" s="1"/>
  <c r="BC117" i="9" s="1"/>
  <c r="AQ157" i="8"/>
  <c r="AT157" i="8" s="1"/>
  <c r="BC157" i="8" s="1"/>
  <c r="AQ12" i="7"/>
  <c r="AT12" i="7" s="1"/>
  <c r="BC12" i="7" s="1"/>
  <c r="AW149" i="7"/>
  <c r="BA18" i="7"/>
  <c r="AS80" i="9"/>
  <c r="BD80" i="9" s="1"/>
  <c r="AQ50" i="8"/>
  <c r="AT50" i="8" s="1"/>
  <c r="BC50" i="8" s="1"/>
  <c r="AQ106" i="7"/>
  <c r="AR78" i="9"/>
  <c r="BB78" i="9" s="1"/>
  <c r="AQ81" i="7"/>
  <c r="AT81" i="7" s="1"/>
  <c r="BC81" i="7" s="1"/>
  <c r="AQ105" i="9"/>
  <c r="AT105" i="9" s="1"/>
  <c r="BA105" i="9" s="1"/>
  <c r="AU14" i="9"/>
  <c r="AV14" i="9" s="1"/>
  <c r="AU114" i="7"/>
  <c r="AV114" i="7" s="1"/>
  <c r="AU137" i="7"/>
  <c r="AV137" i="7" s="1"/>
  <c r="AU103" i="7"/>
  <c r="AV103" i="7" s="1"/>
  <c r="AQ62" i="9"/>
  <c r="AT62" i="9" s="1"/>
  <c r="BA149" i="7"/>
  <c r="AS17" i="9"/>
  <c r="BD17" i="9" s="1"/>
  <c r="AQ156" i="9"/>
  <c r="AT156" i="9" s="1"/>
  <c r="BC156" i="9" s="1"/>
  <c r="BA150" i="8"/>
  <c r="AQ42" i="7"/>
  <c r="AT42" i="7" s="1"/>
  <c r="BC42" i="7" s="1"/>
  <c r="AQ156" i="7"/>
  <c r="AT156" i="7" s="1"/>
  <c r="BC156" i="7" s="1"/>
  <c r="AQ61" i="9"/>
  <c r="AT61" i="9" s="1"/>
  <c r="BC61" i="9" s="1"/>
  <c r="BA81" i="9"/>
  <c r="AR132" i="8"/>
  <c r="BB132" i="8" s="1"/>
  <c r="AU69" i="8"/>
  <c r="AV69" i="8" s="1"/>
  <c r="AQ12" i="8"/>
  <c r="AT12" i="8" s="1"/>
  <c r="AS133" i="8"/>
  <c r="BD133" i="8" s="1"/>
  <c r="AQ133" i="8"/>
  <c r="AT133" i="8" s="1"/>
  <c r="AS126" i="7"/>
  <c r="BD126" i="7" s="1"/>
  <c r="AQ126" i="7"/>
  <c r="AT126" i="7" s="1"/>
  <c r="AS43" i="9"/>
  <c r="BD43" i="9" s="1"/>
  <c r="AQ43" i="9"/>
  <c r="AT43" i="9" s="1"/>
  <c r="BC43" i="9" s="1"/>
  <c r="AS134" i="8"/>
  <c r="BD134" i="8" s="1"/>
  <c r="AQ97" i="9"/>
  <c r="AS139" i="8"/>
  <c r="BD139" i="8" s="1"/>
  <c r="AQ139" i="8"/>
  <c r="AT139" i="8" s="1"/>
  <c r="BC139" i="8" s="1"/>
  <c r="AS115" i="7"/>
  <c r="BD115" i="7" s="1"/>
  <c r="AQ115" i="7"/>
  <c r="AT115" i="7" s="1"/>
  <c r="BC115" i="7" s="1"/>
  <c r="AU127" i="7"/>
  <c r="AV127" i="7" s="1"/>
  <c r="AT44" i="9"/>
  <c r="AU44" i="9"/>
  <c r="AV44" i="9" s="1"/>
  <c r="AR35" i="8"/>
  <c r="BB35" i="8" s="1"/>
  <c r="AS28" i="8"/>
  <c r="BD28" i="8" s="1"/>
  <c r="AQ28" i="8"/>
  <c r="AT28" i="8" s="1"/>
  <c r="BC28" i="8" s="1"/>
  <c r="AS26" i="9"/>
  <c r="BD26" i="9" s="1"/>
  <c r="AU26" i="9"/>
  <c r="AV26" i="9" s="1"/>
  <c r="AU54" i="9"/>
  <c r="AV54" i="9" s="1"/>
  <c r="AQ105" i="7"/>
  <c r="AT105" i="7" s="1"/>
  <c r="BC105" i="7" s="1"/>
  <c r="AS120" i="8"/>
  <c r="BD120" i="8" s="1"/>
  <c r="AQ120" i="8"/>
  <c r="AT34" i="9"/>
  <c r="BA34" i="9" s="1"/>
  <c r="AU34" i="9"/>
  <c r="AV34" i="9" s="1"/>
  <c r="AS66" i="8"/>
  <c r="BD66" i="8" s="1"/>
  <c r="AQ66" i="8"/>
  <c r="AT66" i="8" s="1"/>
  <c r="AS82" i="8"/>
  <c r="BD82" i="8" s="1"/>
  <c r="AQ82" i="8"/>
  <c r="AT82" i="8" s="1"/>
  <c r="BC82" i="8" s="1"/>
  <c r="AS152" i="8"/>
  <c r="BD152" i="8" s="1"/>
  <c r="AQ152" i="8"/>
  <c r="AT152" i="8" s="1"/>
  <c r="BC152" i="8" s="1"/>
  <c r="AS56" i="7"/>
  <c r="BD56" i="7" s="1"/>
  <c r="AQ56" i="7"/>
  <c r="AT56" i="7" s="1"/>
  <c r="AP132" i="7"/>
  <c r="AS154" i="9"/>
  <c r="BD154" i="9" s="1"/>
  <c r="AQ154" i="9"/>
  <c r="AT154" i="9" s="1"/>
  <c r="BC154" i="9" s="1"/>
  <c r="AO45" i="8"/>
  <c r="AR45" i="8" s="1"/>
  <c r="AS9" i="8"/>
  <c r="BD9" i="8" s="1"/>
  <c r="AQ9" i="8"/>
  <c r="AT9" i="8" s="1"/>
  <c r="BC9" i="8" s="1"/>
  <c r="AS144" i="7"/>
  <c r="BD144" i="7" s="1"/>
  <c r="AQ144" i="7"/>
  <c r="AT144" i="7" s="1"/>
  <c r="BC14" i="9"/>
  <c r="BA14" i="9"/>
  <c r="AW14" i="9"/>
  <c r="AP152" i="7"/>
  <c r="AS152" i="7" s="1"/>
  <c r="BD152" i="7" s="1"/>
  <c r="AS102" i="9"/>
  <c r="BD102" i="9" s="1"/>
  <c r="AQ102" i="9"/>
  <c r="AT102" i="9" s="1"/>
  <c r="AQ88" i="7"/>
  <c r="AT88" i="7" s="1"/>
  <c r="BC88" i="7" s="1"/>
  <c r="BD71" i="7"/>
  <c r="AP132" i="9"/>
  <c r="AR152" i="7"/>
  <c r="BB152" i="7" s="1"/>
  <c r="AR87" i="7"/>
  <c r="BB87" i="7" s="1"/>
  <c r="AR42" i="8"/>
  <c r="BB42" i="8" s="1"/>
  <c r="AQ92" i="9"/>
  <c r="AT92" i="9" s="1"/>
  <c r="BC92" i="9" s="1"/>
  <c r="AQ146" i="8"/>
  <c r="AU146" i="8" s="1"/>
  <c r="AV146" i="8" s="1"/>
  <c r="AP54" i="8"/>
  <c r="BA136" i="8"/>
  <c r="AQ126" i="8"/>
  <c r="AQ120" i="7"/>
  <c r="AQ13" i="9"/>
  <c r="AT13" i="9" s="1"/>
  <c r="BC13" i="9" s="1"/>
  <c r="AU93" i="9"/>
  <c r="AV93" i="9" s="1"/>
  <c r="AO94" i="7"/>
  <c r="AR94" i="7" s="1"/>
  <c r="BB94" i="7" s="1"/>
  <c r="AP82" i="9"/>
  <c r="AS82" i="9" s="1"/>
  <c r="BD82" i="9" s="1"/>
  <c r="AR131" i="9"/>
  <c r="BB131" i="9" s="1"/>
  <c r="AP67" i="9"/>
  <c r="AQ67" i="9" s="1"/>
  <c r="AT67" i="9" s="1"/>
  <c r="AQ65" i="9"/>
  <c r="AT65" i="9" s="1"/>
  <c r="BC65" i="9" s="1"/>
  <c r="AQ42" i="8"/>
  <c r="AT42" i="8" s="1"/>
  <c r="AS153" i="8"/>
  <c r="BD153" i="8" s="1"/>
  <c r="AU62" i="7"/>
  <c r="AV62" i="7" s="1"/>
  <c r="AU64" i="7"/>
  <c r="AV64" i="7" s="1"/>
  <c r="AQ110" i="8"/>
  <c r="AT110" i="8" s="1"/>
  <c r="BC110" i="8" s="1"/>
  <c r="AQ107" i="9"/>
  <c r="AT107" i="9" s="1"/>
  <c r="AW107" i="9" s="1"/>
  <c r="AP86" i="8"/>
  <c r="AW48" i="8"/>
  <c r="AQ133" i="7"/>
  <c r="AT133" i="7" s="1"/>
  <c r="BC133" i="7" s="1"/>
  <c r="AQ138" i="8"/>
  <c r="AQ49" i="9"/>
  <c r="AT49" i="9" s="1"/>
  <c r="AQ90" i="9"/>
  <c r="AT90" i="9" s="1"/>
  <c r="AW90" i="9" s="1"/>
  <c r="AQ145" i="8"/>
  <c r="AT145" i="8" s="1"/>
  <c r="BA145" i="8" s="1"/>
  <c r="AU18" i="7"/>
  <c r="AV18" i="7" s="1"/>
  <c r="AZ35" i="7"/>
  <c r="AU134" i="7"/>
  <c r="AV134" i="7" s="1"/>
  <c r="AQ135" i="7"/>
  <c r="AT135" i="7" s="1"/>
  <c r="AQ144" i="9"/>
  <c r="AT144" i="9" s="1"/>
  <c r="BC144" i="9" s="1"/>
  <c r="BA109" i="8"/>
  <c r="AU131" i="8"/>
  <c r="AV131" i="8" s="1"/>
  <c r="AS63" i="8"/>
  <c r="BD63" i="8" s="1"/>
  <c r="AW66" i="9"/>
  <c r="AW64" i="7"/>
  <c r="AO92" i="7"/>
  <c r="AP83" i="8"/>
  <c r="AS83" i="8" s="1"/>
  <c r="BD83" i="8" s="1"/>
  <c r="AR146" i="8"/>
  <c r="AW109" i="8"/>
  <c r="AZ109" i="8" s="1"/>
  <c r="AU13" i="7"/>
  <c r="AV13" i="7" s="1"/>
  <c r="AQ125" i="8"/>
  <c r="AT125" i="8" s="1"/>
  <c r="BC125" i="8" s="1"/>
  <c r="BA66" i="9"/>
  <c r="AP95" i="9"/>
  <c r="AS95" i="9" s="1"/>
  <c r="BD95" i="9" s="1"/>
  <c r="AO121" i="9"/>
  <c r="AR121" i="9" s="1"/>
  <c r="AS132" i="8"/>
  <c r="BD132" i="8" s="1"/>
  <c r="AT134" i="8"/>
  <c r="BC134" i="8" s="1"/>
  <c r="AU134" i="8"/>
  <c r="AV134" i="8" s="1"/>
  <c r="BB142" i="8"/>
  <c r="BB62" i="8"/>
  <c r="BB48" i="9"/>
  <c r="AT69" i="7"/>
  <c r="AU69" i="7"/>
  <c r="AV69" i="7" s="1"/>
  <c r="BB91" i="9"/>
  <c r="BB83" i="7"/>
  <c r="BB21" i="8"/>
  <c r="BB45" i="7"/>
  <c r="BB47" i="7"/>
  <c r="BB15" i="7"/>
  <c r="BB96" i="8"/>
  <c r="BB40" i="7"/>
  <c r="BB128" i="8"/>
  <c r="BB20" i="7"/>
  <c r="AU93" i="7"/>
  <c r="AV93" i="7" s="1"/>
  <c r="AT93" i="7"/>
  <c r="AT127" i="9"/>
  <c r="BC127" i="9" s="1"/>
  <c r="AU127" i="9"/>
  <c r="AV127" i="9" s="1"/>
  <c r="BB116" i="7"/>
  <c r="BB30" i="8"/>
  <c r="BB16" i="7"/>
  <c r="BC63" i="8"/>
  <c r="AU17" i="9"/>
  <c r="AV17" i="9" s="1"/>
  <c r="AT17" i="9"/>
  <c r="AT24" i="9"/>
  <c r="BC24" i="9" s="1"/>
  <c r="AU24" i="9"/>
  <c r="AV24" i="9" s="1"/>
  <c r="BB127" i="8"/>
  <c r="BB112" i="7"/>
  <c r="BB80" i="8"/>
  <c r="BC153" i="8"/>
  <c r="AT58" i="7"/>
  <c r="AU58" i="7"/>
  <c r="AV58" i="7" s="1"/>
  <c r="BB38" i="9"/>
  <c r="BB81" i="8"/>
  <c r="BB136" i="9"/>
  <c r="BB13" i="8"/>
  <c r="BB82" i="7"/>
  <c r="BB46" i="9"/>
  <c r="BC68" i="9"/>
  <c r="BA68" i="9"/>
  <c r="AW68" i="9"/>
  <c r="BB35" i="9"/>
  <c r="BB25" i="7"/>
  <c r="AQ139" i="9"/>
  <c r="AT139" i="9" s="1"/>
  <c r="BC139" i="9" s="1"/>
  <c r="AQ76" i="9"/>
  <c r="AT76" i="9" s="1"/>
  <c r="AQ118" i="7"/>
  <c r="AT118" i="7" s="1"/>
  <c r="AQ21" i="7"/>
  <c r="AT21" i="7" s="1"/>
  <c r="AP88" i="9"/>
  <c r="AS88" i="9" s="1"/>
  <c r="BD88" i="9" s="1"/>
  <c r="BB126" i="9"/>
  <c r="BB36" i="7"/>
  <c r="AQ117" i="7"/>
  <c r="AQ135" i="9"/>
  <c r="AT135" i="9" s="1"/>
  <c r="BB89" i="7"/>
  <c r="AP101" i="8"/>
  <c r="AS101" i="8" s="1"/>
  <c r="BD101" i="8" s="1"/>
  <c r="AQ60" i="8"/>
  <c r="AQ102" i="7"/>
  <c r="AT102" i="7" s="1"/>
  <c r="AQ29" i="9"/>
  <c r="AT29" i="9" s="1"/>
  <c r="AQ49" i="8"/>
  <c r="AT49" i="8" s="1"/>
  <c r="AP47" i="9"/>
  <c r="AS47" i="9" s="1"/>
  <c r="BD47" i="9" s="1"/>
  <c r="BB53" i="8"/>
  <c r="AP89" i="7"/>
  <c r="AS89" i="7" s="1"/>
  <c r="BD89" i="7" s="1"/>
  <c r="AP51" i="9"/>
  <c r="AS51" i="9" s="1"/>
  <c r="BD51" i="9" s="1"/>
  <c r="AO85" i="9"/>
  <c r="AQ28" i="9"/>
  <c r="AT28" i="9" s="1"/>
  <c r="AQ155" i="7"/>
  <c r="AT155" i="7" s="1"/>
  <c r="BC155" i="7" s="1"/>
  <c r="AQ38" i="8"/>
  <c r="AT38" i="8" s="1"/>
  <c r="BB101" i="9"/>
  <c r="AQ55" i="8"/>
  <c r="AT55" i="8" s="1"/>
  <c r="AO118" i="9"/>
  <c r="AR118" i="9" s="1"/>
  <c r="AQ101" i="9"/>
  <c r="AU104" i="9"/>
  <c r="AV104" i="9" s="1"/>
  <c r="BB60" i="7"/>
  <c r="BB28" i="8"/>
  <c r="AQ70" i="8"/>
  <c r="AT70" i="8" s="1"/>
  <c r="AQ107" i="7"/>
  <c r="AU8" i="9"/>
  <c r="BB65" i="9"/>
  <c r="AQ153" i="7"/>
  <c r="AT153" i="7" s="1"/>
  <c r="BB124" i="8"/>
  <c r="AQ144" i="8"/>
  <c r="AT144" i="8" s="1"/>
  <c r="AQ95" i="7"/>
  <c r="AT95" i="7" s="1"/>
  <c r="BB57" i="7"/>
  <c r="AQ129" i="8"/>
  <c r="AT129" i="8" s="1"/>
  <c r="AP89" i="8"/>
  <c r="AS89" i="8" s="1"/>
  <c r="BD89" i="8" s="1"/>
  <c r="AU125" i="7"/>
  <c r="AV125" i="7" s="1"/>
  <c r="AP139" i="7"/>
  <c r="AS139" i="7" s="1"/>
  <c r="BD139" i="7" s="1"/>
  <c r="AP22" i="8"/>
  <c r="AS22" i="8" s="1"/>
  <c r="BD22" i="8" s="1"/>
  <c r="AO119" i="7"/>
  <c r="AR119" i="7" s="1"/>
  <c r="AQ143" i="7"/>
  <c r="BB15" i="8"/>
  <c r="AU153" i="8"/>
  <c r="AV153" i="8" s="1"/>
  <c r="AQ155" i="8"/>
  <c r="AT155" i="8" s="1"/>
  <c r="BB116" i="9"/>
  <c r="BA98" i="8"/>
  <c r="AS76" i="9"/>
  <c r="BD76" i="9" s="1"/>
  <c r="AP16" i="9"/>
  <c r="AS16" i="9" s="1"/>
  <c r="BD16" i="9" s="1"/>
  <c r="AQ110" i="7"/>
  <c r="AT110" i="7" s="1"/>
  <c r="AP137" i="9"/>
  <c r="AS137" i="9" s="1"/>
  <c r="BD137" i="9" s="1"/>
  <c r="AT47" i="8"/>
  <c r="AU47" i="8"/>
  <c r="AV47" i="8" s="1"/>
  <c r="AP124" i="8"/>
  <c r="AS124" i="8" s="1"/>
  <c r="BD124" i="8" s="1"/>
  <c r="AP85" i="7"/>
  <c r="AS85" i="7" s="1"/>
  <c r="BD85" i="7" s="1"/>
  <c r="AQ58" i="9"/>
  <c r="AQ143" i="9"/>
  <c r="AW114" i="7"/>
  <c r="AU100" i="7"/>
  <c r="AV100" i="7" s="1"/>
  <c r="AS93" i="7"/>
  <c r="BD93" i="7" s="1"/>
  <c r="AQ84" i="8"/>
  <c r="AT84" i="8" s="1"/>
  <c r="BC84" i="8" s="1"/>
  <c r="BB13" i="9"/>
  <c r="AU108" i="7"/>
  <c r="AV108" i="7" s="1"/>
  <c r="BC62" i="7"/>
  <c r="AW62" i="7"/>
  <c r="BA62" i="7"/>
  <c r="AP57" i="7"/>
  <c r="AS57" i="7" s="1"/>
  <c r="BD57" i="7" s="1"/>
  <c r="AQ137" i="8"/>
  <c r="AT137" i="8" s="1"/>
  <c r="AS104" i="8"/>
  <c r="BD104" i="8" s="1"/>
  <c r="AR89" i="8"/>
  <c r="BC56" i="9"/>
  <c r="BA56" i="9"/>
  <c r="AW56" i="9"/>
  <c r="AP104" i="7"/>
  <c r="AQ104" i="7" s="1"/>
  <c r="BA111" i="7"/>
  <c r="AP95" i="8"/>
  <c r="AS95" i="8" s="1"/>
  <c r="BD95" i="8" s="1"/>
  <c r="AP102" i="8"/>
  <c r="AS102" i="8" s="1"/>
  <c r="BD102" i="8" s="1"/>
  <c r="AP10" i="7"/>
  <c r="AS10" i="7" s="1"/>
  <c r="BD10" i="7" s="1"/>
  <c r="AO155" i="9"/>
  <c r="AR155" i="9" s="1"/>
  <c r="BB88" i="9"/>
  <c r="AQ113" i="7"/>
  <c r="AT113" i="7" s="1"/>
  <c r="BA20" i="9"/>
  <c r="BB20" i="9"/>
  <c r="AW20" i="9"/>
  <c r="AP25" i="7"/>
  <c r="AS25" i="7" s="1"/>
  <c r="BD25" i="7" s="1"/>
  <c r="AP75" i="7"/>
  <c r="AS75" i="7" s="1"/>
  <c r="BD75" i="7" s="1"/>
  <c r="BB84" i="8"/>
  <c r="BB12" i="7"/>
  <c r="AP36" i="7"/>
  <c r="AS36" i="7" s="1"/>
  <c r="BD36" i="7" s="1"/>
  <c r="AQ15" i="8"/>
  <c r="AQ32" i="9"/>
  <c r="BB138" i="8"/>
  <c r="AQ73" i="7"/>
  <c r="AT73" i="7" s="1"/>
  <c r="BB25" i="8"/>
  <c r="AP59" i="8"/>
  <c r="AS59" i="8" s="1"/>
  <c r="BD59" i="8" s="1"/>
  <c r="AQ55" i="9"/>
  <c r="AT55" i="9" s="1"/>
  <c r="AP138" i="7"/>
  <c r="AS138" i="7" s="1"/>
  <c r="BD138" i="7" s="1"/>
  <c r="AO11" i="7"/>
  <c r="AR11" i="7" s="1"/>
  <c r="AU91" i="8"/>
  <c r="AV91" i="8" s="1"/>
  <c r="AP75" i="9"/>
  <c r="AS75" i="9" s="1"/>
  <c r="BD75" i="9" s="1"/>
  <c r="AQ94" i="8"/>
  <c r="AT94" i="8" s="1"/>
  <c r="BC94" i="8" s="1"/>
  <c r="AP45" i="7"/>
  <c r="AQ45" i="7" s="1"/>
  <c r="AT45" i="7" s="1"/>
  <c r="AP112" i="8"/>
  <c r="AS112" i="8" s="1"/>
  <c r="BD112" i="8" s="1"/>
  <c r="AT148" i="7"/>
  <c r="AU148" i="7"/>
  <c r="AV148" i="7" s="1"/>
  <c r="BB127" i="9"/>
  <c r="AQ154" i="7"/>
  <c r="AT154" i="7" s="1"/>
  <c r="AQ53" i="8"/>
  <c r="AT53" i="8" s="1"/>
  <c r="BC53" i="8" s="1"/>
  <c r="AP127" i="8"/>
  <c r="AS127" i="8" s="1"/>
  <c r="BD127" i="8" s="1"/>
  <c r="AW49" i="7"/>
  <c r="BB139" i="7"/>
  <c r="BB44" i="8"/>
  <c r="BB22" i="8"/>
  <c r="AO97" i="7"/>
  <c r="AR97" i="7" s="1"/>
  <c r="AU99" i="7"/>
  <c r="AV99" i="7" s="1"/>
  <c r="BB89" i="9"/>
  <c r="BB110" i="8"/>
  <c r="AP112" i="7"/>
  <c r="AS112" i="7" s="1"/>
  <c r="BD112" i="7" s="1"/>
  <c r="AP91" i="9"/>
  <c r="AS91" i="9" s="1"/>
  <c r="BD91" i="9" s="1"/>
  <c r="AQ76" i="7"/>
  <c r="AT76" i="7" s="1"/>
  <c r="BB61" i="9"/>
  <c r="AQ34" i="8"/>
  <c r="AP30" i="9"/>
  <c r="AQ30" i="9" s="1"/>
  <c r="AT30" i="9" s="1"/>
  <c r="BC30" i="9" s="1"/>
  <c r="AP123" i="9"/>
  <c r="AS123" i="9" s="1"/>
  <c r="BD123" i="9" s="1"/>
  <c r="BB16" i="9"/>
  <c r="AS127" i="9"/>
  <c r="BD127" i="9" s="1"/>
  <c r="AP116" i="7"/>
  <c r="AS116" i="7" s="1"/>
  <c r="BD116" i="7" s="1"/>
  <c r="AQ90" i="7"/>
  <c r="AT90" i="7" s="1"/>
  <c r="BB85" i="7"/>
  <c r="AT88" i="8"/>
  <c r="AU88" i="8"/>
  <c r="AV88" i="8" s="1"/>
  <c r="BA23" i="7"/>
  <c r="BB141" i="9"/>
  <c r="AO57" i="8"/>
  <c r="AR57" i="8" s="1"/>
  <c r="AS58" i="7"/>
  <c r="BD58" i="7" s="1"/>
  <c r="AP21" i="9"/>
  <c r="AS21" i="9" s="1"/>
  <c r="BD21" i="9" s="1"/>
  <c r="AP10" i="9"/>
  <c r="AS10" i="9" s="1"/>
  <c r="BD10" i="9" s="1"/>
  <c r="BB124" i="9"/>
  <c r="AQ77" i="8"/>
  <c r="AT77" i="8" s="1"/>
  <c r="AQ99" i="9"/>
  <c r="BB28" i="7"/>
  <c r="AP149" i="8"/>
  <c r="AS149" i="8" s="1"/>
  <c r="BD149" i="8" s="1"/>
  <c r="BB31" i="9"/>
  <c r="AQ17" i="8"/>
  <c r="AT17" i="8" s="1"/>
  <c r="BC17" i="8" s="1"/>
  <c r="BB14" i="7"/>
  <c r="AR104" i="7"/>
  <c r="AW111" i="7"/>
  <c r="BC92" i="8"/>
  <c r="AW92" i="8"/>
  <c r="BA92" i="8"/>
  <c r="BB109" i="7"/>
  <c r="BC103" i="9"/>
  <c r="BB46" i="8"/>
  <c r="AQ121" i="7"/>
  <c r="AT121" i="7" s="1"/>
  <c r="AQ141" i="9"/>
  <c r="AT141" i="9" s="1"/>
  <c r="BC141" i="9" s="1"/>
  <c r="BC91" i="8"/>
  <c r="BA91" i="8"/>
  <c r="AW91" i="8"/>
  <c r="BB60" i="8"/>
  <c r="AQ64" i="9"/>
  <c r="AT64" i="9" s="1"/>
  <c r="AP8" i="7"/>
  <c r="AS8" i="7" s="1"/>
  <c r="BD8" i="7" s="1"/>
  <c r="AQ136" i="7"/>
  <c r="AT136" i="7" s="1"/>
  <c r="BC136" i="7" s="1"/>
  <c r="AQ39" i="8"/>
  <c r="AU143" i="8"/>
  <c r="AV143" i="8" s="1"/>
  <c r="AR47" i="9"/>
  <c r="AQ52" i="9"/>
  <c r="AO145" i="9"/>
  <c r="AR145" i="9" s="1"/>
  <c r="AQ68" i="8"/>
  <c r="AP71" i="8"/>
  <c r="AS71" i="8" s="1"/>
  <c r="BD71" i="8" s="1"/>
  <c r="BB138" i="7"/>
  <c r="BB52" i="9"/>
  <c r="BB136" i="7"/>
  <c r="AQ17" i="7"/>
  <c r="AQ59" i="9"/>
  <c r="AQ32" i="7"/>
  <c r="AT32" i="7" s="1"/>
  <c r="AU66" i="9"/>
  <c r="AV66" i="9" s="1"/>
  <c r="AQ41" i="8"/>
  <c r="BB112" i="8"/>
  <c r="AQ101" i="7"/>
  <c r="AT101" i="7" s="1"/>
  <c r="AQ57" i="9"/>
  <c r="AT57" i="9" s="1"/>
  <c r="AP80" i="8"/>
  <c r="AS80" i="8" s="1"/>
  <c r="BD80" i="8" s="1"/>
  <c r="BB137" i="9"/>
  <c r="AQ118" i="8"/>
  <c r="AT118" i="8" s="1"/>
  <c r="BA104" i="9"/>
  <c r="AP51" i="8"/>
  <c r="AP78" i="7"/>
  <c r="AS78" i="7" s="1"/>
  <c r="BD78" i="7" s="1"/>
  <c r="BB139" i="8"/>
  <c r="AP44" i="8"/>
  <c r="AS44" i="8" s="1"/>
  <c r="BD44" i="8" s="1"/>
  <c r="AQ52" i="8"/>
  <c r="AT52" i="8" s="1"/>
  <c r="BB10" i="8"/>
  <c r="AP89" i="9"/>
  <c r="AS89" i="9" s="1"/>
  <c r="BD89" i="9" s="1"/>
  <c r="AQ89" i="9"/>
  <c r="AT89" i="9" s="1"/>
  <c r="BC89" i="9" s="1"/>
  <c r="BB134" i="9"/>
  <c r="BB122" i="7"/>
  <c r="BA108" i="7"/>
  <c r="BB134" i="8"/>
  <c r="AQ116" i="9"/>
  <c r="AT116" i="9" s="1"/>
  <c r="BC116" i="9" s="1"/>
  <c r="AR30" i="9"/>
  <c r="AQ72" i="8"/>
  <c r="AT72" i="8" s="1"/>
  <c r="AR123" i="9"/>
  <c r="AP37" i="8"/>
  <c r="AS37" i="8" s="1"/>
  <c r="BD37" i="8" s="1"/>
  <c r="AQ100" i="8"/>
  <c r="BA70" i="9"/>
  <c r="AP15" i="7"/>
  <c r="AS15" i="7" s="1"/>
  <c r="BD15" i="7" s="1"/>
  <c r="AT83" i="9"/>
  <c r="AU83" i="9"/>
  <c r="AV83" i="9" s="1"/>
  <c r="AP29" i="8"/>
  <c r="AQ29" i="8" s="1"/>
  <c r="BB111" i="9"/>
  <c r="AP125" i="9"/>
  <c r="AS125" i="9" s="1"/>
  <c r="BD125" i="9" s="1"/>
  <c r="AW23" i="7"/>
  <c r="AQ22" i="7"/>
  <c r="AT22" i="7" s="1"/>
  <c r="AQ114" i="9"/>
  <c r="AT114" i="9" s="1"/>
  <c r="AP131" i="7"/>
  <c r="AS131" i="7" s="1"/>
  <c r="BD131" i="7" s="1"/>
  <c r="AQ140" i="8"/>
  <c r="AQ74" i="8"/>
  <c r="AR21" i="9"/>
  <c r="AU63" i="8"/>
  <c r="AV63" i="8" s="1"/>
  <c r="AR10" i="9"/>
  <c r="AP124" i="9"/>
  <c r="AS124" i="9" s="1"/>
  <c r="BD124" i="9" s="1"/>
  <c r="AP79" i="8"/>
  <c r="AS79" i="8" s="1"/>
  <c r="BD79" i="8" s="1"/>
  <c r="AP154" i="8"/>
  <c r="AS154" i="8" s="1"/>
  <c r="BD154" i="8" s="1"/>
  <c r="AP28" i="7"/>
  <c r="AS28" i="7" s="1"/>
  <c r="BD28" i="7" s="1"/>
  <c r="AR149" i="8"/>
  <c r="AS84" i="7"/>
  <c r="BD84" i="7" s="1"/>
  <c r="AP31" i="9"/>
  <c r="AS31" i="9" s="1"/>
  <c r="BD31" i="9" s="1"/>
  <c r="AU17" i="8"/>
  <c r="AV17" i="8" s="1"/>
  <c r="BB108" i="8"/>
  <c r="AQ108" i="8"/>
  <c r="AP14" i="7"/>
  <c r="AS14" i="7" s="1"/>
  <c r="BD14" i="7" s="1"/>
  <c r="AP11" i="8"/>
  <c r="AS11" i="8" s="1"/>
  <c r="BD11" i="8" s="1"/>
  <c r="AR95" i="8"/>
  <c r="AQ105" i="8"/>
  <c r="AT105" i="8" s="1"/>
  <c r="BB152" i="8"/>
  <c r="AQ16" i="8"/>
  <c r="AT16" i="8" s="1"/>
  <c r="AP19" i="8"/>
  <c r="AS19" i="8" s="1"/>
  <c r="BD19" i="8" s="1"/>
  <c r="AP30" i="8"/>
  <c r="AS30" i="8" s="1"/>
  <c r="BD30" i="8" s="1"/>
  <c r="AO112" i="9"/>
  <c r="AP83" i="7"/>
  <c r="AS83" i="7" s="1"/>
  <c r="BD83" i="7" s="1"/>
  <c r="BB32" i="9"/>
  <c r="AP126" i="9"/>
  <c r="AQ126" i="9" s="1"/>
  <c r="AT126" i="9" s="1"/>
  <c r="BB144" i="9"/>
  <c r="BB59" i="8"/>
  <c r="AQ69" i="9"/>
  <c r="BB30" i="7"/>
  <c r="BB43" i="9"/>
  <c r="AQ10" i="8"/>
  <c r="BB45" i="9"/>
  <c r="AT119" i="8"/>
  <c r="AP82" i="7"/>
  <c r="AS82" i="7" s="1"/>
  <c r="BD82" i="7" s="1"/>
  <c r="AP20" i="7"/>
  <c r="AS20" i="7" s="1"/>
  <c r="BD20" i="7" s="1"/>
  <c r="AQ120" i="9"/>
  <c r="AT120" i="9" s="1"/>
  <c r="AR71" i="8"/>
  <c r="BB50" i="8"/>
  <c r="AQ55" i="7"/>
  <c r="AT55" i="7" s="1"/>
  <c r="BB33" i="7"/>
  <c r="AW98" i="8"/>
  <c r="AQ99" i="8"/>
  <c r="AT99" i="8" s="1"/>
  <c r="AQ27" i="8"/>
  <c r="AQ123" i="8"/>
  <c r="AQ67" i="7"/>
  <c r="AP48" i="9"/>
  <c r="AS48" i="9" s="1"/>
  <c r="BD48" i="9" s="1"/>
  <c r="BB100" i="8"/>
  <c r="BB114" i="8"/>
  <c r="AS69" i="7"/>
  <c r="BD69" i="7" s="1"/>
  <c r="AO96" i="7"/>
  <c r="AR96" i="7" s="1"/>
  <c r="AU80" i="7"/>
  <c r="AV80" i="7" s="1"/>
  <c r="AP13" i="8"/>
  <c r="AS13" i="8" s="1"/>
  <c r="BD13" i="8" s="1"/>
  <c r="AP39" i="7"/>
  <c r="BB37" i="8"/>
  <c r="AP18" i="8"/>
  <c r="AS18" i="8" s="1"/>
  <c r="BD18" i="8" s="1"/>
  <c r="AU53" i="7"/>
  <c r="AV53" i="7" s="1"/>
  <c r="BB29" i="8"/>
  <c r="AP150" i="9"/>
  <c r="AS150" i="9" s="1"/>
  <c r="BD150" i="9" s="1"/>
  <c r="BB125" i="9"/>
  <c r="BC13" i="7"/>
  <c r="AW13" i="7"/>
  <c r="BA13" i="7"/>
  <c r="BB131" i="7"/>
  <c r="AO64" i="8"/>
  <c r="AP40" i="7"/>
  <c r="AS40" i="7" s="1"/>
  <c r="BD40" i="7" s="1"/>
  <c r="AS113" i="7"/>
  <c r="BD113" i="7" s="1"/>
  <c r="AP97" i="8"/>
  <c r="AS97" i="8" s="1"/>
  <c r="BD97" i="8" s="1"/>
  <c r="BA8" i="9"/>
  <c r="BB79" i="8"/>
  <c r="BB154" i="8"/>
  <c r="BC147" i="9"/>
  <c r="AW147" i="9"/>
  <c r="BA147" i="9"/>
  <c r="AP46" i="9"/>
  <c r="AS46" i="9" s="1"/>
  <c r="BD46" i="9" s="1"/>
  <c r="AU98" i="8"/>
  <c r="AV98" i="8" s="1"/>
  <c r="BB152" i="9"/>
  <c r="BB115" i="9"/>
  <c r="BC142" i="9"/>
  <c r="AW142" i="9"/>
  <c r="BA142" i="9"/>
  <c r="AQ84" i="7"/>
  <c r="AT84" i="7" s="1"/>
  <c r="BB51" i="9"/>
  <c r="AQ90" i="8"/>
  <c r="AT90" i="8" s="1"/>
  <c r="AQ43" i="7"/>
  <c r="AQ140" i="9"/>
  <c r="AT140" i="9" s="1"/>
  <c r="AU46" i="7"/>
  <c r="AV46" i="7" s="1"/>
  <c r="AP22" i="9"/>
  <c r="AQ22" i="9" s="1"/>
  <c r="AQ119" i="9"/>
  <c r="AT119" i="9" s="1"/>
  <c r="AW99" i="7"/>
  <c r="AR19" i="8"/>
  <c r="AP128" i="8"/>
  <c r="AS128" i="8" s="1"/>
  <c r="BD128" i="8" s="1"/>
  <c r="AQ65" i="7"/>
  <c r="AT65" i="7" s="1"/>
  <c r="AQ42" i="9"/>
  <c r="AT42" i="9" s="1"/>
  <c r="BB79" i="7"/>
  <c r="AQ104" i="8"/>
  <c r="AT104" i="8" s="1"/>
  <c r="AP8" i="8"/>
  <c r="AS8" i="8" s="1"/>
  <c r="BD8" i="8" s="1"/>
  <c r="BB125" i="8"/>
  <c r="AW143" i="8"/>
  <c r="BB40" i="8"/>
  <c r="AQ73" i="9"/>
  <c r="AT73" i="9" s="1"/>
  <c r="BB87" i="9"/>
  <c r="AQ32" i="8"/>
  <c r="AT32" i="8" s="1"/>
  <c r="AQ38" i="7"/>
  <c r="AT38" i="7" s="1"/>
  <c r="AQ27" i="7"/>
  <c r="AT27" i="7" s="1"/>
  <c r="AQ72" i="9"/>
  <c r="AT72" i="9" s="1"/>
  <c r="BB51" i="8"/>
  <c r="AP136" i="9"/>
  <c r="AS136" i="9" s="1"/>
  <c r="BD136" i="9" s="1"/>
  <c r="AP81" i="8"/>
  <c r="AQ15" i="9"/>
  <c r="AT15" i="9" s="1"/>
  <c r="BC15" i="9" s="1"/>
  <c r="AU68" i="9"/>
  <c r="AV68" i="9" s="1"/>
  <c r="BB143" i="7"/>
  <c r="BB15" i="9"/>
  <c r="BB18" i="9"/>
  <c r="BC131" i="8"/>
  <c r="BA131" i="8"/>
  <c r="AW131" i="8"/>
  <c r="AP114" i="8"/>
  <c r="AS114" i="8" s="1"/>
  <c r="BD114" i="8" s="1"/>
  <c r="AQ36" i="8"/>
  <c r="AQ157" i="7"/>
  <c r="AW108" i="7"/>
  <c r="AP75" i="8"/>
  <c r="AS75" i="8" s="1"/>
  <c r="BD75" i="8" s="1"/>
  <c r="AP151" i="7"/>
  <c r="AS151" i="7" s="1"/>
  <c r="BD151" i="7" s="1"/>
  <c r="AR39" i="7"/>
  <c r="AQ33" i="7"/>
  <c r="BB24" i="9"/>
  <c r="AP61" i="8"/>
  <c r="AS61" i="8" s="1"/>
  <c r="BD61" i="8" s="1"/>
  <c r="AR18" i="8"/>
  <c r="AS94" i="8"/>
  <c r="BD94" i="8" s="1"/>
  <c r="AR150" i="9"/>
  <c r="AQ37" i="7"/>
  <c r="AT37" i="7" s="1"/>
  <c r="BB82" i="8"/>
  <c r="BB40" i="9"/>
  <c r="AQ30" i="7"/>
  <c r="AT30" i="7" s="1"/>
  <c r="BC30" i="7" s="1"/>
  <c r="AQ53" i="9"/>
  <c r="AT53" i="9" s="1"/>
  <c r="AW48" i="7"/>
  <c r="AQ141" i="7"/>
  <c r="AT141" i="7" s="1"/>
  <c r="AQ59" i="7"/>
  <c r="AP153" i="9"/>
  <c r="AS153" i="9" s="1"/>
  <c r="BD153" i="9" s="1"/>
  <c r="AQ36" i="9"/>
  <c r="AT36" i="9" s="1"/>
  <c r="BC36" i="9" s="1"/>
  <c r="BC93" i="9"/>
  <c r="BA93" i="9"/>
  <c r="AW93" i="9"/>
  <c r="AO147" i="8"/>
  <c r="AR97" i="8"/>
  <c r="AW8" i="9"/>
  <c r="AP12" i="9"/>
  <c r="AS12" i="9" s="1"/>
  <c r="BD12" i="9" s="1"/>
  <c r="AP135" i="8"/>
  <c r="AS135" i="8" s="1"/>
  <c r="BD135" i="8" s="1"/>
  <c r="AP147" i="7"/>
  <c r="AS147" i="7" s="1"/>
  <c r="BD147" i="7" s="1"/>
  <c r="BB74" i="8"/>
  <c r="AP47" i="7"/>
  <c r="AS47" i="7" s="1"/>
  <c r="BD47" i="7" s="1"/>
  <c r="BC149" i="9"/>
  <c r="AP33" i="9"/>
  <c r="AS33" i="9" s="1"/>
  <c r="BD33" i="9" s="1"/>
  <c r="AO43" i="8"/>
  <c r="BA99" i="7"/>
  <c r="BC53" i="7"/>
  <c r="BA53" i="7"/>
  <c r="AW53" i="7"/>
  <c r="AP62" i="8"/>
  <c r="AS62" i="8" s="1"/>
  <c r="BD62" i="8" s="1"/>
  <c r="BC100" i="7"/>
  <c r="AW100" i="7"/>
  <c r="BA100" i="7"/>
  <c r="AU92" i="8"/>
  <c r="AV92" i="8" s="1"/>
  <c r="AP152" i="9"/>
  <c r="AS152" i="9" s="1"/>
  <c r="BD152" i="9" s="1"/>
  <c r="AR10" i="7"/>
  <c r="BB107" i="7"/>
  <c r="AQ23" i="8"/>
  <c r="AT23" i="8" s="1"/>
  <c r="BB22" i="9"/>
  <c r="AR33" i="9"/>
  <c r="AP35" i="8"/>
  <c r="AS35" i="8" s="1"/>
  <c r="BD35" i="8" s="1"/>
  <c r="AP31" i="7"/>
  <c r="AS31" i="7" s="1"/>
  <c r="BD31" i="7" s="1"/>
  <c r="AP76" i="8"/>
  <c r="AS76" i="8" s="1"/>
  <c r="BD76" i="8" s="1"/>
  <c r="AQ18" i="9"/>
  <c r="AT18" i="9" s="1"/>
  <c r="BC18" i="9" s="1"/>
  <c r="AQ103" i="8"/>
  <c r="AQ87" i="9"/>
  <c r="AT87" i="9" s="1"/>
  <c r="BC87" i="9" s="1"/>
  <c r="AQ19" i="7"/>
  <c r="AT19" i="7" s="1"/>
  <c r="AT107" i="8"/>
  <c r="AU107" i="8"/>
  <c r="AV107" i="8" s="1"/>
  <c r="AW46" i="7"/>
  <c r="BB61" i="7"/>
  <c r="AR31" i="7"/>
  <c r="AR76" i="8"/>
  <c r="AP14" i="8"/>
  <c r="AS14" i="8" s="1"/>
  <c r="BD14" i="8" s="1"/>
  <c r="AR101" i="8"/>
  <c r="AQ77" i="9"/>
  <c r="AT77" i="9" s="1"/>
  <c r="AR8" i="7"/>
  <c r="AQ124" i="7"/>
  <c r="AT124" i="7" s="1"/>
  <c r="AQ34" i="7"/>
  <c r="AT34" i="7" s="1"/>
  <c r="AR14" i="8"/>
  <c r="AP16" i="7"/>
  <c r="AS16" i="7" s="1"/>
  <c r="BD16" i="7" s="1"/>
  <c r="BB71" i="9"/>
  <c r="AQ63" i="9"/>
  <c r="AT63" i="9" s="1"/>
  <c r="BA48" i="7"/>
  <c r="AQ93" i="8"/>
  <c r="AQ11" i="9"/>
  <c r="AT11" i="9" s="1"/>
  <c r="BC11" i="9" s="1"/>
  <c r="AP79" i="7"/>
  <c r="AS79" i="7" s="1"/>
  <c r="BD79" i="7" s="1"/>
  <c r="AP142" i="8"/>
  <c r="AS142" i="8" s="1"/>
  <c r="BD142" i="8" s="1"/>
  <c r="AQ130" i="8"/>
  <c r="AO130" i="7"/>
  <c r="AR130" i="7" s="1"/>
  <c r="AU128" i="9"/>
  <c r="AV128" i="9" s="1"/>
  <c r="AP45" i="9"/>
  <c r="AS45" i="9" s="1"/>
  <c r="BD45" i="9" s="1"/>
  <c r="AP25" i="8"/>
  <c r="AS25" i="8" s="1"/>
  <c r="BD25" i="8" s="1"/>
  <c r="BA37" i="9"/>
  <c r="AQ46" i="8"/>
  <c r="AQ98" i="9"/>
  <c r="AT98" i="9" s="1"/>
  <c r="AR8" i="8"/>
  <c r="BB75" i="9"/>
  <c r="BB26" i="9"/>
  <c r="AW104" i="9"/>
  <c r="AQ110" i="9"/>
  <c r="BB11" i="9"/>
  <c r="AP40" i="8"/>
  <c r="AS40" i="8" s="1"/>
  <c r="BD40" i="8" s="1"/>
  <c r="BB97" i="9"/>
  <c r="BB139" i="9"/>
  <c r="BC125" i="7"/>
  <c r="AW125" i="7"/>
  <c r="BA125" i="7"/>
  <c r="BB110" i="9"/>
  <c r="AQ19" i="9"/>
  <c r="AT19" i="9" s="1"/>
  <c r="BB78" i="7"/>
  <c r="AQ60" i="7"/>
  <c r="AT60" i="7" s="1"/>
  <c r="BC60" i="7" s="1"/>
  <c r="AQ74" i="7"/>
  <c r="AT74" i="7" s="1"/>
  <c r="BB94" i="8"/>
  <c r="BA128" i="9"/>
  <c r="AP96" i="8"/>
  <c r="AS96" i="8" s="1"/>
  <c r="AR147" i="7"/>
  <c r="AR11" i="8"/>
  <c r="BC74" i="9"/>
  <c r="BA74" i="9"/>
  <c r="AW74" i="9"/>
  <c r="BB155" i="7"/>
  <c r="BB75" i="8"/>
  <c r="BB151" i="7"/>
  <c r="AQ109" i="7"/>
  <c r="AP21" i="8"/>
  <c r="AS21" i="8" s="1"/>
  <c r="BD21" i="8" s="1"/>
  <c r="BB17" i="8"/>
  <c r="AR102" i="8"/>
  <c r="AQ133" i="9"/>
  <c r="AT133" i="9" s="1"/>
  <c r="BB61" i="8"/>
  <c r="AQ109" i="9"/>
  <c r="AP115" i="9"/>
  <c r="AS115" i="9" s="1"/>
  <c r="BD115" i="9" s="1"/>
  <c r="AQ122" i="8"/>
  <c r="AT122" i="8" s="1"/>
  <c r="AU142" i="9"/>
  <c r="AV142" i="9" s="1"/>
  <c r="BB153" i="9"/>
  <c r="AQ25" i="9"/>
  <c r="AT25" i="9" s="1"/>
  <c r="AP87" i="7"/>
  <c r="AS87" i="7" s="1"/>
  <c r="BD87" i="7" s="1"/>
  <c r="BC127" i="7"/>
  <c r="AW127" i="7"/>
  <c r="BA127" i="7"/>
  <c r="AP38" i="9"/>
  <c r="AS38" i="9" s="1"/>
  <c r="BD38" i="9" s="1"/>
  <c r="BB12" i="9"/>
  <c r="AU74" i="9"/>
  <c r="AV74" i="9" s="1"/>
  <c r="BB135" i="8"/>
  <c r="AU72" i="7" l="1"/>
  <c r="AV72" i="7" s="1"/>
  <c r="BA103" i="9"/>
  <c r="AU113" i="9"/>
  <c r="AV113" i="9" s="1"/>
  <c r="AQ51" i="7"/>
  <c r="AT51" i="7" s="1"/>
  <c r="AW128" i="9"/>
  <c r="AZ111" i="7"/>
  <c r="AZ98" i="7"/>
  <c r="AT27" i="9"/>
  <c r="AW52" i="7"/>
  <c r="AU52" i="7"/>
  <c r="AV52" i="7" s="1"/>
  <c r="BA72" i="7"/>
  <c r="AU103" i="9"/>
  <c r="AV103" i="9" s="1"/>
  <c r="AZ94" i="9"/>
  <c r="AP138" i="9"/>
  <c r="AS22" i="9"/>
  <c r="BD22" i="9" s="1"/>
  <c r="AW146" i="7"/>
  <c r="AZ146" i="7" s="1"/>
  <c r="AU35" i="9"/>
  <c r="AV35" i="9" s="1"/>
  <c r="AU144" i="7"/>
  <c r="AV144" i="7" s="1"/>
  <c r="AU50" i="9"/>
  <c r="AV50" i="9" s="1"/>
  <c r="AU111" i="9"/>
  <c r="AV111" i="9" s="1"/>
  <c r="AZ48" i="7"/>
  <c r="AW50" i="9"/>
  <c r="AZ50" i="9" s="1"/>
  <c r="AQ106" i="9"/>
  <c r="AT106" i="9" s="1"/>
  <c r="AU49" i="7"/>
  <c r="AV49" i="7" s="1"/>
  <c r="AZ49" i="7" s="1"/>
  <c r="BA143" i="8"/>
  <c r="AW111" i="9"/>
  <c r="BA49" i="7"/>
  <c r="BA111" i="9"/>
  <c r="AU40" i="9"/>
  <c r="AV40" i="9" s="1"/>
  <c r="AQ152" i="7"/>
  <c r="AU152" i="7" s="1"/>
  <c r="AV152" i="7" s="1"/>
  <c r="BA56" i="7"/>
  <c r="BA26" i="8"/>
  <c r="BC26" i="8"/>
  <c r="BA52" i="7"/>
  <c r="AU28" i="8"/>
  <c r="AV28" i="8" s="1"/>
  <c r="AU12" i="8"/>
  <c r="AV12" i="8" s="1"/>
  <c r="BA149" i="9"/>
  <c r="BA51" i="7"/>
  <c r="BA108" i="9"/>
  <c r="BA128" i="7"/>
  <c r="AU128" i="7"/>
  <c r="AV128" i="7" s="1"/>
  <c r="AZ20" i="8"/>
  <c r="AU150" i="7"/>
  <c r="AV150" i="7" s="1"/>
  <c r="AW40" i="9"/>
  <c r="BA79" i="9"/>
  <c r="AW50" i="7"/>
  <c r="BA40" i="9"/>
  <c r="BC79" i="9"/>
  <c r="AT129" i="7"/>
  <c r="BC129" i="7" s="1"/>
  <c r="AW128" i="7"/>
  <c r="AZ67" i="8"/>
  <c r="AU26" i="8"/>
  <c r="AV26" i="8" s="1"/>
  <c r="AZ26" i="8" s="1"/>
  <c r="AW24" i="8"/>
  <c r="BA50" i="8"/>
  <c r="BA156" i="8"/>
  <c r="AS129" i="7"/>
  <c r="BD129" i="7" s="1"/>
  <c r="AU55" i="8"/>
  <c r="AV55" i="8" s="1"/>
  <c r="BA71" i="7"/>
  <c r="AW71" i="7"/>
  <c r="AZ73" i="8"/>
  <c r="AP157" i="9"/>
  <c r="AS157" i="9" s="1"/>
  <c r="BD157" i="9" s="1"/>
  <c r="AW72" i="7"/>
  <c r="AZ72" i="7" s="1"/>
  <c r="AU71" i="9"/>
  <c r="AV71" i="9" s="1"/>
  <c r="AW71" i="9"/>
  <c r="AZ71" i="9" s="1"/>
  <c r="AU106" i="9"/>
  <c r="AV106" i="9" s="1"/>
  <c r="BA71" i="9"/>
  <c r="AW149" i="9"/>
  <c r="AZ149" i="9" s="1"/>
  <c r="BA33" i="8"/>
  <c r="AU71" i="7"/>
  <c r="AV71" i="7" s="1"/>
  <c r="AZ71" i="7" s="1"/>
  <c r="BA133" i="7"/>
  <c r="AZ26" i="7"/>
  <c r="BA122" i="7"/>
  <c r="AW70" i="7"/>
  <c r="AU50" i="8"/>
  <c r="AV50" i="8" s="1"/>
  <c r="AW78" i="8"/>
  <c r="BA117" i="8"/>
  <c r="AW9" i="9"/>
  <c r="AZ131" i="8"/>
  <c r="AU145" i="7"/>
  <c r="AV145" i="7" s="1"/>
  <c r="BA145" i="7"/>
  <c r="AW145" i="7"/>
  <c r="AQ149" i="8"/>
  <c r="AT149" i="8" s="1"/>
  <c r="BC149" i="8" s="1"/>
  <c r="BA78" i="8"/>
  <c r="AU117" i="8"/>
  <c r="AV117" i="8" s="1"/>
  <c r="AZ56" i="9"/>
  <c r="AW122" i="7"/>
  <c r="AW117" i="8"/>
  <c r="AW36" i="9"/>
  <c r="AU36" i="9"/>
  <c r="AV36" i="9" s="1"/>
  <c r="BA46" i="7"/>
  <c r="AW134" i="9"/>
  <c r="AW106" i="9"/>
  <c r="AU131" i="9"/>
  <c r="AV131" i="9" s="1"/>
  <c r="AW50" i="8"/>
  <c r="AU49" i="8"/>
  <c r="AV49" i="8" s="1"/>
  <c r="AZ48" i="8"/>
  <c r="AS123" i="7"/>
  <c r="BD123" i="7" s="1"/>
  <c r="AQ123" i="7"/>
  <c r="AU122" i="7"/>
  <c r="AV122" i="7" s="1"/>
  <c r="AU78" i="9"/>
  <c r="AV78" i="9" s="1"/>
  <c r="AZ31" i="8"/>
  <c r="AQ141" i="8"/>
  <c r="AT141" i="8" s="1"/>
  <c r="AU79" i="9"/>
  <c r="AV79" i="9" s="1"/>
  <c r="AZ79" i="9" s="1"/>
  <c r="AW108" i="9"/>
  <c r="AQ66" i="7"/>
  <c r="AT66" i="7" s="1"/>
  <c r="BA66" i="7" s="1"/>
  <c r="AU70" i="7"/>
  <c r="AV70" i="7" s="1"/>
  <c r="BA70" i="7"/>
  <c r="BA24" i="8"/>
  <c r="AU24" i="8"/>
  <c r="AV24" i="8" s="1"/>
  <c r="AZ24" i="8" s="1"/>
  <c r="AZ100" i="9"/>
  <c r="AW42" i="7"/>
  <c r="AQ96" i="8"/>
  <c r="AT96" i="8" s="1"/>
  <c r="BC96" i="8" s="1"/>
  <c r="AW9" i="7"/>
  <c r="AZ18" i="7"/>
  <c r="AU85" i="8"/>
  <c r="AV85" i="8" s="1"/>
  <c r="AW33" i="8"/>
  <c r="AW41" i="9"/>
  <c r="BA81" i="7"/>
  <c r="BA9" i="9"/>
  <c r="AU50" i="7"/>
  <c r="AV50" i="7" s="1"/>
  <c r="BA134" i="9"/>
  <c r="AQ137" i="9"/>
  <c r="AT137" i="9" s="1"/>
  <c r="BC137" i="9" s="1"/>
  <c r="BA85" i="8"/>
  <c r="BA50" i="7"/>
  <c r="BC33" i="8"/>
  <c r="AW41" i="7"/>
  <c r="AW51" i="7"/>
  <c r="AU41" i="9"/>
  <c r="AV41" i="9" s="1"/>
  <c r="BA140" i="7"/>
  <c r="BA50" i="9"/>
  <c r="AZ86" i="7"/>
  <c r="AW129" i="9"/>
  <c r="BA9" i="7"/>
  <c r="BA90" i="9"/>
  <c r="AU129" i="9"/>
  <c r="AV129" i="9" s="1"/>
  <c r="BC51" i="7"/>
  <c r="BC90" i="9"/>
  <c r="AU9" i="8"/>
  <c r="AV9" i="8" s="1"/>
  <c r="AU9" i="7"/>
  <c r="AV9" i="7" s="1"/>
  <c r="AT113" i="8"/>
  <c r="BC113" i="8" s="1"/>
  <c r="BC37" i="9"/>
  <c r="AZ115" i="8"/>
  <c r="AU9" i="9"/>
  <c r="AV9" i="9" s="1"/>
  <c r="AU51" i="7"/>
  <c r="AV51" i="7" s="1"/>
  <c r="BC64" i="7"/>
  <c r="AW70" i="9"/>
  <c r="AW85" i="8"/>
  <c r="AZ63" i="7"/>
  <c r="AZ84" i="9"/>
  <c r="BC148" i="8"/>
  <c r="BA148" i="8"/>
  <c r="AW148" i="8"/>
  <c r="AZ148" i="8" s="1"/>
  <c r="AT29" i="7"/>
  <c r="BC29" i="7" s="1"/>
  <c r="AZ137" i="7"/>
  <c r="AS30" i="9"/>
  <c r="BD30" i="9" s="1"/>
  <c r="BA41" i="9"/>
  <c r="AU148" i="9"/>
  <c r="AV148" i="9" s="1"/>
  <c r="BA61" i="7"/>
  <c r="BA28" i="8"/>
  <c r="AU11" i="9"/>
  <c r="AV11" i="9" s="1"/>
  <c r="AU37" i="9"/>
  <c r="AV37" i="9" s="1"/>
  <c r="AZ37" i="9" s="1"/>
  <c r="AW92" i="9"/>
  <c r="AU108" i="9"/>
  <c r="AV108" i="9" s="1"/>
  <c r="AZ108" i="9" s="1"/>
  <c r="AW13" i="9"/>
  <c r="AU81" i="7"/>
  <c r="AV81" i="7" s="1"/>
  <c r="AZ113" i="9"/>
  <c r="BA11" i="9"/>
  <c r="AZ128" i="9"/>
  <c r="AW43" i="9"/>
  <c r="AQ125" i="9"/>
  <c r="AT125" i="9" s="1"/>
  <c r="BC125" i="9" s="1"/>
  <c r="BA148" i="9"/>
  <c r="BA13" i="9"/>
  <c r="AU65" i="9"/>
  <c r="AV65" i="9" s="1"/>
  <c r="AW28" i="8"/>
  <c r="AZ28" i="8" s="1"/>
  <c r="BA111" i="8"/>
  <c r="AU134" i="9"/>
  <c r="AV134" i="9" s="1"/>
  <c r="AZ134" i="9" s="1"/>
  <c r="AZ52" i="7"/>
  <c r="AT54" i="7"/>
  <c r="AU54" i="7"/>
  <c r="AV54" i="7" s="1"/>
  <c r="AU130" i="9"/>
  <c r="AV130" i="9" s="1"/>
  <c r="BA151" i="9"/>
  <c r="AW150" i="7"/>
  <c r="AZ150" i="7" s="1"/>
  <c r="AU151" i="8"/>
  <c r="AV151" i="8" s="1"/>
  <c r="BA65" i="8"/>
  <c r="AW65" i="8"/>
  <c r="AZ65" i="8" s="1"/>
  <c r="AW11" i="9"/>
  <c r="AZ93" i="9"/>
  <c r="AW151" i="9"/>
  <c r="BA150" i="7"/>
  <c r="AU41" i="7"/>
  <c r="AV41" i="7" s="1"/>
  <c r="AQ59" i="8"/>
  <c r="AT59" i="8" s="1"/>
  <c r="BC59" i="8" s="1"/>
  <c r="AU20" i="9"/>
  <c r="AV20" i="9" s="1"/>
  <c r="AZ20" i="9" s="1"/>
  <c r="AZ96" i="9"/>
  <c r="AU92" i="9"/>
  <c r="AV92" i="9" s="1"/>
  <c r="AZ147" i="9"/>
  <c r="AU78" i="8"/>
  <c r="AV78" i="8" s="1"/>
  <c r="BA41" i="7"/>
  <c r="AU33" i="8"/>
  <c r="AV33" i="8" s="1"/>
  <c r="AZ14" i="9"/>
  <c r="AU117" i="9"/>
  <c r="AV117" i="9" s="1"/>
  <c r="AQ33" i="9"/>
  <c r="AT33" i="9" s="1"/>
  <c r="BC33" i="9" s="1"/>
  <c r="BA43" i="9"/>
  <c r="AZ23" i="7"/>
  <c r="AU139" i="8"/>
  <c r="AV139" i="8" s="1"/>
  <c r="AW140" i="7"/>
  <c r="AZ140" i="7" s="1"/>
  <c r="BA60" i="7"/>
  <c r="AW146" i="9"/>
  <c r="AW157" i="8"/>
  <c r="AW60" i="7"/>
  <c r="AQ56" i="8"/>
  <c r="AT56" i="8" s="1"/>
  <c r="AU72" i="9"/>
  <c r="AV72" i="9" s="1"/>
  <c r="AU27" i="7"/>
  <c r="AV27" i="7" s="1"/>
  <c r="BC111" i="8"/>
  <c r="AW81" i="7"/>
  <c r="AU23" i="8"/>
  <c r="AV23" i="8" s="1"/>
  <c r="AW156" i="7"/>
  <c r="AS104" i="7"/>
  <c r="BD104" i="7" s="1"/>
  <c r="AW84" i="8"/>
  <c r="AQ95" i="8"/>
  <c r="AT95" i="8" s="1"/>
  <c r="BC95" i="8" s="1"/>
  <c r="AZ114" i="7"/>
  <c r="AP121" i="8"/>
  <c r="AQ121" i="8" s="1"/>
  <c r="AT121" i="8" s="1"/>
  <c r="BC121" i="8" s="1"/>
  <c r="AR121" i="8"/>
  <c r="BB121" i="8" s="1"/>
  <c r="BA157" i="8"/>
  <c r="AU156" i="9"/>
  <c r="AV156" i="9" s="1"/>
  <c r="AW115" i="7"/>
  <c r="AW139" i="8"/>
  <c r="AS126" i="9"/>
  <c r="BD126" i="9" s="1"/>
  <c r="BA110" i="8"/>
  <c r="AQ75" i="7"/>
  <c r="AT75" i="7" s="1"/>
  <c r="BC75" i="7" s="1"/>
  <c r="AU111" i="8"/>
  <c r="AV111" i="8" s="1"/>
  <c r="AZ111" i="8" s="1"/>
  <c r="BC130" i="9"/>
  <c r="BA130" i="9"/>
  <c r="AW130" i="9"/>
  <c r="AZ74" i="9"/>
  <c r="AW148" i="9"/>
  <c r="AW44" i="7"/>
  <c r="AZ44" i="7" s="1"/>
  <c r="BA44" i="7"/>
  <c r="BA139" i="8"/>
  <c r="AW78" i="9"/>
  <c r="AW125" i="8"/>
  <c r="AQ112" i="8"/>
  <c r="AT112" i="8" s="1"/>
  <c r="BC112" i="8" s="1"/>
  <c r="BA129" i="9"/>
  <c r="AW35" i="9"/>
  <c r="AZ35" i="9" s="1"/>
  <c r="AW105" i="7"/>
  <c r="AU39" i="9"/>
  <c r="AV39" i="9" s="1"/>
  <c r="AZ69" i="8"/>
  <c r="AZ149" i="7"/>
  <c r="AZ136" i="8"/>
  <c r="AU70" i="9"/>
  <c r="AV70" i="9" s="1"/>
  <c r="AU146" i="9"/>
  <c r="AV146" i="9" s="1"/>
  <c r="BA146" i="9"/>
  <c r="AZ142" i="9"/>
  <c r="AW61" i="7"/>
  <c r="AZ61" i="7" s="1"/>
  <c r="BA78" i="9"/>
  <c r="AU21" i="7"/>
  <c r="AV21" i="7" s="1"/>
  <c r="BA35" i="9"/>
  <c r="BA105" i="7"/>
  <c r="AW39" i="9"/>
  <c r="AZ24" i="7"/>
  <c r="BC62" i="9"/>
  <c r="AW62" i="9"/>
  <c r="AZ23" i="9"/>
  <c r="BA80" i="9"/>
  <c r="AW34" i="9"/>
  <c r="AZ34" i="9" s="1"/>
  <c r="BC34" i="9"/>
  <c r="BA15" i="9"/>
  <c r="AU95" i="7"/>
  <c r="AV95" i="7" s="1"/>
  <c r="AW80" i="7"/>
  <c r="AZ80" i="7" s="1"/>
  <c r="BA36" i="9"/>
  <c r="AU61" i="9"/>
  <c r="AV61" i="9" s="1"/>
  <c r="BA42" i="7"/>
  <c r="BA65" i="9"/>
  <c r="BC105" i="9"/>
  <c r="AW105" i="9"/>
  <c r="AW156" i="9"/>
  <c r="AU105" i="9"/>
  <c r="AV105" i="9" s="1"/>
  <c r="AW116" i="8"/>
  <c r="AZ116" i="8" s="1"/>
  <c r="AU156" i="7"/>
  <c r="AV156" i="7" s="1"/>
  <c r="AW110" i="8"/>
  <c r="BA156" i="9"/>
  <c r="AW156" i="8"/>
  <c r="AZ103" i="7"/>
  <c r="AZ98" i="8"/>
  <c r="BA62" i="9"/>
  <c r="BA153" i="8"/>
  <c r="BC91" i="7"/>
  <c r="AW91" i="7"/>
  <c r="AU90" i="9"/>
  <c r="AV90" i="9" s="1"/>
  <c r="AZ90" i="9" s="1"/>
  <c r="BA156" i="7"/>
  <c r="AU37" i="7"/>
  <c r="AV37" i="7" s="1"/>
  <c r="AU42" i="8"/>
  <c r="AV42" i="8" s="1"/>
  <c r="BA116" i="8"/>
  <c r="AQ78" i="7"/>
  <c r="AT78" i="7" s="1"/>
  <c r="BC78" i="7" s="1"/>
  <c r="AW12" i="7"/>
  <c r="AU151" i="9"/>
  <c r="AV151" i="9" s="1"/>
  <c r="AU62" i="9"/>
  <c r="AV62" i="9" s="1"/>
  <c r="AW153" i="8"/>
  <c r="AZ153" i="8" s="1"/>
  <c r="AU119" i="9"/>
  <c r="AV119" i="9" s="1"/>
  <c r="AU157" i="8"/>
  <c r="AV157" i="8" s="1"/>
  <c r="AU154" i="9"/>
  <c r="AV154" i="9" s="1"/>
  <c r="AU137" i="8"/>
  <c r="AV137" i="8" s="1"/>
  <c r="AU118" i="8"/>
  <c r="AV118" i="8" s="1"/>
  <c r="AU145" i="8"/>
  <c r="AV145" i="8" s="1"/>
  <c r="AU110" i="8"/>
  <c r="AV110" i="8" s="1"/>
  <c r="AU156" i="8"/>
  <c r="AV156" i="8" s="1"/>
  <c r="AZ68" i="9"/>
  <c r="AU91" i="7"/>
  <c r="AV91" i="7" s="1"/>
  <c r="AU30" i="7"/>
  <c r="AV30" i="7" s="1"/>
  <c r="AW80" i="9"/>
  <c r="AZ80" i="9" s="1"/>
  <c r="AW61" i="9"/>
  <c r="BA89" i="9"/>
  <c r="BA117" i="9"/>
  <c r="BA12" i="7"/>
  <c r="AW63" i="8"/>
  <c r="AZ63" i="8" s="1"/>
  <c r="BA39" i="9"/>
  <c r="AT146" i="8"/>
  <c r="BC146" i="8" s="1"/>
  <c r="AT106" i="7"/>
  <c r="AU106" i="7"/>
  <c r="AV106" i="7" s="1"/>
  <c r="AU129" i="8"/>
  <c r="AV129" i="8" s="1"/>
  <c r="BA30" i="7"/>
  <c r="BA136" i="7"/>
  <c r="AU84" i="8"/>
  <c r="AV84" i="8" s="1"/>
  <c r="AW154" i="9"/>
  <c r="AZ77" i="7"/>
  <c r="AQ95" i="9"/>
  <c r="AT95" i="9" s="1"/>
  <c r="BA91" i="7"/>
  <c r="AU28" i="9"/>
  <c r="AV28" i="9" s="1"/>
  <c r="AU42" i="7"/>
  <c r="AV42" i="7" s="1"/>
  <c r="AZ42" i="7" s="1"/>
  <c r="AU135" i="9"/>
  <c r="AV135" i="9" s="1"/>
  <c r="BA80" i="7"/>
  <c r="AU12" i="7"/>
  <c r="AV12" i="7" s="1"/>
  <c r="AZ13" i="7"/>
  <c r="BA115" i="7"/>
  <c r="AQ14" i="7"/>
  <c r="AT14" i="7" s="1"/>
  <c r="AW14" i="7" s="1"/>
  <c r="AU60" i="7"/>
  <c r="AV60" i="7" s="1"/>
  <c r="AQ116" i="7"/>
  <c r="AT116" i="7" s="1"/>
  <c r="BC116" i="7" s="1"/>
  <c r="BA61" i="9"/>
  <c r="AW117" i="9"/>
  <c r="AU102" i="9"/>
  <c r="AV102" i="9" s="1"/>
  <c r="AS122" i="9"/>
  <c r="BD122" i="9" s="1"/>
  <c r="AQ122" i="9"/>
  <c r="AT122" i="9" s="1"/>
  <c r="BC122" i="9" s="1"/>
  <c r="BC67" i="9"/>
  <c r="BC54" i="9"/>
  <c r="BA54" i="9"/>
  <c r="BC49" i="9"/>
  <c r="BA49" i="9"/>
  <c r="AW49" i="9"/>
  <c r="AT126" i="8"/>
  <c r="AU126" i="8"/>
  <c r="AV126" i="8" s="1"/>
  <c r="BB45" i="8"/>
  <c r="AT138" i="8"/>
  <c r="AU138" i="8"/>
  <c r="AV138" i="8" s="1"/>
  <c r="BC102" i="9"/>
  <c r="BA102" i="9"/>
  <c r="AQ11" i="8"/>
  <c r="AP92" i="7"/>
  <c r="AS92" i="7" s="1"/>
  <c r="BD92" i="7" s="1"/>
  <c r="AU43" i="9"/>
  <c r="AV43" i="9" s="1"/>
  <c r="AQ38" i="9"/>
  <c r="AT38" i="9" s="1"/>
  <c r="BC38" i="9" s="1"/>
  <c r="AQ61" i="8"/>
  <c r="AT61" i="8" s="1"/>
  <c r="BC61" i="8" s="1"/>
  <c r="AQ8" i="7"/>
  <c r="AT8" i="7" s="1"/>
  <c r="BC8" i="7" s="1"/>
  <c r="BB121" i="9"/>
  <c r="AR92" i="7"/>
  <c r="AU66" i="8"/>
  <c r="AV66" i="8" s="1"/>
  <c r="AW26" i="9"/>
  <c r="AZ26" i="9" s="1"/>
  <c r="BA24" i="9"/>
  <c r="AW87" i="9"/>
  <c r="AQ150" i="9"/>
  <c r="AT150" i="9" s="1"/>
  <c r="BC150" i="9" s="1"/>
  <c r="AQ19" i="8"/>
  <c r="AU19" i="8" s="1"/>
  <c r="AV19" i="8" s="1"/>
  <c r="AU13" i="9"/>
  <c r="AV13" i="9" s="1"/>
  <c r="AW129" i="7"/>
  <c r="AZ129" i="7" s="1"/>
  <c r="BA88" i="7"/>
  <c r="AP121" i="9"/>
  <c r="AS121" i="9" s="1"/>
  <c r="BD121" i="9" s="1"/>
  <c r="AW132" i="8"/>
  <c r="AZ132" i="8" s="1"/>
  <c r="AP94" i="7"/>
  <c r="AQ94" i="7" s="1"/>
  <c r="AT94" i="7" s="1"/>
  <c r="BC94" i="7" s="1"/>
  <c r="AU88" i="7"/>
  <c r="AV88" i="7" s="1"/>
  <c r="AZ127" i="7"/>
  <c r="AW17" i="8"/>
  <c r="AZ17" i="8" s="1"/>
  <c r="AQ40" i="8"/>
  <c r="AT40" i="8" s="1"/>
  <c r="BC40" i="8" s="1"/>
  <c r="BA26" i="9"/>
  <c r="AQ76" i="8"/>
  <c r="AT76" i="8" s="1"/>
  <c r="BC76" i="8" s="1"/>
  <c r="AQ136" i="9"/>
  <c r="AT136" i="9" s="1"/>
  <c r="BC136" i="9" s="1"/>
  <c r="AU49" i="9"/>
  <c r="AV49" i="9" s="1"/>
  <c r="AU152" i="8"/>
  <c r="AV152" i="8" s="1"/>
  <c r="AU70" i="8"/>
  <c r="AV70" i="8" s="1"/>
  <c r="AQ71" i="8"/>
  <c r="AT71" i="8" s="1"/>
  <c r="BC71" i="8" s="1"/>
  <c r="AQ123" i="9"/>
  <c r="AT123" i="9" s="1"/>
  <c r="BC123" i="9" s="1"/>
  <c r="AQ91" i="9"/>
  <c r="AT91" i="9" s="1"/>
  <c r="AU19" i="7"/>
  <c r="AV19" i="7" s="1"/>
  <c r="AQ57" i="7"/>
  <c r="AT57" i="7" s="1"/>
  <c r="BC57" i="7" s="1"/>
  <c r="AW65" i="9"/>
  <c r="AZ65" i="9" s="1"/>
  <c r="AZ104" i="9"/>
  <c r="AQ51" i="9"/>
  <c r="AT51" i="9" s="1"/>
  <c r="BA63" i="8"/>
  <c r="AW88" i="7"/>
  <c r="AZ64" i="7"/>
  <c r="AT97" i="9"/>
  <c r="AU97" i="9"/>
  <c r="AV97" i="9" s="1"/>
  <c r="AU94" i="8"/>
  <c r="AV94" i="8" s="1"/>
  <c r="AU124" i="7"/>
  <c r="AV124" i="7" s="1"/>
  <c r="AQ83" i="7"/>
  <c r="AT83" i="7" s="1"/>
  <c r="BC83" i="7" s="1"/>
  <c r="BA139" i="9"/>
  <c r="AQ75" i="8"/>
  <c r="AU104" i="8"/>
  <c r="AV104" i="8" s="1"/>
  <c r="AQ83" i="8"/>
  <c r="BC134" i="7"/>
  <c r="AW134" i="7"/>
  <c r="AZ134" i="7" s="1"/>
  <c r="BA134" i="7"/>
  <c r="AU141" i="9"/>
  <c r="AV141" i="9" s="1"/>
  <c r="AW15" i="9"/>
  <c r="BA87" i="9"/>
  <c r="AQ22" i="8"/>
  <c r="AT22" i="8" s="1"/>
  <c r="BC22" i="8" s="1"/>
  <c r="AU133" i="7"/>
  <c r="AV133" i="7" s="1"/>
  <c r="AW54" i="9"/>
  <c r="AZ54" i="9" s="1"/>
  <c r="BA17" i="8"/>
  <c r="BA152" i="8"/>
  <c r="AU15" i="9"/>
  <c r="AV15" i="9" s="1"/>
  <c r="AW102" i="9"/>
  <c r="AU144" i="8"/>
  <c r="AV144" i="8" s="1"/>
  <c r="AS54" i="8"/>
  <c r="BD54" i="8" s="1"/>
  <c r="AQ54" i="8"/>
  <c r="AT54" i="8" s="1"/>
  <c r="AW144" i="9"/>
  <c r="AU141" i="7"/>
  <c r="AV141" i="7" s="1"/>
  <c r="AT152" i="7"/>
  <c r="BC152" i="7" s="1"/>
  <c r="AT120" i="8"/>
  <c r="AU120" i="8"/>
  <c r="AV120" i="8" s="1"/>
  <c r="AU115" i="7"/>
  <c r="AV115" i="7" s="1"/>
  <c r="AW133" i="7"/>
  <c r="AW152" i="8"/>
  <c r="AQ80" i="8"/>
  <c r="BA53" i="8"/>
  <c r="AQ79" i="7"/>
  <c r="AW82" i="8"/>
  <c r="AZ53" i="7"/>
  <c r="BC144" i="7"/>
  <c r="BA144" i="7"/>
  <c r="AW144" i="7"/>
  <c r="AZ144" i="7" s="1"/>
  <c r="AU56" i="7"/>
  <c r="AV56" i="7" s="1"/>
  <c r="AQ87" i="7"/>
  <c r="AW9" i="8"/>
  <c r="BA82" i="8"/>
  <c r="BA9" i="8"/>
  <c r="BA125" i="8"/>
  <c r="AQ124" i="9"/>
  <c r="AT124" i="9" s="1"/>
  <c r="AU53" i="9"/>
  <c r="AV53" i="9" s="1"/>
  <c r="AW131" i="9"/>
  <c r="AZ62" i="7"/>
  <c r="AU74" i="7"/>
  <c r="AV74" i="7" s="1"/>
  <c r="BC145" i="8"/>
  <c r="AW145" i="8"/>
  <c r="AU105" i="7"/>
  <c r="AV105" i="7" s="1"/>
  <c r="BC135" i="7"/>
  <c r="AW135" i="7"/>
  <c r="BA135" i="7"/>
  <c r="AT120" i="7"/>
  <c r="AU120" i="7"/>
  <c r="AV120" i="7" s="1"/>
  <c r="AW139" i="9"/>
  <c r="AQ25" i="8"/>
  <c r="AT25" i="8" s="1"/>
  <c r="BC25" i="8" s="1"/>
  <c r="AU38" i="8"/>
  <c r="AV38" i="8" s="1"/>
  <c r="AQ31" i="9"/>
  <c r="AT31" i="9" s="1"/>
  <c r="AU110" i="7"/>
  <c r="AV110" i="7" s="1"/>
  <c r="BC107" i="9"/>
  <c r="BA107" i="9"/>
  <c r="AU73" i="7"/>
  <c r="AV73" i="7" s="1"/>
  <c r="AU135" i="7"/>
  <c r="AV135" i="7" s="1"/>
  <c r="AP45" i="8"/>
  <c r="AS45" i="8" s="1"/>
  <c r="BD45" i="8" s="1"/>
  <c r="BA129" i="7"/>
  <c r="AU65" i="7"/>
  <c r="AV65" i="7" s="1"/>
  <c r="AQ82" i="9"/>
  <c r="AT82" i="9" s="1"/>
  <c r="BC66" i="8"/>
  <c r="AW66" i="8"/>
  <c r="BA66" i="8"/>
  <c r="BB146" i="8"/>
  <c r="AU77" i="9"/>
  <c r="AV77" i="9" s="1"/>
  <c r="BC126" i="7"/>
  <c r="AW126" i="7"/>
  <c r="BA126" i="7"/>
  <c r="AU82" i="8"/>
  <c r="AV82" i="8" s="1"/>
  <c r="AU144" i="9"/>
  <c r="AV144" i="9" s="1"/>
  <c r="AU139" i="9"/>
  <c r="AV139" i="9" s="1"/>
  <c r="AQ138" i="7"/>
  <c r="AT138" i="7" s="1"/>
  <c r="BA132" i="8"/>
  <c r="AS132" i="9"/>
  <c r="BD132" i="9" s="1"/>
  <c r="AQ132" i="9"/>
  <c r="AQ132" i="7"/>
  <c r="AS132" i="7"/>
  <c r="BD132" i="7" s="1"/>
  <c r="AU126" i="7"/>
  <c r="AV126" i="7" s="1"/>
  <c r="BA144" i="9"/>
  <c r="AZ66" i="9"/>
  <c r="AZ100" i="7"/>
  <c r="BC56" i="7"/>
  <c r="AW56" i="7"/>
  <c r="BC44" i="9"/>
  <c r="AW44" i="9"/>
  <c r="AZ44" i="9" s="1"/>
  <c r="BA44" i="9"/>
  <c r="AU121" i="7"/>
  <c r="AV121" i="7" s="1"/>
  <c r="BA154" i="9"/>
  <c r="AU55" i="7"/>
  <c r="AV55" i="7" s="1"/>
  <c r="BC133" i="8"/>
  <c r="BA133" i="8"/>
  <c r="AW133" i="8"/>
  <c r="AQ147" i="7"/>
  <c r="AT147" i="7" s="1"/>
  <c r="BC147" i="7" s="1"/>
  <c r="AZ46" i="7"/>
  <c r="AU133" i="8"/>
  <c r="AV133" i="8" s="1"/>
  <c r="BA131" i="9"/>
  <c r="AU125" i="8"/>
  <c r="AV125" i="8" s="1"/>
  <c r="BA92" i="9"/>
  <c r="AQ112" i="7"/>
  <c r="AT112" i="7" s="1"/>
  <c r="BC112" i="7" s="1"/>
  <c r="AQ127" i="8"/>
  <c r="AT127" i="8" s="1"/>
  <c r="AU154" i="7"/>
  <c r="AV154" i="7" s="1"/>
  <c r="AS29" i="8"/>
  <c r="BD29" i="8" s="1"/>
  <c r="AU19" i="9"/>
  <c r="AV19" i="9" s="1"/>
  <c r="AW29" i="7"/>
  <c r="AZ29" i="7" s="1"/>
  <c r="AS86" i="8"/>
  <c r="BD86" i="8" s="1"/>
  <c r="AQ86" i="8"/>
  <c r="AT86" i="8" s="1"/>
  <c r="AS67" i="9"/>
  <c r="BD67" i="9" s="1"/>
  <c r="AU67" i="9"/>
  <c r="AV67" i="9" s="1"/>
  <c r="AU107" i="9"/>
  <c r="AV107" i="9" s="1"/>
  <c r="AZ107" i="9" s="1"/>
  <c r="BC12" i="8"/>
  <c r="BA12" i="8"/>
  <c r="AW12" i="8"/>
  <c r="AZ12" i="8" s="1"/>
  <c r="AT104" i="7"/>
  <c r="BC104" i="7" s="1"/>
  <c r="AU104" i="7"/>
  <c r="AV104" i="7" s="1"/>
  <c r="BB11" i="7"/>
  <c r="BD96" i="8"/>
  <c r="AT22" i="9"/>
  <c r="AU22" i="9"/>
  <c r="AV22" i="9" s="1"/>
  <c r="BC126" i="9"/>
  <c r="BC45" i="7"/>
  <c r="AT29" i="8"/>
  <c r="AU29" i="8"/>
  <c r="AV29" i="8" s="1"/>
  <c r="AP43" i="8"/>
  <c r="AS43" i="8" s="1"/>
  <c r="BD43" i="8" s="1"/>
  <c r="AP147" i="8"/>
  <c r="AS147" i="8" s="1"/>
  <c r="BD147" i="8" s="1"/>
  <c r="BB123" i="9"/>
  <c r="AT109" i="9"/>
  <c r="AU109" i="9"/>
  <c r="AV109" i="9" s="1"/>
  <c r="AQ12" i="9"/>
  <c r="AT12" i="9" s="1"/>
  <c r="AQ128" i="8"/>
  <c r="AT128" i="8" s="1"/>
  <c r="BC72" i="8"/>
  <c r="AW72" i="8"/>
  <c r="BA72" i="8"/>
  <c r="BC90" i="7"/>
  <c r="BA90" i="7"/>
  <c r="AW90" i="7"/>
  <c r="AU90" i="7"/>
  <c r="AV90" i="7" s="1"/>
  <c r="AQ88" i="9"/>
  <c r="AT88" i="9" s="1"/>
  <c r="BB31" i="7"/>
  <c r="AT157" i="7"/>
  <c r="AU157" i="7"/>
  <c r="AV157" i="7" s="1"/>
  <c r="AQ8" i="8"/>
  <c r="BB130" i="7"/>
  <c r="BB39" i="7"/>
  <c r="AP112" i="9"/>
  <c r="AS112" i="9" s="1"/>
  <c r="BD112" i="9" s="1"/>
  <c r="AW136" i="7"/>
  <c r="BC121" i="7"/>
  <c r="AW121" i="7"/>
  <c r="BA121" i="7"/>
  <c r="AQ75" i="9"/>
  <c r="AU16" i="8"/>
  <c r="AV16" i="8" s="1"/>
  <c r="AU29" i="9"/>
  <c r="AV29" i="9" s="1"/>
  <c r="AQ18" i="8"/>
  <c r="AT18" i="8" s="1"/>
  <c r="BC18" i="8" s="1"/>
  <c r="BB21" i="9"/>
  <c r="BB47" i="9"/>
  <c r="AW89" i="9"/>
  <c r="BC148" i="7"/>
  <c r="BA148" i="7"/>
  <c r="AW148" i="7"/>
  <c r="AZ148" i="7" s="1"/>
  <c r="AU113" i="7"/>
  <c r="AV113" i="7" s="1"/>
  <c r="AQ31" i="7"/>
  <c r="BA134" i="8"/>
  <c r="AZ99" i="7"/>
  <c r="AQ25" i="7"/>
  <c r="BC47" i="8"/>
  <c r="BA47" i="8"/>
  <c r="AW47" i="8"/>
  <c r="AZ47" i="8" s="1"/>
  <c r="AU72" i="8"/>
  <c r="AV72" i="8" s="1"/>
  <c r="AQ139" i="7"/>
  <c r="AT139" i="7" s="1"/>
  <c r="BC144" i="8"/>
  <c r="AW144" i="8"/>
  <c r="BA144" i="8"/>
  <c r="AU98" i="9"/>
  <c r="AV98" i="9" s="1"/>
  <c r="BB118" i="9"/>
  <c r="AP85" i="9"/>
  <c r="AS85" i="9" s="1"/>
  <c r="BD85" i="9" s="1"/>
  <c r="AU84" i="7"/>
  <c r="AV84" i="7" s="1"/>
  <c r="BC90" i="8"/>
  <c r="BA90" i="8"/>
  <c r="AW90" i="8"/>
  <c r="BB57" i="8"/>
  <c r="AQ21" i="8"/>
  <c r="AT21" i="8" s="1"/>
  <c r="BB76" i="8"/>
  <c r="AR43" i="8"/>
  <c r="AR147" i="8"/>
  <c r="AT33" i="7"/>
  <c r="AU33" i="7"/>
  <c r="AV33" i="7" s="1"/>
  <c r="AW18" i="9"/>
  <c r="AU155" i="7"/>
  <c r="AV155" i="7" s="1"/>
  <c r="BC119" i="8"/>
  <c r="AW119" i="8"/>
  <c r="AZ119" i="8" s="1"/>
  <c r="BA119" i="8"/>
  <c r="BC83" i="9"/>
  <c r="BA83" i="9"/>
  <c r="AW83" i="9"/>
  <c r="AZ83" i="9" s="1"/>
  <c r="AT68" i="8"/>
  <c r="AU68" i="8"/>
  <c r="AV68" i="8" s="1"/>
  <c r="AP57" i="8"/>
  <c r="AS57" i="8" s="1"/>
  <c r="BD57" i="8" s="1"/>
  <c r="AP155" i="9"/>
  <c r="AS155" i="9" s="1"/>
  <c r="BD155" i="9" s="1"/>
  <c r="AQ16" i="9"/>
  <c r="AT16" i="9" s="1"/>
  <c r="AT41" i="8"/>
  <c r="AU41" i="8"/>
  <c r="AV41" i="8" s="1"/>
  <c r="BC55" i="9"/>
  <c r="AW55" i="9"/>
  <c r="BA55" i="9"/>
  <c r="BC28" i="9"/>
  <c r="BA28" i="9"/>
  <c r="AW28" i="9"/>
  <c r="BB11" i="8"/>
  <c r="BC74" i="7"/>
  <c r="BA74" i="7"/>
  <c r="AW74" i="7"/>
  <c r="BC53" i="9"/>
  <c r="AW53" i="9"/>
  <c r="BA53" i="9"/>
  <c r="BB150" i="9"/>
  <c r="BC104" i="8"/>
  <c r="BA104" i="8"/>
  <c r="AW104" i="8"/>
  <c r="AT15" i="8"/>
  <c r="AU15" i="8"/>
  <c r="AV15" i="8" s="1"/>
  <c r="BB89" i="8"/>
  <c r="AQ124" i="8"/>
  <c r="AT124" i="8" s="1"/>
  <c r="AV8" i="9"/>
  <c r="BC21" i="7"/>
  <c r="AW21" i="7"/>
  <c r="BA21" i="7"/>
  <c r="BC17" i="9"/>
  <c r="AW17" i="9"/>
  <c r="AZ17" i="9" s="1"/>
  <c r="BA17" i="9"/>
  <c r="BC98" i="9"/>
  <c r="BA98" i="9"/>
  <c r="AW98" i="9"/>
  <c r="BC63" i="9"/>
  <c r="BA63" i="9"/>
  <c r="AW63" i="9"/>
  <c r="BC23" i="8"/>
  <c r="BA23" i="8"/>
  <c r="AW23" i="8"/>
  <c r="BC84" i="7"/>
  <c r="BA84" i="7"/>
  <c r="AW84" i="7"/>
  <c r="BC99" i="8"/>
  <c r="BA99" i="8"/>
  <c r="AW99" i="8"/>
  <c r="AQ154" i="8"/>
  <c r="BC27" i="9"/>
  <c r="BA27" i="9"/>
  <c r="AW27" i="9"/>
  <c r="AZ27" i="9" s="1"/>
  <c r="AT107" i="7"/>
  <c r="AU107" i="7"/>
  <c r="AV107" i="7" s="1"/>
  <c r="AW53" i="8"/>
  <c r="BC42" i="8"/>
  <c r="BA42" i="8"/>
  <c r="AW42" i="8"/>
  <c r="AT130" i="8"/>
  <c r="AU130" i="8"/>
  <c r="AV130" i="8" s="1"/>
  <c r="BC124" i="7"/>
  <c r="AW124" i="7"/>
  <c r="BA124" i="7"/>
  <c r="BB18" i="8"/>
  <c r="BC73" i="9"/>
  <c r="BA73" i="9"/>
  <c r="AW73" i="9"/>
  <c r="AT10" i="8"/>
  <c r="AU10" i="8"/>
  <c r="AV10" i="8" s="1"/>
  <c r="AU116" i="7"/>
  <c r="AV116" i="7" s="1"/>
  <c r="AU57" i="9"/>
  <c r="AV57" i="9" s="1"/>
  <c r="AZ40" i="9"/>
  <c r="AT101" i="9"/>
  <c r="AU101" i="9"/>
  <c r="AV101" i="9" s="1"/>
  <c r="BC118" i="7"/>
  <c r="BA118" i="7"/>
  <c r="AW118" i="7"/>
  <c r="BC133" i="9"/>
  <c r="AW133" i="9"/>
  <c r="BA133" i="9"/>
  <c r="BB8" i="7"/>
  <c r="AQ79" i="8"/>
  <c r="AT79" i="8" s="1"/>
  <c r="BC118" i="8"/>
  <c r="BA118" i="8"/>
  <c r="AW118" i="8"/>
  <c r="AU120" i="9"/>
  <c r="AV120" i="9" s="1"/>
  <c r="AU118" i="7"/>
  <c r="AV118" i="7" s="1"/>
  <c r="AQ10" i="9"/>
  <c r="BA141" i="9"/>
  <c r="AU30" i="9"/>
  <c r="AV30" i="9" s="1"/>
  <c r="AQ10" i="7"/>
  <c r="BC76" i="9"/>
  <c r="AW76" i="9"/>
  <c r="BA76" i="9"/>
  <c r="BB102" i="8"/>
  <c r="AU73" i="9"/>
  <c r="AV73" i="9" s="1"/>
  <c r="AT110" i="9"/>
  <c r="AU110" i="9"/>
  <c r="AV110" i="9" s="1"/>
  <c r="AZ106" i="9"/>
  <c r="BC77" i="9"/>
  <c r="BA77" i="9"/>
  <c r="AW77" i="9"/>
  <c r="AQ35" i="8"/>
  <c r="AQ153" i="9"/>
  <c r="AT153" i="9" s="1"/>
  <c r="AU22" i="7"/>
  <c r="AV22" i="7" s="1"/>
  <c r="AQ114" i="8"/>
  <c r="AT114" i="8" s="1"/>
  <c r="AU32" i="8"/>
  <c r="AV32" i="8" s="1"/>
  <c r="AQ46" i="9"/>
  <c r="AQ40" i="7"/>
  <c r="AT40" i="7" s="1"/>
  <c r="AQ20" i="7"/>
  <c r="AU63" i="9"/>
  <c r="AV63" i="9" s="1"/>
  <c r="AU126" i="9"/>
  <c r="AV126" i="9" s="1"/>
  <c r="AQ30" i="8"/>
  <c r="AU155" i="8"/>
  <c r="AV155" i="8" s="1"/>
  <c r="AZ143" i="8"/>
  <c r="BC66" i="7"/>
  <c r="AW66" i="7"/>
  <c r="AP97" i="7"/>
  <c r="AS97" i="7" s="1"/>
  <c r="BD97" i="7" s="1"/>
  <c r="AZ91" i="8"/>
  <c r="AQ36" i="7"/>
  <c r="AT36" i="7" s="1"/>
  <c r="AU153" i="7"/>
  <c r="AV153" i="7" s="1"/>
  <c r="AU32" i="7"/>
  <c r="AV32" i="7" s="1"/>
  <c r="AP118" i="9"/>
  <c r="AS118" i="9" s="1"/>
  <c r="BD118" i="9" s="1"/>
  <c r="AR85" i="9"/>
  <c r="AQ47" i="9"/>
  <c r="AT47" i="9" s="1"/>
  <c r="BC47" i="9" s="1"/>
  <c r="AT117" i="7"/>
  <c r="AU117" i="7"/>
  <c r="AV117" i="7" s="1"/>
  <c r="AU76" i="9"/>
  <c r="AV76" i="9" s="1"/>
  <c r="AT17" i="7"/>
  <c r="AU17" i="7"/>
  <c r="AV17" i="7" s="1"/>
  <c r="BC77" i="8"/>
  <c r="AW77" i="8"/>
  <c r="BA77" i="8"/>
  <c r="BC32" i="8"/>
  <c r="BA32" i="8"/>
  <c r="AW32" i="8"/>
  <c r="BC114" i="9"/>
  <c r="AW114" i="9"/>
  <c r="BA114" i="9"/>
  <c r="BC64" i="9"/>
  <c r="BA64" i="9"/>
  <c r="AW64" i="9"/>
  <c r="AT32" i="9"/>
  <c r="AU32" i="9"/>
  <c r="AV32" i="9" s="1"/>
  <c r="AQ89" i="7"/>
  <c r="AT89" i="7" s="1"/>
  <c r="AT109" i="7"/>
  <c r="AU109" i="7"/>
  <c r="AV109" i="7" s="1"/>
  <c r="AT93" i="8"/>
  <c r="AU93" i="8"/>
  <c r="AV93" i="8" s="1"/>
  <c r="BC37" i="7"/>
  <c r="BA37" i="7"/>
  <c r="AW37" i="7"/>
  <c r="BB19" i="8"/>
  <c r="AT27" i="8"/>
  <c r="AU27" i="8"/>
  <c r="AV27" i="8" s="1"/>
  <c r="BB95" i="8"/>
  <c r="AT108" i="8"/>
  <c r="AU108" i="8"/>
  <c r="AV108" i="8" s="1"/>
  <c r="BB30" i="9"/>
  <c r="BB145" i="9"/>
  <c r="AS51" i="8"/>
  <c r="BD51" i="8" s="1"/>
  <c r="AZ108" i="7"/>
  <c r="BB8" i="8"/>
  <c r="AT36" i="8"/>
  <c r="AU36" i="8"/>
  <c r="AV36" i="8" s="1"/>
  <c r="BC22" i="7"/>
  <c r="AW22" i="7"/>
  <c r="BA22" i="7"/>
  <c r="AQ44" i="8"/>
  <c r="AT44" i="8" s="1"/>
  <c r="AQ51" i="8"/>
  <c r="AT51" i="8" s="1"/>
  <c r="AP145" i="9"/>
  <c r="AS145" i="9" s="1"/>
  <c r="BD145" i="9" s="1"/>
  <c r="BB147" i="7"/>
  <c r="AP130" i="7"/>
  <c r="AS130" i="7" s="1"/>
  <c r="BD130" i="7" s="1"/>
  <c r="AQ13" i="8"/>
  <c r="BC120" i="9"/>
  <c r="AW120" i="9"/>
  <c r="BA120" i="9"/>
  <c r="AR112" i="9"/>
  <c r="AQ15" i="7"/>
  <c r="AW134" i="8"/>
  <c r="AZ134" i="8" s="1"/>
  <c r="AT52" i="9"/>
  <c r="AU52" i="9"/>
  <c r="AV52" i="9" s="1"/>
  <c r="AU53" i="8"/>
  <c r="AV53" i="8" s="1"/>
  <c r="AS45" i="7"/>
  <c r="BD45" i="7" s="1"/>
  <c r="AU114" i="9"/>
  <c r="AV114" i="9" s="1"/>
  <c r="BC95" i="7"/>
  <c r="AW95" i="7"/>
  <c r="BA95" i="7"/>
  <c r="BC135" i="9"/>
  <c r="BA135" i="9"/>
  <c r="AW135" i="9"/>
  <c r="AT46" i="8"/>
  <c r="AU46" i="8"/>
  <c r="AV46" i="8" s="1"/>
  <c r="AQ62" i="8"/>
  <c r="AQ151" i="7"/>
  <c r="AT151" i="7" s="1"/>
  <c r="BC72" i="9"/>
  <c r="BA72" i="9"/>
  <c r="AW72" i="9"/>
  <c r="BC119" i="9"/>
  <c r="AW119" i="9"/>
  <c r="BA119" i="9"/>
  <c r="AQ48" i="9"/>
  <c r="AT48" i="9" s="1"/>
  <c r="AU87" i="9"/>
  <c r="AV87" i="9" s="1"/>
  <c r="AU89" i="9"/>
  <c r="AV89" i="9" s="1"/>
  <c r="BC137" i="8"/>
  <c r="BA137" i="8"/>
  <c r="AW137" i="8"/>
  <c r="BA78" i="7"/>
  <c r="AU55" i="9"/>
  <c r="AV55" i="9" s="1"/>
  <c r="AQ142" i="8"/>
  <c r="AT142" i="8" s="1"/>
  <c r="AU64" i="9"/>
  <c r="AV64" i="9" s="1"/>
  <c r="AQ47" i="7"/>
  <c r="AT47" i="7" s="1"/>
  <c r="BB97" i="8"/>
  <c r="AU122" i="8"/>
  <c r="AV122" i="8" s="1"/>
  <c r="BC27" i="7"/>
  <c r="BA27" i="7"/>
  <c r="AW27" i="7"/>
  <c r="AU140" i="9"/>
  <c r="AV140" i="9" s="1"/>
  <c r="AP96" i="7"/>
  <c r="AS96" i="7" s="1"/>
  <c r="BD96" i="7" s="1"/>
  <c r="AU101" i="7"/>
  <c r="AV101" i="7" s="1"/>
  <c r="AT74" i="8"/>
  <c r="AU74" i="8"/>
  <c r="AV74" i="8" s="1"/>
  <c r="AU78" i="7"/>
  <c r="AV78" i="7" s="1"/>
  <c r="AT39" i="8"/>
  <c r="AU39" i="8"/>
  <c r="AV39" i="8" s="1"/>
  <c r="AU136" i="7"/>
  <c r="AV136" i="7" s="1"/>
  <c r="BB104" i="7"/>
  <c r="AW141" i="9"/>
  <c r="BB97" i="7"/>
  <c r="AT143" i="9"/>
  <c r="AU143" i="9"/>
  <c r="AV143" i="9" s="1"/>
  <c r="AU116" i="9"/>
  <c r="AV116" i="9" s="1"/>
  <c r="AZ125" i="7"/>
  <c r="BC55" i="8"/>
  <c r="AW55" i="8"/>
  <c r="AZ55" i="8" s="1"/>
  <c r="BA55" i="8"/>
  <c r="AU102" i="7"/>
  <c r="AV102" i="7" s="1"/>
  <c r="BC49" i="8"/>
  <c r="BA49" i="8"/>
  <c r="AW49" i="8"/>
  <c r="BB71" i="8"/>
  <c r="AT69" i="9"/>
  <c r="AU69" i="9"/>
  <c r="AV69" i="9" s="1"/>
  <c r="BC151" i="8"/>
  <c r="AW151" i="8"/>
  <c r="BA151" i="8"/>
  <c r="BB155" i="9"/>
  <c r="AQ39" i="7"/>
  <c r="AT39" i="7" s="1"/>
  <c r="BC39" i="7" s="1"/>
  <c r="BC25" i="9"/>
  <c r="AW25" i="9"/>
  <c r="BA25" i="9"/>
  <c r="BC122" i="8"/>
  <c r="BA122" i="8"/>
  <c r="AW122" i="8"/>
  <c r="BB101" i="8"/>
  <c r="BC107" i="8"/>
  <c r="BA107" i="8"/>
  <c r="AW107" i="8"/>
  <c r="AZ107" i="8" s="1"/>
  <c r="BB10" i="7"/>
  <c r="AU59" i="7"/>
  <c r="AV59" i="7" s="1"/>
  <c r="AT59" i="7"/>
  <c r="BC42" i="9"/>
  <c r="AW42" i="9"/>
  <c r="BA42" i="9"/>
  <c r="BB96" i="7"/>
  <c r="AT67" i="7"/>
  <c r="AU67" i="7"/>
  <c r="AV67" i="7" s="1"/>
  <c r="AU77" i="8"/>
  <c r="AV77" i="8" s="1"/>
  <c r="AT34" i="8"/>
  <c r="AU34" i="8"/>
  <c r="AV34" i="8" s="1"/>
  <c r="AP11" i="7"/>
  <c r="AS11" i="7" s="1"/>
  <c r="BD11" i="7" s="1"/>
  <c r="BC73" i="7"/>
  <c r="AW73" i="7"/>
  <c r="BA73" i="7"/>
  <c r="BA116" i="9"/>
  <c r="AT143" i="7"/>
  <c r="AU143" i="7"/>
  <c r="AV143" i="7" s="1"/>
  <c r="AU90" i="8"/>
  <c r="AV90" i="8" s="1"/>
  <c r="BC29" i="9"/>
  <c r="BA29" i="9"/>
  <c r="AW29" i="9"/>
  <c r="AW155" i="7"/>
  <c r="BA94" i="8"/>
  <c r="BC19" i="9"/>
  <c r="BA19" i="9"/>
  <c r="AW19" i="9"/>
  <c r="BC19" i="7"/>
  <c r="AW19" i="7"/>
  <c r="BA19" i="7"/>
  <c r="BB33" i="9"/>
  <c r="AQ135" i="8"/>
  <c r="AT135" i="8" s="1"/>
  <c r="AW24" i="9"/>
  <c r="AZ24" i="9" s="1"/>
  <c r="AQ81" i="8"/>
  <c r="AT81" i="8" s="1"/>
  <c r="AS81" i="8"/>
  <c r="BD81" i="8" s="1"/>
  <c r="BC65" i="7"/>
  <c r="BA65" i="7"/>
  <c r="AW65" i="7"/>
  <c r="BC55" i="7"/>
  <c r="BA55" i="7"/>
  <c r="AW55" i="7"/>
  <c r="AT140" i="8"/>
  <c r="AU140" i="8"/>
  <c r="AV140" i="8" s="1"/>
  <c r="AT100" i="8"/>
  <c r="AU100" i="8"/>
  <c r="AV100" i="8" s="1"/>
  <c r="AW137" i="9"/>
  <c r="BC57" i="9"/>
  <c r="AW57" i="9"/>
  <c r="BA57" i="9"/>
  <c r="AQ21" i="9"/>
  <c r="AT21" i="9" s="1"/>
  <c r="BC21" i="9" s="1"/>
  <c r="BC154" i="7"/>
  <c r="AW154" i="7"/>
  <c r="BA154" i="7"/>
  <c r="AU45" i="7"/>
  <c r="AV45" i="7" s="1"/>
  <c r="BC113" i="7"/>
  <c r="BA113" i="7"/>
  <c r="AW113" i="7"/>
  <c r="AQ102" i="8"/>
  <c r="AT102" i="8" s="1"/>
  <c r="BC102" i="8" s="1"/>
  <c r="AT58" i="9"/>
  <c r="AU58" i="9"/>
  <c r="AV58" i="9" s="1"/>
  <c r="AW116" i="9"/>
  <c r="AU52" i="8"/>
  <c r="AV52" i="8" s="1"/>
  <c r="AQ89" i="8"/>
  <c r="AT89" i="8" s="1"/>
  <c r="BC89" i="8" s="1"/>
  <c r="BC153" i="7"/>
  <c r="BA153" i="7"/>
  <c r="AW153" i="7"/>
  <c r="BC70" i="8"/>
  <c r="AW70" i="8"/>
  <c r="BA70" i="8"/>
  <c r="BC102" i="7"/>
  <c r="BA102" i="7"/>
  <c r="AW102" i="7"/>
  <c r="BC93" i="7"/>
  <c r="AW93" i="7"/>
  <c r="AZ93" i="7" s="1"/>
  <c r="BA93" i="7"/>
  <c r="BC34" i="7"/>
  <c r="BA34" i="7"/>
  <c r="AW34" i="7"/>
  <c r="BC105" i="8"/>
  <c r="BA105" i="8"/>
  <c r="AW105" i="8"/>
  <c r="BA155" i="7"/>
  <c r="BC38" i="7"/>
  <c r="BA38" i="7"/>
  <c r="AW38" i="7"/>
  <c r="AP64" i="8"/>
  <c r="AS64" i="8" s="1"/>
  <c r="BD64" i="8" s="1"/>
  <c r="BC16" i="8"/>
  <c r="BA16" i="8"/>
  <c r="AW16" i="8"/>
  <c r="BB149" i="8"/>
  <c r="BA137" i="9"/>
  <c r="BC101" i="7"/>
  <c r="BA101" i="7"/>
  <c r="AW101" i="7"/>
  <c r="BC32" i="7"/>
  <c r="AW32" i="7"/>
  <c r="BA32" i="7"/>
  <c r="BC88" i="8"/>
  <c r="AW88" i="8"/>
  <c r="AZ88" i="8" s="1"/>
  <c r="BA88" i="8"/>
  <c r="BA127" i="9"/>
  <c r="BB119" i="7"/>
  <c r="AT60" i="8"/>
  <c r="AU60" i="8"/>
  <c r="AV60" i="8" s="1"/>
  <c r="AU38" i="9"/>
  <c r="AV38" i="9" s="1"/>
  <c r="AZ111" i="9"/>
  <c r="AQ115" i="9"/>
  <c r="AT115" i="9" s="1"/>
  <c r="AW94" i="8"/>
  <c r="AQ16" i="7"/>
  <c r="AT16" i="7" s="1"/>
  <c r="AQ152" i="9"/>
  <c r="AT152" i="9" s="1"/>
  <c r="AU18" i="9"/>
  <c r="AV18" i="9" s="1"/>
  <c r="BC140" i="9"/>
  <c r="BA140" i="9"/>
  <c r="AW140" i="9"/>
  <c r="AR64" i="8"/>
  <c r="AQ82" i="7"/>
  <c r="AT82" i="7" s="1"/>
  <c r="BC52" i="8"/>
  <c r="BA52" i="8"/>
  <c r="AW52" i="8"/>
  <c r="AU34" i="7"/>
  <c r="AV34" i="7" s="1"/>
  <c r="BC110" i="7"/>
  <c r="BA110" i="7"/>
  <c r="AW110" i="7"/>
  <c r="BC155" i="8"/>
  <c r="AW155" i="8"/>
  <c r="BA155" i="8"/>
  <c r="AP119" i="7"/>
  <c r="AS119" i="7" s="1"/>
  <c r="BD119" i="7" s="1"/>
  <c r="BC129" i="8"/>
  <c r="AW129" i="8"/>
  <c r="BA129" i="8"/>
  <c r="AZ103" i="9"/>
  <c r="AQ101" i="8"/>
  <c r="AT101" i="8" s="1"/>
  <c r="BC101" i="8" s="1"/>
  <c r="BC69" i="7"/>
  <c r="BA69" i="7"/>
  <c r="AW69" i="7"/>
  <c r="AZ69" i="7" s="1"/>
  <c r="AU105" i="8"/>
  <c r="AV105" i="8" s="1"/>
  <c r="AU99" i="8"/>
  <c r="AV99" i="8" s="1"/>
  <c r="AQ45" i="9"/>
  <c r="AT45" i="9" s="1"/>
  <c r="BB14" i="8"/>
  <c r="AQ14" i="8"/>
  <c r="AT103" i="8"/>
  <c r="AU103" i="8"/>
  <c r="AV103" i="8" s="1"/>
  <c r="AZ92" i="8"/>
  <c r="AU25" i="9"/>
  <c r="AV25" i="9" s="1"/>
  <c r="BC141" i="7"/>
  <c r="AW141" i="7"/>
  <c r="BA141" i="7"/>
  <c r="AU133" i="9"/>
  <c r="AV133" i="9" s="1"/>
  <c r="AS39" i="7"/>
  <c r="BD39" i="7" s="1"/>
  <c r="BA18" i="9"/>
  <c r="AU38" i="7"/>
  <c r="AV38" i="7" s="1"/>
  <c r="AU42" i="9"/>
  <c r="AV42" i="9" s="1"/>
  <c r="AT43" i="7"/>
  <c r="AU43" i="7"/>
  <c r="AV43" i="7" s="1"/>
  <c r="AQ97" i="8"/>
  <c r="AT123" i="8"/>
  <c r="AU123" i="8"/>
  <c r="AV123" i="8" s="1"/>
  <c r="AW30" i="7"/>
  <c r="AZ30" i="7" s="1"/>
  <c r="AQ28" i="7"/>
  <c r="AT28" i="7" s="1"/>
  <c r="BB10" i="9"/>
  <c r="AQ131" i="7"/>
  <c r="AT131" i="7" s="1"/>
  <c r="AQ37" i="8"/>
  <c r="AT59" i="9"/>
  <c r="AU59" i="9"/>
  <c r="AV59" i="9" s="1"/>
  <c r="AT99" i="9"/>
  <c r="AU99" i="9"/>
  <c r="AV99" i="9" s="1"/>
  <c r="BC76" i="7"/>
  <c r="BA76" i="7"/>
  <c r="AW76" i="7"/>
  <c r="AW127" i="9"/>
  <c r="AZ127" i="9" s="1"/>
  <c r="BA84" i="8"/>
  <c r="AQ85" i="7"/>
  <c r="AU76" i="7"/>
  <c r="AV76" i="7" s="1"/>
  <c r="BC38" i="8"/>
  <c r="BA38" i="8"/>
  <c r="AW38" i="8"/>
  <c r="BC58" i="7"/>
  <c r="BA58" i="7"/>
  <c r="AW58" i="7"/>
  <c r="AZ58" i="7" s="1"/>
  <c r="AZ128" i="7" l="1"/>
  <c r="AS138" i="9"/>
  <c r="BD138" i="9" s="1"/>
  <c r="AZ145" i="7"/>
  <c r="AZ151" i="9"/>
  <c r="AZ50" i="8"/>
  <c r="AZ9" i="9"/>
  <c r="AZ85" i="8"/>
  <c r="AZ131" i="9"/>
  <c r="AU66" i="7"/>
  <c r="AV66" i="7" s="1"/>
  <c r="AZ66" i="7" s="1"/>
  <c r="AZ121" i="7"/>
  <c r="AW116" i="7"/>
  <c r="AQ138" i="9"/>
  <c r="AT138" i="9" s="1"/>
  <c r="AZ49" i="8"/>
  <c r="AQ64" i="8"/>
  <c r="AT64" i="8" s="1"/>
  <c r="BC64" i="8" s="1"/>
  <c r="BC106" i="9"/>
  <c r="BA106" i="9"/>
  <c r="AU137" i="9"/>
  <c r="AV137" i="9" s="1"/>
  <c r="AZ55" i="7"/>
  <c r="AU95" i="8"/>
  <c r="AV95" i="8" s="1"/>
  <c r="AZ117" i="8"/>
  <c r="AZ70" i="7"/>
  <c r="AW59" i="8"/>
  <c r="AZ9" i="7"/>
  <c r="AZ122" i="7"/>
  <c r="AZ154" i="9"/>
  <c r="AZ36" i="9"/>
  <c r="AZ139" i="8"/>
  <c r="BA95" i="8"/>
  <c r="BA96" i="8"/>
  <c r="AZ50" i="7"/>
  <c r="AW95" i="8"/>
  <c r="AZ95" i="8" s="1"/>
  <c r="AZ78" i="9"/>
  <c r="AQ157" i="9"/>
  <c r="AT157" i="9" s="1"/>
  <c r="BC157" i="9" s="1"/>
  <c r="AQ92" i="7"/>
  <c r="AT92" i="7" s="1"/>
  <c r="BC92" i="7" s="1"/>
  <c r="AU8" i="7"/>
  <c r="AW113" i="8"/>
  <c r="AZ113" i="8" s="1"/>
  <c r="AZ117" i="9"/>
  <c r="AZ62" i="9"/>
  <c r="AZ154" i="7"/>
  <c r="BA113" i="8"/>
  <c r="AZ78" i="8"/>
  <c r="AW149" i="8"/>
  <c r="BA149" i="8"/>
  <c r="AZ148" i="9"/>
  <c r="AZ51" i="7"/>
  <c r="AU96" i="8"/>
  <c r="AV96" i="8" s="1"/>
  <c r="AZ119" i="9"/>
  <c r="AQ45" i="8"/>
  <c r="AT45" i="8" s="1"/>
  <c r="BC45" i="8" s="1"/>
  <c r="AZ115" i="7"/>
  <c r="AQ121" i="9"/>
  <c r="AT121" i="9" s="1"/>
  <c r="BC121" i="9" s="1"/>
  <c r="AU149" i="8"/>
  <c r="AV149" i="8" s="1"/>
  <c r="AZ149" i="8" s="1"/>
  <c r="AZ92" i="9"/>
  <c r="AZ9" i="8"/>
  <c r="AU14" i="7"/>
  <c r="AV14" i="7" s="1"/>
  <c r="AZ14" i="7" s="1"/>
  <c r="BC141" i="8"/>
  <c r="AW141" i="8"/>
  <c r="BA141" i="8"/>
  <c r="AW96" i="8"/>
  <c r="AZ81" i="7"/>
  <c r="BA14" i="7"/>
  <c r="BA29" i="7"/>
  <c r="AU141" i="8"/>
  <c r="AV141" i="8" s="1"/>
  <c r="AT123" i="7"/>
  <c r="AU123" i="7"/>
  <c r="AV123" i="7" s="1"/>
  <c r="BC14" i="7"/>
  <c r="AZ105" i="9"/>
  <c r="AZ129" i="9"/>
  <c r="BA125" i="9"/>
  <c r="AU59" i="8"/>
  <c r="AV59" i="8" s="1"/>
  <c r="AW30" i="9"/>
  <c r="AZ30" i="9" s="1"/>
  <c r="AZ27" i="7"/>
  <c r="AZ157" i="8"/>
  <c r="BA59" i="8"/>
  <c r="AW125" i="9"/>
  <c r="AZ41" i="7"/>
  <c r="AZ41" i="9"/>
  <c r="BA38" i="9"/>
  <c r="AU125" i="9"/>
  <c r="AV125" i="9" s="1"/>
  <c r="AZ125" i="9" s="1"/>
  <c r="AZ156" i="9"/>
  <c r="AU157" i="9"/>
  <c r="AV157" i="9" s="1"/>
  <c r="AZ37" i="7"/>
  <c r="AZ53" i="9"/>
  <c r="AW146" i="8"/>
  <c r="AZ146" i="8" s="1"/>
  <c r="AZ33" i="8"/>
  <c r="AZ137" i="9"/>
  <c r="AZ133" i="8"/>
  <c r="AZ70" i="8"/>
  <c r="AZ70" i="9"/>
  <c r="AZ43" i="9"/>
  <c r="AU75" i="7"/>
  <c r="AV75" i="7" s="1"/>
  <c r="AZ135" i="9"/>
  <c r="BA146" i="8"/>
  <c r="AZ151" i="8"/>
  <c r="BA157" i="9"/>
  <c r="AZ125" i="8"/>
  <c r="AW75" i="7"/>
  <c r="AW157" i="9"/>
  <c r="BA147" i="7"/>
  <c r="BA75" i="7"/>
  <c r="AU112" i="7"/>
  <c r="AV112" i="7" s="1"/>
  <c r="AZ72" i="9"/>
  <c r="BA30" i="9"/>
  <c r="AZ23" i="8"/>
  <c r="AU33" i="9"/>
  <c r="AV33" i="9" s="1"/>
  <c r="AZ11" i="9"/>
  <c r="AU44" i="8"/>
  <c r="AV44" i="8" s="1"/>
  <c r="AW33" i="9"/>
  <c r="AZ89" i="9"/>
  <c r="AU51" i="8"/>
  <c r="AV51" i="8" s="1"/>
  <c r="BA33" i="9"/>
  <c r="AU112" i="8"/>
  <c r="AV112" i="8" s="1"/>
  <c r="AZ129" i="8"/>
  <c r="AZ145" i="8"/>
  <c r="AZ13" i="9"/>
  <c r="AZ155" i="8"/>
  <c r="AZ90" i="7"/>
  <c r="AU40" i="7"/>
  <c r="AV40" i="7" s="1"/>
  <c r="BC54" i="7"/>
  <c r="BA54" i="7"/>
  <c r="AW54" i="7"/>
  <c r="AZ54" i="7" s="1"/>
  <c r="AZ130" i="9"/>
  <c r="AU150" i="9"/>
  <c r="AV150" i="9" s="1"/>
  <c r="AZ156" i="8"/>
  <c r="AW126" i="9"/>
  <c r="AZ126" i="9" s="1"/>
  <c r="AZ110" i="8"/>
  <c r="BC56" i="8"/>
  <c r="AW56" i="8"/>
  <c r="BA56" i="8"/>
  <c r="AS121" i="8"/>
  <c r="AW121" i="8" s="1"/>
  <c r="AU121" i="8"/>
  <c r="AV121" i="8" s="1"/>
  <c r="AW147" i="7"/>
  <c r="AZ105" i="7"/>
  <c r="AZ118" i="8"/>
  <c r="BA112" i="8"/>
  <c r="AZ61" i="9"/>
  <c r="AZ39" i="9"/>
  <c r="AZ98" i="9"/>
  <c r="AU131" i="7"/>
  <c r="AV131" i="7" s="1"/>
  <c r="BA126" i="9"/>
  <c r="AZ82" i="8"/>
  <c r="BA45" i="8"/>
  <c r="AW78" i="7"/>
  <c r="AZ78" i="7" s="1"/>
  <c r="AZ21" i="7"/>
  <c r="AZ102" i="9"/>
  <c r="AU136" i="9"/>
  <c r="AV136" i="9" s="1"/>
  <c r="AZ156" i="7"/>
  <c r="AZ84" i="8"/>
  <c r="AZ104" i="8"/>
  <c r="AW112" i="8"/>
  <c r="AZ112" i="8" s="1"/>
  <c r="AZ99" i="8"/>
  <c r="AU61" i="8"/>
  <c r="AV61" i="8" s="1"/>
  <c r="AZ60" i="7"/>
  <c r="AZ42" i="8"/>
  <c r="AZ19" i="9"/>
  <c r="AW102" i="8"/>
  <c r="AZ76" i="7"/>
  <c r="BA116" i="7"/>
  <c r="AU151" i="7"/>
  <c r="AV151" i="7" s="1"/>
  <c r="AZ146" i="9"/>
  <c r="AZ95" i="7"/>
  <c r="AZ139" i="9"/>
  <c r="AU92" i="7"/>
  <c r="AV92" i="7" s="1"/>
  <c r="AU56" i="8"/>
  <c r="AV56" i="8" s="1"/>
  <c r="AU101" i="8"/>
  <c r="AV101" i="8" s="1"/>
  <c r="AZ87" i="9"/>
  <c r="AU71" i="8"/>
  <c r="AV71" i="8" s="1"/>
  <c r="AZ77" i="9"/>
  <c r="AZ144" i="8"/>
  <c r="AW57" i="7"/>
  <c r="AU76" i="8"/>
  <c r="AV76" i="8" s="1"/>
  <c r="AZ65" i="7"/>
  <c r="AZ38" i="8"/>
  <c r="AZ73" i="7"/>
  <c r="BA57" i="7"/>
  <c r="AW122" i="9"/>
  <c r="AQ11" i="7"/>
  <c r="AT11" i="7" s="1"/>
  <c r="BC11" i="7" s="1"/>
  <c r="AU139" i="7"/>
  <c r="AV139" i="7" s="1"/>
  <c r="AW76" i="8"/>
  <c r="AQ112" i="9"/>
  <c r="AT112" i="9" s="1"/>
  <c r="BC112" i="9" s="1"/>
  <c r="AU28" i="7"/>
  <c r="AV28" i="7" s="1"/>
  <c r="AT19" i="8"/>
  <c r="BC19" i="8" s="1"/>
  <c r="AU57" i="7"/>
  <c r="AV57" i="7" s="1"/>
  <c r="BA39" i="7"/>
  <c r="AU95" i="9"/>
  <c r="AV95" i="9" s="1"/>
  <c r="AZ152" i="8"/>
  <c r="AW150" i="9"/>
  <c r="AZ49" i="9"/>
  <c r="AZ12" i="7"/>
  <c r="BA122" i="9"/>
  <c r="AW101" i="8"/>
  <c r="AZ34" i="7"/>
  <c r="AU25" i="8"/>
  <c r="AV25" i="8" s="1"/>
  <c r="AZ56" i="7"/>
  <c r="AZ141" i="9"/>
  <c r="BA101" i="8"/>
  <c r="AU40" i="8"/>
  <c r="AV40" i="8" s="1"/>
  <c r="AZ28" i="9"/>
  <c r="BA76" i="8"/>
  <c r="AW40" i="8"/>
  <c r="AZ153" i="7"/>
  <c r="AZ91" i="7"/>
  <c r="AU51" i="9"/>
  <c r="AV51" i="9" s="1"/>
  <c r="AZ19" i="7"/>
  <c r="AZ116" i="7"/>
  <c r="BA150" i="9"/>
  <c r="AZ88" i="7"/>
  <c r="BC106" i="7"/>
  <c r="BA106" i="7"/>
  <c r="AW106" i="7"/>
  <c r="AZ106" i="7" s="1"/>
  <c r="AZ137" i="8"/>
  <c r="AZ29" i="9"/>
  <c r="AU124" i="9"/>
  <c r="AV124" i="9" s="1"/>
  <c r="AU122" i="9"/>
  <c r="AV122" i="9" s="1"/>
  <c r="AT87" i="7"/>
  <c r="AU87" i="7"/>
  <c r="AV87" i="7" s="1"/>
  <c r="AS94" i="7"/>
  <c r="AW94" i="7" s="1"/>
  <c r="AU94" i="7"/>
  <c r="AV94" i="7" s="1"/>
  <c r="AW71" i="8"/>
  <c r="BA71" i="8"/>
  <c r="AU153" i="9"/>
  <c r="AV153" i="9" s="1"/>
  <c r="AU31" i="9"/>
  <c r="AV31" i="9" s="1"/>
  <c r="AU124" i="8"/>
  <c r="AV124" i="8" s="1"/>
  <c r="BA8" i="7"/>
  <c r="AZ16" i="8"/>
  <c r="BA45" i="7"/>
  <c r="AZ144" i="9"/>
  <c r="AU82" i="9"/>
  <c r="AV82" i="9" s="1"/>
  <c r="AZ94" i="8"/>
  <c r="BA25" i="8"/>
  <c r="AU36" i="7"/>
  <c r="AV36" i="7" s="1"/>
  <c r="BC126" i="8"/>
  <c r="AW126" i="8"/>
  <c r="AZ126" i="8" s="1"/>
  <c r="BA126" i="8"/>
  <c r="AU21" i="8"/>
  <c r="AV21" i="8" s="1"/>
  <c r="AU102" i="8"/>
  <c r="AV102" i="8" s="1"/>
  <c r="BA152" i="7"/>
  <c r="AZ63" i="9"/>
  <c r="AW136" i="9"/>
  <c r="AU45" i="8"/>
  <c r="AV45" i="8" s="1"/>
  <c r="BC120" i="7"/>
  <c r="BA120" i="7"/>
  <c r="AW120" i="7"/>
  <c r="AZ120" i="7" s="1"/>
  <c r="BC124" i="9"/>
  <c r="BA124" i="9"/>
  <c r="AW124" i="9"/>
  <c r="BC127" i="8"/>
  <c r="AW127" i="8"/>
  <c r="AT132" i="9"/>
  <c r="AU132" i="9"/>
  <c r="AV132" i="9" s="1"/>
  <c r="BC91" i="9"/>
  <c r="BA91" i="9"/>
  <c r="AU114" i="8"/>
  <c r="AV114" i="8" s="1"/>
  <c r="BC120" i="8"/>
  <c r="AW120" i="8"/>
  <c r="AZ120" i="8" s="1"/>
  <c r="BA120" i="8"/>
  <c r="BC138" i="8"/>
  <c r="BA138" i="8"/>
  <c r="AW138" i="8"/>
  <c r="AZ138" i="8" s="1"/>
  <c r="AQ130" i="7"/>
  <c r="AT130" i="7" s="1"/>
  <c r="BA130" i="7" s="1"/>
  <c r="AZ124" i="7"/>
  <c r="AQ57" i="8"/>
  <c r="AQ43" i="8"/>
  <c r="BC31" i="9"/>
  <c r="AW31" i="9"/>
  <c r="BA31" i="9"/>
  <c r="BA22" i="8"/>
  <c r="BA112" i="7"/>
  <c r="AZ122" i="8"/>
  <c r="BC138" i="7"/>
  <c r="AW138" i="7"/>
  <c r="AW8" i="7"/>
  <c r="AZ74" i="7"/>
  <c r="BC86" i="8"/>
  <c r="AW86" i="8"/>
  <c r="BA86" i="8"/>
  <c r="BC82" i="9"/>
  <c r="AW82" i="9"/>
  <c r="BA82" i="9"/>
  <c r="BC97" i="9"/>
  <c r="AW97" i="9"/>
  <c r="AZ97" i="9" s="1"/>
  <c r="BA97" i="9"/>
  <c r="AU18" i="8"/>
  <c r="AV18" i="8" s="1"/>
  <c r="AU86" i="8"/>
  <c r="AV86" i="8" s="1"/>
  <c r="BC54" i="8"/>
  <c r="AW54" i="8"/>
  <c r="BA54" i="8"/>
  <c r="AZ66" i="8"/>
  <c r="AZ105" i="8"/>
  <c r="AZ110" i="7"/>
  <c r="AW152" i="7"/>
  <c r="AZ152" i="7" s="1"/>
  <c r="AZ76" i="9"/>
  <c r="AU142" i="8"/>
  <c r="AV142" i="8" s="1"/>
  <c r="AW83" i="7"/>
  <c r="AT79" i="7"/>
  <c r="AU79" i="7"/>
  <c r="AV79" i="7" s="1"/>
  <c r="BC51" i="9"/>
  <c r="AW51" i="9"/>
  <c r="BA51" i="9"/>
  <c r="AU91" i="9"/>
  <c r="AV91" i="9" s="1"/>
  <c r="AZ133" i="9"/>
  <c r="AU127" i="8"/>
  <c r="AV127" i="8" s="1"/>
  <c r="AQ97" i="7"/>
  <c r="AT97" i="7" s="1"/>
  <c r="BC97" i="7" s="1"/>
  <c r="BA61" i="8"/>
  <c r="AU83" i="8"/>
  <c r="AV83" i="8" s="1"/>
  <c r="AT83" i="8"/>
  <c r="AU123" i="9"/>
  <c r="AV123" i="9" s="1"/>
  <c r="BB92" i="7"/>
  <c r="H6" i="7" s="1"/>
  <c r="B18" i="6" s="1"/>
  <c r="AW92" i="7"/>
  <c r="BA92" i="7"/>
  <c r="AW91" i="9"/>
  <c r="BA83" i="7"/>
  <c r="AW61" i="8"/>
  <c r="AZ141" i="7"/>
  <c r="AW38" i="9"/>
  <c r="AZ38" i="9" s="1"/>
  <c r="AZ52" i="8"/>
  <c r="AU83" i="7"/>
  <c r="AV83" i="7" s="1"/>
  <c r="AZ126" i="7"/>
  <c r="AU147" i="7"/>
  <c r="AV147" i="7" s="1"/>
  <c r="AT11" i="8"/>
  <c r="AU11" i="8"/>
  <c r="AV11" i="8" s="1"/>
  <c r="AW104" i="7"/>
  <c r="AZ104" i="7" s="1"/>
  <c r="BA40" i="8"/>
  <c r="AZ73" i="9"/>
  <c r="AW18" i="8"/>
  <c r="BA136" i="9"/>
  <c r="AQ155" i="9"/>
  <c r="AT155" i="9" s="1"/>
  <c r="AZ84" i="7"/>
  <c r="AZ133" i="7"/>
  <c r="BA67" i="9"/>
  <c r="AW22" i="8"/>
  <c r="AU12" i="9"/>
  <c r="AV12" i="9" s="1"/>
  <c r="AZ15" i="9"/>
  <c r="BA127" i="8"/>
  <c r="AW112" i="7"/>
  <c r="AW123" i="9"/>
  <c r="AU54" i="8"/>
  <c r="AV54" i="8" s="1"/>
  <c r="AZ135" i="7"/>
  <c r="AT80" i="8"/>
  <c r="AU80" i="8"/>
  <c r="AV80" i="8" s="1"/>
  <c r="AZ77" i="8"/>
  <c r="AZ114" i="9"/>
  <c r="AW25" i="8"/>
  <c r="AU22" i="8"/>
  <c r="AV22" i="8" s="1"/>
  <c r="BA123" i="9"/>
  <c r="AW95" i="9"/>
  <c r="BA95" i="9"/>
  <c r="BC95" i="9"/>
  <c r="AT75" i="8"/>
  <c r="AU75" i="8"/>
  <c r="AV75" i="8" s="1"/>
  <c r="BA138" i="7"/>
  <c r="AU82" i="7"/>
  <c r="AV82" i="7" s="1"/>
  <c r="AZ25" i="9"/>
  <c r="AU138" i="7"/>
  <c r="AV138" i="7" s="1"/>
  <c r="BA104" i="7"/>
  <c r="BA18" i="8"/>
  <c r="J6" i="9"/>
  <c r="D20" i="6" s="1"/>
  <c r="AQ147" i="8"/>
  <c r="AT147" i="8" s="1"/>
  <c r="BC147" i="8" s="1"/>
  <c r="AT132" i="7"/>
  <c r="AU132" i="7"/>
  <c r="AV132" i="7" s="1"/>
  <c r="AW67" i="9"/>
  <c r="AZ67" i="9" s="1"/>
  <c r="BB112" i="9"/>
  <c r="AZ8" i="9"/>
  <c r="BC41" i="8"/>
  <c r="AW41" i="8"/>
  <c r="AZ41" i="8" s="1"/>
  <c r="BA41" i="8"/>
  <c r="BC109" i="9"/>
  <c r="BA109" i="9"/>
  <c r="AW109" i="9"/>
  <c r="AZ109" i="9" s="1"/>
  <c r="BC109" i="7"/>
  <c r="AW109" i="7"/>
  <c r="AZ109" i="7" s="1"/>
  <c r="BA109" i="7"/>
  <c r="AU45" i="9"/>
  <c r="AV45" i="9" s="1"/>
  <c r="AU81" i="8"/>
  <c r="AV81" i="8" s="1"/>
  <c r="BC51" i="8"/>
  <c r="AW51" i="8"/>
  <c r="BA51" i="8"/>
  <c r="AT154" i="8"/>
  <c r="AU154" i="8"/>
  <c r="AV154" i="8" s="1"/>
  <c r="AQ118" i="9"/>
  <c r="AT118" i="9" s="1"/>
  <c r="BC40" i="7"/>
  <c r="BA40" i="7"/>
  <c r="AW40" i="7"/>
  <c r="BC10" i="8"/>
  <c r="BA10" i="8"/>
  <c r="AW10" i="8"/>
  <c r="AZ10" i="8" s="1"/>
  <c r="AQ85" i="9"/>
  <c r="AU16" i="7"/>
  <c r="AV16" i="7" s="1"/>
  <c r="AZ90" i="8"/>
  <c r="AZ101" i="7"/>
  <c r="AT62" i="8"/>
  <c r="AU62" i="8"/>
  <c r="AV62" i="8" s="1"/>
  <c r="AT13" i="8"/>
  <c r="AU13" i="8"/>
  <c r="AV13" i="8" s="1"/>
  <c r="AZ32" i="7"/>
  <c r="AT46" i="9"/>
  <c r="AU46" i="9"/>
  <c r="AV46" i="9" s="1"/>
  <c r="AT10" i="9"/>
  <c r="AU10" i="9"/>
  <c r="AW89" i="8"/>
  <c r="BC16" i="9"/>
  <c r="BA16" i="9"/>
  <c r="AW16" i="9"/>
  <c r="AW45" i="7"/>
  <c r="AZ45" i="7" s="1"/>
  <c r="BC143" i="9"/>
  <c r="BA143" i="9"/>
  <c r="AW143" i="9"/>
  <c r="AZ143" i="9" s="1"/>
  <c r="BC93" i="8"/>
  <c r="AW93" i="8"/>
  <c r="AZ93" i="8" s="1"/>
  <c r="BA93" i="8"/>
  <c r="AT85" i="7"/>
  <c r="AU85" i="7"/>
  <c r="AV85" i="7" s="1"/>
  <c r="BC115" i="9"/>
  <c r="AW115" i="9"/>
  <c r="BA115" i="9"/>
  <c r="BB85" i="9"/>
  <c r="AU47" i="9"/>
  <c r="AV47" i="9" s="1"/>
  <c r="BC59" i="9"/>
  <c r="AW59" i="9"/>
  <c r="AZ59" i="9" s="1"/>
  <c r="BA59" i="9"/>
  <c r="BC123" i="8"/>
  <c r="BA123" i="8"/>
  <c r="AW123" i="8"/>
  <c r="AZ123" i="8" s="1"/>
  <c r="AQ145" i="9"/>
  <c r="AT97" i="8"/>
  <c r="AU97" i="8"/>
  <c r="AV97" i="8" s="1"/>
  <c r="BC151" i="7"/>
  <c r="BA151" i="7"/>
  <c r="AW151" i="7"/>
  <c r="BC130" i="8"/>
  <c r="BA130" i="8"/>
  <c r="AW130" i="8"/>
  <c r="AZ130" i="8" s="1"/>
  <c r="BC74" i="8"/>
  <c r="BA74" i="8"/>
  <c r="AW74" i="8"/>
  <c r="AZ74" i="8" s="1"/>
  <c r="AT14" i="8"/>
  <c r="AU14" i="8"/>
  <c r="AV14" i="8" s="1"/>
  <c r="BA64" i="8"/>
  <c r="BB64" i="8"/>
  <c r="AW64" i="8"/>
  <c r="AT37" i="8"/>
  <c r="AU37" i="8"/>
  <c r="AV37" i="8" s="1"/>
  <c r="AU128" i="8"/>
  <c r="AV128" i="8" s="1"/>
  <c r="AU21" i="9"/>
  <c r="AV21" i="9" s="1"/>
  <c r="BC58" i="9"/>
  <c r="AW58" i="9"/>
  <c r="AZ58" i="9" s="1"/>
  <c r="BA58" i="9"/>
  <c r="AQ96" i="7"/>
  <c r="AT96" i="7" s="1"/>
  <c r="AZ53" i="8"/>
  <c r="BC27" i="8"/>
  <c r="AW27" i="8"/>
  <c r="AZ27" i="8" s="1"/>
  <c r="BA27" i="8"/>
  <c r="BC32" i="9"/>
  <c r="BA32" i="9"/>
  <c r="AW32" i="9"/>
  <c r="AZ32" i="9" s="1"/>
  <c r="BC110" i="9"/>
  <c r="BA110" i="9"/>
  <c r="AW110" i="9"/>
  <c r="AZ110" i="9" s="1"/>
  <c r="AZ118" i="7"/>
  <c r="BA89" i="8"/>
  <c r="AU16" i="9"/>
  <c r="AV16" i="9" s="1"/>
  <c r="AZ155" i="7"/>
  <c r="AU88" i="9"/>
  <c r="AV88" i="9" s="1"/>
  <c r="BC39" i="8"/>
  <c r="AW39" i="8"/>
  <c r="AZ39" i="8" s="1"/>
  <c r="BA39" i="8"/>
  <c r="BC29" i="8"/>
  <c r="AW29" i="8"/>
  <c r="AZ29" i="8" s="1"/>
  <c r="BA29" i="8"/>
  <c r="AT20" i="7"/>
  <c r="AU20" i="7"/>
  <c r="AV20" i="7" s="1"/>
  <c r="AT10" i="7"/>
  <c r="AU10" i="7"/>
  <c r="AV10" i="7" s="1"/>
  <c r="AU48" i="9"/>
  <c r="AV48" i="9" s="1"/>
  <c r="BC89" i="7"/>
  <c r="AW89" i="7"/>
  <c r="BA89" i="7"/>
  <c r="BC124" i="8"/>
  <c r="AW124" i="8"/>
  <c r="BA124" i="8"/>
  <c r="BC21" i="8"/>
  <c r="BA21" i="8"/>
  <c r="AW21" i="8"/>
  <c r="AT25" i="7"/>
  <c r="AU25" i="7"/>
  <c r="AV25" i="7" s="1"/>
  <c r="AT75" i="9"/>
  <c r="AU75" i="9"/>
  <c r="AV75" i="9" s="1"/>
  <c r="BC103" i="8"/>
  <c r="BA103" i="8"/>
  <c r="AW103" i="8"/>
  <c r="AZ103" i="8" s="1"/>
  <c r="BC82" i="7"/>
  <c r="BA82" i="7"/>
  <c r="AW82" i="7"/>
  <c r="BC44" i="8"/>
  <c r="AW44" i="8"/>
  <c r="BA44" i="8"/>
  <c r="BC43" i="7"/>
  <c r="BA43" i="7"/>
  <c r="AW43" i="7"/>
  <c r="AZ43" i="7" s="1"/>
  <c r="BC131" i="7"/>
  <c r="AW131" i="7"/>
  <c r="BA131" i="7"/>
  <c r="AZ42" i="9"/>
  <c r="BC143" i="7"/>
  <c r="BA143" i="7"/>
  <c r="AW143" i="7"/>
  <c r="AZ143" i="7" s="1"/>
  <c r="BC34" i="8"/>
  <c r="AW34" i="8"/>
  <c r="AZ34" i="8" s="1"/>
  <c r="BA34" i="8"/>
  <c r="AZ102" i="7"/>
  <c r="AU135" i="8"/>
  <c r="AV135" i="8" s="1"/>
  <c r="BC46" i="8"/>
  <c r="BA46" i="8"/>
  <c r="AW46" i="8"/>
  <c r="AZ46" i="8" s="1"/>
  <c r="AZ32" i="8"/>
  <c r="AZ120" i="9"/>
  <c r="AW47" i="9"/>
  <c r="AT8" i="8"/>
  <c r="AU8" i="8"/>
  <c r="BC108" i="8"/>
  <c r="BA108" i="8"/>
  <c r="AW108" i="8"/>
  <c r="AZ108" i="8" s="1"/>
  <c r="BC88" i="9"/>
  <c r="AW88" i="9"/>
  <c r="BA88" i="9"/>
  <c r="BC47" i="7"/>
  <c r="AW47" i="7"/>
  <c r="BA47" i="7"/>
  <c r="BC48" i="9"/>
  <c r="AW48" i="9"/>
  <c r="BA48" i="9"/>
  <c r="BC15" i="8"/>
  <c r="AW15" i="8"/>
  <c r="AZ15" i="8" s="1"/>
  <c r="BA15" i="8"/>
  <c r="AZ18" i="9"/>
  <c r="AZ64" i="9"/>
  <c r="BC17" i="7"/>
  <c r="AW17" i="7"/>
  <c r="AZ17" i="7" s="1"/>
  <c r="BA17" i="7"/>
  <c r="AW21" i="9"/>
  <c r="BC157" i="7"/>
  <c r="AW157" i="7"/>
  <c r="AZ157" i="7" s="1"/>
  <c r="BA157" i="7"/>
  <c r="AU89" i="7"/>
  <c r="AV89" i="7" s="1"/>
  <c r="AQ119" i="7"/>
  <c r="AV8" i="7"/>
  <c r="BC152" i="9"/>
  <c r="BA152" i="9"/>
  <c r="AW152" i="9"/>
  <c r="AU89" i="8"/>
  <c r="AV89" i="8" s="1"/>
  <c r="BC100" i="8"/>
  <c r="AW100" i="8"/>
  <c r="AZ100" i="8" s="1"/>
  <c r="BA100" i="8"/>
  <c r="BC135" i="8"/>
  <c r="AW135" i="8"/>
  <c r="BA135" i="8"/>
  <c r="AZ140" i="9"/>
  <c r="BC52" i="9"/>
  <c r="BA52" i="9"/>
  <c r="AW52" i="9"/>
  <c r="AZ52" i="9" s="1"/>
  <c r="BC36" i="8"/>
  <c r="BA36" i="8"/>
  <c r="AW36" i="8"/>
  <c r="AZ36" i="8" s="1"/>
  <c r="BC36" i="7"/>
  <c r="AW36" i="7"/>
  <c r="BA36" i="7"/>
  <c r="AU79" i="8"/>
  <c r="AV79" i="8" s="1"/>
  <c r="AZ22" i="7"/>
  <c r="BA102" i="8"/>
  <c r="BC33" i="7"/>
  <c r="BA33" i="7"/>
  <c r="AW33" i="7"/>
  <c r="AZ33" i="7" s="1"/>
  <c r="AT31" i="7"/>
  <c r="AU31" i="7"/>
  <c r="AV31" i="7" s="1"/>
  <c r="BA21" i="9"/>
  <c r="BC81" i="8"/>
  <c r="AW81" i="8"/>
  <c r="BA81" i="8"/>
  <c r="BC69" i="9"/>
  <c r="BA69" i="9"/>
  <c r="AW69" i="9"/>
  <c r="AZ69" i="9" s="1"/>
  <c r="BC16" i="7"/>
  <c r="BA16" i="7"/>
  <c r="AW16" i="7"/>
  <c r="AU64" i="8"/>
  <c r="AV64" i="8" s="1"/>
  <c r="BC142" i="8"/>
  <c r="AW142" i="8"/>
  <c r="BA142" i="8"/>
  <c r="BC153" i="9"/>
  <c r="AW153" i="9"/>
  <c r="BA153" i="9"/>
  <c r="BC79" i="8"/>
  <c r="AW79" i="8"/>
  <c r="BA79" i="8"/>
  <c r="BB147" i="8"/>
  <c r="BC128" i="8"/>
  <c r="AW128" i="8"/>
  <c r="BA128" i="8"/>
  <c r="BC28" i="7"/>
  <c r="BA28" i="7"/>
  <c r="AW28" i="7"/>
  <c r="AU115" i="9"/>
  <c r="AV115" i="9" s="1"/>
  <c r="BC140" i="8"/>
  <c r="AW140" i="8"/>
  <c r="AZ140" i="8" s="1"/>
  <c r="BA140" i="8"/>
  <c r="AU152" i="9"/>
  <c r="AV152" i="9" s="1"/>
  <c r="AZ116" i="9"/>
  <c r="AZ136" i="7"/>
  <c r="AZ55" i="9"/>
  <c r="AT30" i="8"/>
  <c r="AU30" i="8"/>
  <c r="AV30" i="8" s="1"/>
  <c r="BB43" i="8"/>
  <c r="BC139" i="7"/>
  <c r="AW139" i="7"/>
  <c r="BA139" i="7"/>
  <c r="BC12" i="9"/>
  <c r="BA12" i="9"/>
  <c r="AW12" i="9"/>
  <c r="AU39" i="7"/>
  <c r="AV39" i="7" s="1"/>
  <c r="AZ38" i="7"/>
  <c r="BC59" i="7"/>
  <c r="AW59" i="7"/>
  <c r="AZ59" i="7" s="1"/>
  <c r="BA59" i="7"/>
  <c r="BC114" i="8"/>
  <c r="BA114" i="8"/>
  <c r="AW114" i="8"/>
  <c r="BA47" i="9"/>
  <c r="BC45" i="9"/>
  <c r="AW45" i="9"/>
  <c r="BA45" i="9"/>
  <c r="BC60" i="8"/>
  <c r="AW60" i="8"/>
  <c r="AZ60" i="8" s="1"/>
  <c r="BA60" i="8"/>
  <c r="BC99" i="9"/>
  <c r="BA99" i="9"/>
  <c r="AW99" i="9"/>
  <c r="AZ99" i="9" s="1"/>
  <c r="AU47" i="7"/>
  <c r="AV47" i="7" s="1"/>
  <c r="BC101" i="9"/>
  <c r="BA101" i="9"/>
  <c r="AW101" i="9"/>
  <c r="AZ101" i="9" s="1"/>
  <c r="BC107" i="7"/>
  <c r="AW107" i="7"/>
  <c r="AZ107" i="7" s="1"/>
  <c r="BA107" i="7"/>
  <c r="BC22" i="9"/>
  <c r="BA22" i="9"/>
  <c r="AW22" i="9"/>
  <c r="AZ22" i="9" s="1"/>
  <c r="BC67" i="7"/>
  <c r="BA67" i="7"/>
  <c r="AW67" i="7"/>
  <c r="AZ67" i="7" s="1"/>
  <c r="AT15" i="7"/>
  <c r="AU15" i="7"/>
  <c r="AV15" i="7" s="1"/>
  <c r="BC117" i="7"/>
  <c r="BA117" i="7"/>
  <c r="AW117" i="7"/>
  <c r="AZ117" i="7" s="1"/>
  <c r="AT35" i="8"/>
  <c r="AU35" i="8"/>
  <c r="AV35" i="8" s="1"/>
  <c r="AZ57" i="9"/>
  <c r="BC68" i="8"/>
  <c r="AW68" i="8"/>
  <c r="AZ68" i="8" s="1"/>
  <c r="BA68" i="8"/>
  <c r="AZ72" i="8"/>
  <c r="AZ113" i="7"/>
  <c r="AW39" i="7"/>
  <c r="BC138" i="9" l="1"/>
  <c r="AW138" i="9"/>
  <c r="BA138" i="9"/>
  <c r="AZ33" i="9"/>
  <c r="AZ75" i="7"/>
  <c r="AU138" i="9"/>
  <c r="AV138" i="9" s="1"/>
  <c r="AZ59" i="8"/>
  <c r="AZ22" i="8"/>
  <c r="AU112" i="9"/>
  <c r="AV112" i="9" s="1"/>
  <c r="AW121" i="9"/>
  <c r="AZ136" i="9"/>
  <c r="AZ96" i="8"/>
  <c r="AZ51" i="8"/>
  <c r="H6" i="9"/>
  <c r="D18" i="6" s="1"/>
  <c r="AZ112" i="7"/>
  <c r="AZ71" i="8"/>
  <c r="AZ121" i="8"/>
  <c r="AZ95" i="9"/>
  <c r="AZ147" i="7"/>
  <c r="AZ25" i="8"/>
  <c r="AW45" i="8"/>
  <c r="AZ45" i="8" s="1"/>
  <c r="AZ101" i="8"/>
  <c r="AZ102" i="8"/>
  <c r="AU121" i="9"/>
  <c r="AV121" i="9" s="1"/>
  <c r="BA121" i="9"/>
  <c r="AZ150" i="9"/>
  <c r="AZ157" i="9"/>
  <c r="BC123" i="7"/>
  <c r="AW123" i="7"/>
  <c r="AZ123" i="7" s="1"/>
  <c r="BA123" i="7"/>
  <c r="AZ141" i="8"/>
  <c r="AZ44" i="8"/>
  <c r="AZ40" i="7"/>
  <c r="AZ139" i="7"/>
  <c r="AZ88" i="9"/>
  <c r="AZ16" i="9"/>
  <c r="AZ61" i="8"/>
  <c r="AZ131" i="7"/>
  <c r="AZ92" i="7"/>
  <c r="AZ82" i="9"/>
  <c r="AZ142" i="8"/>
  <c r="AZ28" i="7"/>
  <c r="AZ12" i="9"/>
  <c r="AZ57" i="7"/>
  <c r="AZ89" i="8"/>
  <c r="BA97" i="7"/>
  <c r="BD121" i="8"/>
  <c r="J6" i="8" s="1"/>
  <c r="C20" i="6" s="1"/>
  <c r="BA121" i="8"/>
  <c r="AZ152" i="9"/>
  <c r="AW112" i="9"/>
  <c r="AZ56" i="8"/>
  <c r="AZ151" i="7"/>
  <c r="AZ16" i="7"/>
  <c r="BA112" i="9"/>
  <c r="AZ94" i="7"/>
  <c r="AZ51" i="9"/>
  <c r="AZ122" i="9"/>
  <c r="AZ47" i="7"/>
  <c r="AZ114" i="8"/>
  <c r="AZ124" i="8"/>
  <c r="AZ40" i="8"/>
  <c r="AZ76" i="8"/>
  <c r="AW19" i="8"/>
  <c r="AZ19" i="8" s="1"/>
  <c r="AZ21" i="9"/>
  <c r="AZ31" i="9"/>
  <c r="BA19" i="8"/>
  <c r="AW97" i="7"/>
  <c r="AZ86" i="8"/>
  <c r="AZ36" i="7"/>
  <c r="AZ82" i="7"/>
  <c r="AZ54" i="8"/>
  <c r="AU130" i="7"/>
  <c r="AV130" i="7" s="1"/>
  <c r="BA11" i="7"/>
  <c r="AU11" i="7"/>
  <c r="AV11" i="7" s="1"/>
  <c r="AZ124" i="9"/>
  <c r="AZ89" i="7"/>
  <c r="AZ123" i="9"/>
  <c r="BA147" i="8"/>
  <c r="AW11" i="7"/>
  <c r="AZ21" i="8"/>
  <c r="AZ18" i="8"/>
  <c r="BC132" i="7"/>
  <c r="BA132" i="7"/>
  <c r="AW132" i="7"/>
  <c r="AZ132" i="7" s="1"/>
  <c r="AZ115" i="9"/>
  <c r="AZ47" i="9"/>
  <c r="BC11" i="8"/>
  <c r="BA11" i="8"/>
  <c r="AW11" i="8"/>
  <c r="AZ11" i="8" s="1"/>
  <c r="BC83" i="8"/>
  <c r="AW83" i="8"/>
  <c r="AZ83" i="8" s="1"/>
  <c r="BA83" i="8"/>
  <c r="AZ153" i="9"/>
  <c r="H6" i="8"/>
  <c r="C18" i="6" s="1"/>
  <c r="AZ79" i="8"/>
  <c r="AU155" i="9"/>
  <c r="AV155" i="9" s="1"/>
  <c r="BC132" i="9"/>
  <c r="AW132" i="9"/>
  <c r="AZ132" i="9" s="1"/>
  <c r="BA132" i="9"/>
  <c r="BC75" i="8"/>
  <c r="BA75" i="8"/>
  <c r="AW75" i="8"/>
  <c r="AZ75" i="8" s="1"/>
  <c r="BC79" i="7"/>
  <c r="AW79" i="7"/>
  <c r="AZ79" i="7" s="1"/>
  <c r="BA79" i="7"/>
  <c r="AZ83" i="7"/>
  <c r="AZ127" i="8"/>
  <c r="AU147" i="8"/>
  <c r="AV147" i="8" s="1"/>
  <c r="AZ138" i="7"/>
  <c r="AT43" i="8"/>
  <c r="AU43" i="8"/>
  <c r="AV43" i="8" s="1"/>
  <c r="AZ48" i="9"/>
  <c r="AU97" i="7"/>
  <c r="AV97" i="7" s="1"/>
  <c r="AZ91" i="9"/>
  <c r="AT57" i="8"/>
  <c r="AU57" i="8"/>
  <c r="AV57" i="8" s="1"/>
  <c r="BD94" i="7"/>
  <c r="J6" i="7" s="1"/>
  <c r="B20" i="6" s="1"/>
  <c r="BA94" i="7"/>
  <c r="AZ64" i="8"/>
  <c r="BC155" i="9"/>
  <c r="AW155" i="9"/>
  <c r="BA155" i="9"/>
  <c r="AW147" i="8"/>
  <c r="BC80" i="8"/>
  <c r="BA80" i="8"/>
  <c r="AW80" i="8"/>
  <c r="AZ80" i="8" s="1"/>
  <c r="BC130" i="7"/>
  <c r="AW130" i="7"/>
  <c r="BC87" i="7"/>
  <c r="BA87" i="7"/>
  <c r="AW87" i="7"/>
  <c r="AZ87" i="7" s="1"/>
  <c r="BC37" i="8"/>
  <c r="BA37" i="8"/>
  <c r="AW37" i="8"/>
  <c r="AZ37" i="8" s="1"/>
  <c r="BC46" i="9"/>
  <c r="AW46" i="9"/>
  <c r="AZ46" i="9" s="1"/>
  <c r="BA46" i="9"/>
  <c r="BC35" i="8"/>
  <c r="AW35" i="8"/>
  <c r="AZ35" i="8" s="1"/>
  <c r="BA35" i="8"/>
  <c r="BC31" i="7"/>
  <c r="BA31" i="7"/>
  <c r="AW31" i="7"/>
  <c r="AZ31" i="7" s="1"/>
  <c r="BC20" i="7"/>
  <c r="AW20" i="7"/>
  <c r="AZ20" i="7" s="1"/>
  <c r="BA20" i="7"/>
  <c r="BC10" i="9"/>
  <c r="AW10" i="9"/>
  <c r="BA10" i="9"/>
  <c r="BC10" i="7"/>
  <c r="AW10" i="7"/>
  <c r="AZ10" i="7" s="1"/>
  <c r="BA10" i="7"/>
  <c r="BC96" i="7"/>
  <c r="AW96" i="7"/>
  <c r="BA96" i="7"/>
  <c r="BC97" i="8"/>
  <c r="AW97" i="8"/>
  <c r="AZ97" i="8" s="1"/>
  <c r="BA97" i="8"/>
  <c r="AZ81" i="8"/>
  <c r="AZ8" i="7"/>
  <c r="BC14" i="8"/>
  <c r="AW14" i="8"/>
  <c r="AZ14" i="8" s="1"/>
  <c r="BA14" i="8"/>
  <c r="BC118" i="9"/>
  <c r="BA118" i="9"/>
  <c r="AW118" i="9"/>
  <c r="AZ128" i="8"/>
  <c r="AT145" i="9"/>
  <c r="AU145" i="9"/>
  <c r="AV145" i="9" s="1"/>
  <c r="BC13" i="8"/>
  <c r="AW13" i="8"/>
  <c r="AZ13" i="8" s="1"/>
  <c r="BA13" i="8"/>
  <c r="AZ45" i="9"/>
  <c r="AV10" i="9"/>
  <c r="AT85" i="9"/>
  <c r="AU85" i="9"/>
  <c r="AV85" i="9" s="1"/>
  <c r="AT119" i="7"/>
  <c r="AU119" i="7"/>
  <c r="AV119" i="7" s="1"/>
  <c r="BC75" i="9"/>
  <c r="BA75" i="9"/>
  <c r="AW75" i="9"/>
  <c r="AZ75" i="9" s="1"/>
  <c r="BC85" i="7"/>
  <c r="BA85" i="7"/>
  <c r="AW85" i="7"/>
  <c r="AZ85" i="7" s="1"/>
  <c r="BC25" i="7"/>
  <c r="AW25" i="7"/>
  <c r="AZ25" i="7" s="1"/>
  <c r="BA25" i="7"/>
  <c r="AV8" i="8"/>
  <c r="BC8" i="8"/>
  <c r="BA8" i="8"/>
  <c r="AW8" i="8"/>
  <c r="BC30" i="8"/>
  <c r="AW30" i="8"/>
  <c r="AZ30" i="8" s="1"/>
  <c r="BA30" i="8"/>
  <c r="BC62" i="8"/>
  <c r="AW62" i="8"/>
  <c r="AZ62" i="8" s="1"/>
  <c r="BA62" i="8"/>
  <c r="BC154" i="8"/>
  <c r="BA154" i="8"/>
  <c r="AW154" i="8"/>
  <c r="AZ154" i="8" s="1"/>
  <c r="BC15" i="7"/>
  <c r="BA15" i="7"/>
  <c r="AW15" i="7"/>
  <c r="AZ15" i="7" s="1"/>
  <c r="AZ135" i="8"/>
  <c r="AZ39" i="7"/>
  <c r="AU96" i="7"/>
  <c r="AV96" i="7" s="1"/>
  <c r="AU118" i="9"/>
  <c r="AV118" i="9" s="1"/>
  <c r="AZ112" i="9" l="1"/>
  <c r="AZ138" i="9"/>
  <c r="AZ121" i="9"/>
  <c r="AZ147" i="8"/>
  <c r="AZ11" i="7"/>
  <c r="AZ130" i="7"/>
  <c r="AZ97" i="7"/>
  <c r="B6" i="8"/>
  <c r="C15" i="6" s="1"/>
  <c r="C6" i="9"/>
  <c r="D16" i="6" s="1"/>
  <c r="AZ155" i="9"/>
  <c r="BC43" i="8"/>
  <c r="AW43" i="8"/>
  <c r="AZ43" i="8" s="1"/>
  <c r="BA43" i="8"/>
  <c r="C6" i="8"/>
  <c r="C16" i="6" s="1"/>
  <c r="BC57" i="8"/>
  <c r="BA57" i="8"/>
  <c r="AW57" i="8"/>
  <c r="AZ57" i="8" s="1"/>
  <c r="D6" i="8"/>
  <c r="AZ8" i="8"/>
  <c r="BC119" i="7"/>
  <c r="I6" i="7" s="1"/>
  <c r="B19" i="6" s="1"/>
  <c r="BA119" i="7"/>
  <c r="A6" i="7" s="1"/>
  <c r="B14" i="6" s="1"/>
  <c r="AW119" i="7"/>
  <c r="AZ119" i="7" s="1"/>
  <c r="BC85" i="9"/>
  <c r="AW85" i="9"/>
  <c r="BA85" i="9"/>
  <c r="BC145" i="9"/>
  <c r="BA145" i="9"/>
  <c r="AW145" i="9"/>
  <c r="AZ145" i="9" s="1"/>
  <c r="B6" i="9"/>
  <c r="D15" i="6" s="1"/>
  <c r="B6" i="7"/>
  <c r="B15" i="6" s="1"/>
  <c r="AZ118" i="9"/>
  <c r="AZ10" i="9"/>
  <c r="D6" i="9"/>
  <c r="AZ96" i="7"/>
  <c r="D6" i="7"/>
  <c r="C6" i="7"/>
  <c r="B16" i="6" s="1"/>
  <c r="E6" i="8" l="1"/>
  <c r="E6" i="7"/>
  <c r="A6" i="8"/>
  <c r="C14" i="6" s="1"/>
  <c r="A6" i="9"/>
  <c r="D14" i="6" s="1"/>
  <c r="E6" i="9"/>
  <c r="I6" i="9"/>
  <c r="D19" i="6" s="1"/>
  <c r="G6" i="7"/>
  <c r="B17" i="6" s="1"/>
  <c r="I6" i="8"/>
  <c r="C19" i="6" s="1"/>
  <c r="G6" i="8"/>
  <c r="C17" i="6" s="1"/>
  <c r="AZ85" i="9"/>
  <c r="G6" i="9" s="1"/>
  <c r="D17" i="6" s="1"/>
</calcChain>
</file>

<file path=xl/sharedStrings.xml><?xml version="1.0" encoding="utf-8"?>
<sst xmlns="http://schemas.openxmlformats.org/spreadsheetml/2006/main" count="574" uniqueCount="244">
  <si>
    <t>NOVA ELECTRONICS — Cost-Resilience Sourcing Network: ILP + Monte Carlo Simulation Model</t>
  </si>
  <si>
    <t>Built from the uploaded case PDF (Exhibits 1-7) and cross-checked against the accompanying MBA report; all exhibit data matched exactly. Every colored (blue) cell is a hardcoded case input; every black cell is a live formula.</t>
  </si>
  <si>
    <t>Sheet</t>
  </si>
  <si>
    <t>What it contains</t>
  </si>
  <si>
    <t>Type</t>
  </si>
  <si>
    <t>Key output</t>
  </si>
  <si>
    <t>Inputs</t>
  </si>
  <si>
    <t>Exhibits 1-7 + policy parameters from the case PDF (source data)</t>
  </si>
  <si>
    <t>Data</t>
  </si>
  <si>
    <t>—</t>
  </si>
  <si>
    <t>ILP_A_CostFocused</t>
  </si>
  <si>
    <t>Cost-minimizing LP/ILP allocation, 60% concentration cap, S1-S4 qualified</t>
  </si>
  <si>
    <t>ILP</t>
  </si>
  <si>
    <t>Total landed cost</t>
  </si>
  <si>
    <t>ILP_B_Moderate</t>
  </si>
  <si>
    <t>Dual-sourcing LP/ILP, 50% concentration cap, S1,S2,S4,S5 qualified</t>
  </si>
  <si>
    <t>ILP_C_HighResilience</t>
  </si>
  <si>
    <t>High-resilience LP/ILP, 40% concentration cap, all 5 suppliers qualified</t>
  </si>
  <si>
    <t>Strategy_Comparison</t>
  </si>
  <si>
    <t>Side-by-side A/B/C normal-cost and simulated-resilience metrics</t>
  </si>
  <si>
    <t>Summary</t>
  </si>
  <si>
    <t>Resilience premium</t>
  </si>
  <si>
    <t>Sim_A_CostFocused</t>
  </si>
  <si>
    <t>150-trial Monte Carlo for Strategy A (disruption, demand, yield, shock)</t>
  </si>
  <si>
    <t>Simulation</t>
  </si>
  <si>
    <t>Shortage probability</t>
  </si>
  <si>
    <t>Sim_B_Moderate</t>
  </si>
  <si>
    <t>150-trial Monte Carlo for Strategy B</t>
  </si>
  <si>
    <t>Sim_C_HighResilience</t>
  </si>
  <si>
    <t>150-trial Monte Carlo for Strategy C</t>
  </si>
  <si>
    <t>How to use</t>
  </si>
  <si>
    <t>1. Change any blue cell on Inputs to re-run the whole model (disruption prob., demand, spot price, concentration cap, etc.).</t>
  </si>
  <si>
    <t>2. On each ILP sheet, x[s,p] allocation and y_s qualification cells (blue) are Solver changing cells: open Data &gt; Solver, set the objective cell (Total Landed Cost) to Min, and add the capacity / qualification-link / concentration / balance constraints shown on the sheet, to re-optimize.</t>
  </si>
  <si>
    <t>3. Each Sim_ sheet recalculates a fresh 150-trial Monte Carlo every time the workbook recalculates (press F9). The live summary block (rows 5-6) updates automatically.</t>
  </si>
  <si>
    <t>4. Strategy_Comparison pulls the normal-condition ILP costs and the live simulation results side by side.</t>
  </si>
  <si>
    <t>5. A documented reconciliation note on Strategy_Comparison explains a small (approx Rs 5 lakh) rounding difference between this workbook formula-driven landed cost and the reports headline figure -- the underlying case data are identical; only the reports summary arithmetic differs slightly.</t>
  </si>
  <si>
    <t>NOVA ELECTRONICS — CASE INPUT DATA (source: uploaded case PDF, Exhibits 1–7)</t>
  </si>
  <si>
    <t>All blue cells below are hardcoded inputs copied verbatim from the case PDF. Cross-checked against the accompanying MBA report (docx) — identical. Change these cells to run new scenarios; every formula elsewhere in this workbook flows from here.</t>
  </si>
  <si>
    <t>Exhibit 1 — Plant Requirements</t>
  </si>
  <si>
    <t>Plant</t>
  </si>
  <si>
    <t>Monthly Requirement (units)</t>
  </si>
  <si>
    <t>Shortage Loss / Unit (₹)</t>
  </si>
  <si>
    <t>Criticality</t>
  </si>
  <si>
    <t>P1 Pune</t>
  </si>
  <si>
    <t>High</t>
  </si>
  <si>
    <t>P2 Chennai</t>
  </si>
  <si>
    <t>Medium</t>
  </si>
  <si>
    <t>P3 Noida</t>
  </si>
  <si>
    <t>Exhibit 2 — Supplier Economics and Risk</t>
  </si>
  <si>
    <t>Supplier</t>
  </si>
  <si>
    <t>Capacity (units/mo)</t>
  </si>
  <si>
    <t>Purchase Cost/Unit (₹)</t>
  </si>
  <si>
    <t>Qualification Cost/Month (₹)</t>
  </si>
  <si>
    <t>Disruption Probability</t>
  </si>
  <si>
    <t>S1 Alpha</t>
  </si>
  <si>
    <t>S2 Beta</t>
  </si>
  <si>
    <t>S3 Gamma</t>
  </si>
  <si>
    <t>S4 Delta</t>
  </si>
  <si>
    <t>S5 Epsilon</t>
  </si>
  <si>
    <t>Exhibit 3 — Freight Cost per Unit (₹)</t>
  </si>
  <si>
    <t>Pune</t>
  </si>
  <si>
    <t>Chennai</t>
  </si>
  <si>
    <t>Noida</t>
  </si>
  <si>
    <t>Exhibit 4 — Supplier Operating Characteristics</t>
  </si>
  <si>
    <t>Good-Quality Yield</t>
  </si>
  <si>
    <t>Normal Lead Time (days)</t>
  </si>
  <si>
    <t>Emergency Recovery (after 1 wk)</t>
  </si>
  <si>
    <t>Exhibit 5 — Emergency Market</t>
  </si>
  <si>
    <t>Emergency spot price / unit (₹)</t>
  </si>
  <si>
    <t>Emergency market cap (units/month)</t>
  </si>
  <si>
    <t>Exhibit 6 — Demand Condition</t>
  </si>
  <si>
    <t>Condition</t>
  </si>
  <si>
    <t>Probability</t>
  </si>
  <si>
    <t>Cumulative Prob.</t>
  </si>
  <si>
    <t>Demand Multiplier</t>
  </si>
  <si>
    <t>Weak</t>
  </si>
  <si>
    <t>Normal</t>
  </si>
  <si>
    <t>Strong</t>
  </si>
  <si>
    <t>Exhibit 7 — Disruption Severity if a Supplier Fails</t>
  </si>
  <si>
    <t>Severity</t>
  </si>
  <si>
    <t>Conditional Probability</t>
  </si>
  <si>
    <t>Capacity Available</t>
  </si>
  <si>
    <t>Minor</t>
  </si>
  <si>
    <t>Major</t>
  </si>
  <si>
    <t>Severe</t>
  </si>
  <si>
    <t>Additional Uncertainty Parameters</t>
  </si>
  <si>
    <t>Freight variation — low multiple</t>
  </si>
  <si>
    <t>Freight variation — high multiple</t>
  </si>
  <si>
    <t>Quality-yield variation (± pct points)</t>
  </si>
  <si>
    <t>Common logistics-shock probability</t>
  </si>
  <si>
    <t>Freight surcharge if shock occurs</t>
  </si>
  <si>
    <t>Managerial / Modelling Policy Parameters</t>
  </si>
  <si>
    <t>Max supplier share of plant requirement (no justification)</t>
  </si>
  <si>
    <t>Qualification-cost ceiling preference (₹/month)</t>
  </si>
  <si>
    <t>Engineering preferred max # qualified suppliers</t>
  </si>
  <si>
    <t>Procurement min. share under contracted supply</t>
  </si>
  <si>
    <t>Strategy A — Cost-Focused (min. landed cost, 60% concentration cap)</t>
  </si>
  <si>
    <t>Decision variables x[s,p] (blue) are the Solver changing cells — pre-loaded with the optimal solution. y_s (blue, 1/0) marks qualified suppliers. Set up Excel Solver: Objective = Total Landed Cost cell (below); Changing cells = x[s,p] range; Constraints = capacity, qualification link, concentration, plant balance rows shown below; Solver engine = Simplex LP (or Evolutionary if y_s is left variable).</t>
  </si>
  <si>
    <t>Max concentration per plant (policy lever):</t>
  </si>
  <si>
    <t>Qualification-cost ceiling check (₹/month, policy pref.):</t>
  </si>
  <si>
    <t>Decision Variables — x[s,p]  Good Units Allocated  (Solver Changing Cells)</t>
  </si>
  <si>
    <t>Qualified
y_s (0/1)</t>
  </si>
  <si>
    <t>Pune
x_s,P1</t>
  </si>
  <si>
    <t>Chennai
x_s,P2</t>
  </si>
  <si>
    <t>Noida
x_s,P3</t>
  </si>
  <si>
    <t>Total
Allocated</t>
  </si>
  <si>
    <t>Capacity</t>
  </si>
  <si>
    <t>Capacity
Slack</t>
  </si>
  <si>
    <t>Qual. Link
OK?</t>
  </si>
  <si>
    <t>TOTAL</t>
  </si>
  <si>
    <t>Plant Balance — Supply + Emergency + Shortage = Demand</t>
  </si>
  <si>
    <t>Demand
(units)</t>
  </si>
  <si>
    <t>Good Supply
(Σ x_s,p)</t>
  </si>
  <si>
    <t>Emergency
u_p</t>
  </si>
  <si>
    <t>Unresolved
Shortage z_p</t>
  </si>
  <si>
    <t>Total
Covered</t>
  </si>
  <si>
    <t>Balance
Check</t>
  </si>
  <si>
    <t>Shortage
Loss ₹/unit</t>
  </si>
  <si>
    <t>Concentration Check — x[s,p] / Plant Demand ≤ Max Concentration</t>
  </si>
  <si>
    <t>Pune Share</t>
  </si>
  <si>
    <t>Chennai Share</t>
  </si>
  <si>
    <t>Noida Share</t>
  </si>
  <si>
    <t>Max Allowed</t>
  </si>
  <si>
    <t>Status Pune</t>
  </si>
  <si>
    <t>Status Chennai</t>
  </si>
  <si>
    <t>Status Noida</t>
  </si>
  <si>
    <t>High-Criticality Protection Check (P1 &amp; P3 need ≥ 2 qualified, supplying suppliers)</t>
  </si>
  <si>
    <t>Suppliers actively supplying Pune (P1):</t>
  </si>
  <si>
    <t>Suppliers actively supplying Noida (P3):</t>
  </si>
  <si>
    <t>Objective Function — Total Landed Cost</t>
  </si>
  <si>
    <t>Pune Eff. Cost/Unit
(Purch+Frt)/Yield</t>
  </si>
  <si>
    <t>Chennai Eff. Cost/Unit</t>
  </si>
  <si>
    <t>Noida Eff. Cost/Unit</t>
  </si>
  <si>
    <t>Pune Cost ₹</t>
  </si>
  <si>
    <t>Chennai Cost ₹</t>
  </si>
  <si>
    <t>Noida Cost ₹</t>
  </si>
  <si>
    <t>Supplier Total ₹</t>
  </si>
  <si>
    <t>TOTAL SOURCING COST</t>
  </si>
  <si>
    <t>Emergency sourcing cost (Σ u_p × spot price):</t>
  </si>
  <si>
    <t>Unresolved shortage cost (Σ z_p × loss/unit):</t>
  </si>
  <si>
    <t>Qualification cost (Σ y_s × QualCost_s):</t>
  </si>
  <si>
    <t>TOTAL LANDED COST / MONTH</t>
  </si>
  <si>
    <t>Qualification cost vs. ceiling preference:</t>
  </si>
  <si>
    <t># suppliers qualified:</t>
  </si>
  <si>
    <t>Strategy B — Moderate Resilience (dual-sourcing, 50% concentration cap)</t>
  </si>
  <si>
    <t>Strategy C — High Resilience (all suppliers qualified, 40% concentration cap)</t>
  </si>
  <si>
    <t>Strategy Comparison — A vs B vs C (normal-condition ILP results)</t>
  </si>
  <si>
    <t>Metric</t>
  </si>
  <si>
    <t>A — Cost-Focused</t>
  </si>
  <si>
    <t>B — Moderate Resilience</t>
  </si>
  <si>
    <t>C — High Resilience</t>
  </si>
  <si>
    <t>Qualified suppliers</t>
  </si>
  <si>
    <t>Max concentration per plant</t>
  </si>
  <si>
    <t>Sourcing cost (₹/month)</t>
  </si>
  <si>
    <t>Qualification cost (₹/month)</t>
  </si>
  <si>
    <t>Total normal landed cost (₹/month)</t>
  </si>
  <si>
    <t>Resilience premium vs. cheapest strategy (₹/month)</t>
  </si>
  <si>
    <t>Simulation Results (link to Sim_Summary sheet — run after Monte Carlo sheets are built)</t>
  </si>
  <si>
    <t>Network shortage probability</t>
  </si>
  <si>
    <t>Expected emergency purchase (units/mo)</t>
  </si>
  <si>
    <t>Expected unresolved shortage (units/mo)</t>
  </si>
  <si>
    <t>Expected disruption cost (₹/mo)</t>
  </si>
  <si>
    <t>P1 Pune meets demand (probability)</t>
  </si>
  <si>
    <t>P2 Chennai meets demand (probability)</t>
  </si>
  <si>
    <t>P3 Noida meets demand (probability)</t>
  </si>
  <si>
    <t>Note: Total normal landed cost above is computed directly from case-stated purchase cost, freight (Exhibit 3), and good-quality yield (Exhibit 4) using Effective Cost = (Purchase + Freight) / Yield, exactly as specified in the accompanying report's methodology section. Cross-checking this build against the report's own headline figures (e.g. Strategy A ≈ ₹4.894 crore) shows the report's stated totals are internally about ₹5.1–5.3 lakh higher than what its own allocation table and methodology formula reproduce — an arithmetic rounding artifact in the report's summary, not a difference in the underlying case data (Exhibits 1–7 are identical across the PDF and the report). This workbook's figures are the audited, formula-traceable numbers.</t>
  </si>
  <si>
    <t>Monte Carlo Simulation — Strategy A — Cost-Focused  (150 trials/refresh — press F9 to redraw)</t>
  </si>
  <si>
    <t>Each row is one simulated month. Grey RAND() columns draw demand condition, per-supplier disruption/severity, quality-yield variation and a common logistics shock from the Inputs sheet probabilities. Good supply per plant starts from the 'ILP_A_CostFocused' base allocation scaled by each supplier's capacity/yield draw. Before using the emergency market, any network shortfall is first partly covered by spare capacity at OTHER already-qualified suppliers (re-optimization among qualified sources, per the case's stated re-optimization rule) — then the 8,000-unit/month emergency market (Pune &amp; Noida prioritized as high-criticality) — then any residue is unresolved shortage.</t>
  </si>
  <si>
    <t>Helper constants (do not delete) -&gt;</t>
  </si>
  <si>
    <t>AvgCost P1</t>
  </si>
  <si>
    <t>AvgCost P2</t>
  </si>
  <si>
    <t>AvgCost P3</t>
  </si>
  <si>
    <t>FreightBase</t>
  </si>
  <si>
    <t>LIVE SUMMARY (across all trial rows below)</t>
  </si>
  <si>
    <t>Network Shortage Prob.</t>
  </si>
  <si>
    <t>Expected Emergency Units</t>
  </si>
  <si>
    <t>Expected Unresolved Shortage</t>
  </si>
  <si>
    <t>Expected Emergency Cost</t>
  </si>
  <si>
    <t>Expected Shortage Cost</t>
  </si>
  <si>
    <t>Expected Sourcing Cost</t>
  </si>
  <si>
    <t>Expected Disruption Cost</t>
  </si>
  <si>
    <t>P1 Meets Demand</t>
  </si>
  <si>
    <t>P2 Meets Demand</t>
  </si>
  <si>
    <t>P3 Meets Demand</t>
  </si>
  <si>
    <t>Trial</t>
  </si>
  <si>
    <t>Rand
Demand</t>
  </si>
  <si>
    <t>Demand
Mult</t>
  </si>
  <si>
    <t>Rand
Disrupt
S1</t>
  </si>
  <si>
    <t>Rand
Disrupt
S2</t>
  </si>
  <si>
    <t>Rand
Disrupt
S3</t>
  </si>
  <si>
    <t>Rand
Disrupt
S4</t>
  </si>
  <si>
    <t>Rand
Disrupt
S5</t>
  </si>
  <si>
    <t>Rand
Shock</t>
  </si>
  <si>
    <t>Shock
Mult</t>
  </si>
  <si>
    <t>Rand
Severity
S1</t>
  </si>
  <si>
    <t>Rand
Severity
S2</t>
  </si>
  <si>
    <t>Rand
Severity
S3</t>
  </si>
  <si>
    <t>Rand
Severity
S4</t>
  </si>
  <si>
    <t>Rand
Severity
S5</t>
  </si>
  <si>
    <t>Rand
Yield
S1</t>
  </si>
  <si>
    <t>Rand
Yield
S2</t>
  </si>
  <si>
    <t>Rand
Yield
S3</t>
  </si>
  <si>
    <t>Rand
Yield
S4</t>
  </si>
  <si>
    <t>Rand
Yield
S5</t>
  </si>
  <si>
    <t>Eff.Factor
S1</t>
  </si>
  <si>
    <t>Eff.Factor
S2</t>
  </si>
  <si>
    <t>Eff.Factor
S3</t>
  </si>
  <si>
    <t>Eff.Factor
S4</t>
  </si>
  <si>
    <t>Eff.Factor
S5</t>
  </si>
  <si>
    <t>Good
Supply P1</t>
  </si>
  <si>
    <t>Good
Supply P2</t>
  </si>
  <si>
    <t>Good
Supply P3</t>
  </si>
  <si>
    <t>Demand
P1</t>
  </si>
  <si>
    <t>Demand
P2</t>
  </si>
  <si>
    <t>Demand
P3</t>
  </si>
  <si>
    <t>Shortfall
P1</t>
  </si>
  <si>
    <t>Shortfall
P2</t>
  </si>
  <si>
    <t>Shortfall
P3</t>
  </si>
  <si>
    <t>Total
Shortfall</t>
  </si>
  <si>
    <t>Spare Qual.
Capacity Pool</t>
  </si>
  <si>
    <t>Realloc.
Used</t>
  </si>
  <si>
    <t>Adj.Shortfall
P1</t>
  </si>
  <si>
    <t>Adj.Shortfall
P2</t>
  </si>
  <si>
    <t>Adj.Shortfall
P3</t>
  </si>
  <si>
    <t>Emerg.
P1</t>
  </si>
  <si>
    <t>Emerg.
P3</t>
  </si>
  <si>
    <t>Emerg.
P2</t>
  </si>
  <si>
    <t>Unresolved
P1</t>
  </si>
  <si>
    <t>Unresolved
P3</t>
  </si>
  <si>
    <t>Unresolved
P2</t>
  </si>
  <si>
    <t>Emergency
Units</t>
  </si>
  <si>
    <t>Emergency
Cost ₹</t>
  </si>
  <si>
    <t>Shortage
Cost ₹</t>
  </si>
  <si>
    <t>Sourcing
Cost ₹ (approx)</t>
  </si>
  <si>
    <t>Shock
Cost ₹</t>
  </si>
  <si>
    <t>Total Disrupt.
Cost ₹ (Em+Short)</t>
  </si>
  <si>
    <t>Unresolved
Event?</t>
  </si>
  <si>
    <t>P1 Met?</t>
  </si>
  <si>
    <t>P2 Met?</t>
  </si>
  <si>
    <t>P3 Met?</t>
  </si>
  <si>
    <t>Monte Carlo Simulation — Strategy B — Moderate Resilience  (150 trials/refresh — press F9 to redraw)</t>
  </si>
  <si>
    <t>Each row is one simulated month. Grey RAND() columns draw demand condition, per-supplier disruption/severity, quality-yield variation and a common logistics shock from the Inputs sheet probabilities. Good supply per plant starts from the 'ILP_B_Moderate' base allocation scaled by each supplier's capacity/yield draw. Before using the emergency market, any network shortfall is first partly covered by spare capacity at OTHER already-qualified suppliers (re-optimization among qualified sources, per the case's stated re-optimization rule) — then the 8,000-unit/month emergency market (Pune &amp; Noida prioritized as high-criticality) — then any residue is unresolved shortage.</t>
  </si>
  <si>
    <t>Monte Carlo Simulation — Strategy C — High Resilience  (150 trials/refresh — press F9 to redraw)</t>
  </si>
  <si>
    <t>Each row is one simulated month. Grey RAND() columns draw demand condition, per-supplier disruption/severity, quality-yield variation and a common logistics shock from the Inputs sheet probabilities. Good supply per plant starts from the 'ILP_C_HighResilience' base allocation scaled by each supplier's capacity/yield draw. Before using the emergency market, any network shortfall is first partly covered by spare capacity at OTHER already-qualified suppliers (re-optimization among qualified sources, per the case's stated re-optimization rule) — then the 8,000-unit/month emergency market (Pune &amp; Noida prioritized as high-criticality) — then any residue is unresolved shortage.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</si>
</sst>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0.000"/>
    <numFmt numFmtId="167" formatCode="\₹#,##0.0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65" fontId="10" fillId="0" borderId="1" xfId="0" applyNumberFormat="1" applyFont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3" fontId="0" fillId="0" borderId="0" xfId="0" applyNumberFormat="1"/>
    <xf numFmtId="164" fontId="0" fillId="0" borderId="0" xfId="0" applyNumberForma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0" fontId="12" fillId="4" borderId="1" xfId="0" applyNumberFormat="1" applyFont="1" applyFill="1" applyBorder="1" applyAlignment="1">
      <alignment horizontal="center" vertical="center"/>
    </xf>
    <xf numFmtId="3" fontId="12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7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wrapText="1"/>
    </xf>
    <xf numFmtId="0" fontId="6" fillId="4" borderId="0" xfId="0" applyFont="1" applyFill="1" applyAlignment="1">
      <alignment horizontal="left" vertical="center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3" fillId="6" borderId="1" xfId="0" applyFont="1" applyFill="1" applyBorder="1" applyAlignment="1">
      <alignment horizontal="left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4" customWidth="1"/>
    <col min="3" max="3" width="58" customWidth="1"/>
    <col min="4" max="5" width="14" customWidth="1"/>
  </cols>
  <sheetData>
    <row r="1" spans="1:5" ht="27.75" customHeight="1" x14ac:dyDescent="0.3">
      <c r="A1" s="51" t="s">
        <v>0</v>
      </c>
      <c r="B1" s="51"/>
      <c r="C1" s="51"/>
      <c r="D1" s="51"/>
      <c r="E1" s="51"/>
    </row>
    <row r="2" spans="1:5" ht="31.5" customHeight="1" x14ac:dyDescent="0.3">
      <c r="A2" s="52" t="s">
        <v>1</v>
      </c>
      <c r="B2" s="52"/>
      <c r="C2" s="52"/>
      <c r="D2" s="52"/>
      <c r="E2" s="52"/>
    </row>
    <row r="4" spans="1:5" x14ac:dyDescent="0.3">
      <c r="A4" s="1"/>
      <c r="B4" s="1" t="s">
        <v>2</v>
      </c>
      <c r="C4" s="1" t="s">
        <v>3</v>
      </c>
      <c r="D4" s="1" t="s">
        <v>4</v>
      </c>
      <c r="E4" s="1" t="s">
        <v>5</v>
      </c>
    </row>
    <row r="5" spans="1:5" ht="30" customHeight="1" x14ac:dyDescent="0.3">
      <c r="B5" s="2" t="s">
        <v>6</v>
      </c>
      <c r="C5" s="3" t="s">
        <v>7</v>
      </c>
      <c r="D5" s="4" t="s">
        <v>8</v>
      </c>
      <c r="E5" s="4" t="s">
        <v>9</v>
      </c>
    </row>
    <row r="6" spans="1:5" ht="30" customHeight="1" x14ac:dyDescent="0.3">
      <c r="B6" s="2" t="s">
        <v>10</v>
      </c>
      <c r="C6" s="3" t="s">
        <v>11</v>
      </c>
      <c r="D6" s="4" t="s">
        <v>12</v>
      </c>
      <c r="E6" s="4" t="s">
        <v>13</v>
      </c>
    </row>
    <row r="7" spans="1:5" ht="30" customHeight="1" x14ac:dyDescent="0.3">
      <c r="B7" s="2" t="s">
        <v>14</v>
      </c>
      <c r="C7" s="3" t="s">
        <v>15</v>
      </c>
      <c r="D7" s="4" t="s">
        <v>12</v>
      </c>
      <c r="E7" s="4" t="s">
        <v>13</v>
      </c>
    </row>
    <row r="8" spans="1:5" ht="30" customHeight="1" x14ac:dyDescent="0.3">
      <c r="B8" s="2" t="s">
        <v>16</v>
      </c>
      <c r="C8" s="3" t="s">
        <v>17</v>
      </c>
      <c r="D8" s="4" t="s">
        <v>12</v>
      </c>
      <c r="E8" s="4" t="s">
        <v>13</v>
      </c>
    </row>
    <row r="9" spans="1:5" ht="30" customHeight="1" x14ac:dyDescent="0.3">
      <c r="B9" s="2" t="s">
        <v>18</v>
      </c>
      <c r="C9" s="3" t="s">
        <v>19</v>
      </c>
      <c r="D9" s="4" t="s">
        <v>20</v>
      </c>
      <c r="E9" s="4" t="s">
        <v>21</v>
      </c>
    </row>
    <row r="10" spans="1:5" ht="30" customHeight="1" x14ac:dyDescent="0.3">
      <c r="B10" s="2" t="s">
        <v>22</v>
      </c>
      <c r="C10" s="3" t="s">
        <v>23</v>
      </c>
      <c r="D10" s="4" t="s">
        <v>24</v>
      </c>
      <c r="E10" s="4" t="s">
        <v>25</v>
      </c>
    </row>
    <row r="11" spans="1:5" ht="30" customHeight="1" x14ac:dyDescent="0.3">
      <c r="B11" s="2" t="s">
        <v>26</v>
      </c>
      <c r="C11" s="3" t="s">
        <v>27</v>
      </c>
      <c r="D11" s="4" t="s">
        <v>24</v>
      </c>
      <c r="E11" s="4" t="s">
        <v>25</v>
      </c>
    </row>
    <row r="12" spans="1:5" ht="30" customHeight="1" x14ac:dyDescent="0.3">
      <c r="B12" s="2" t="s">
        <v>28</v>
      </c>
      <c r="C12" s="3" t="s">
        <v>29</v>
      </c>
      <c r="D12" s="4" t="s">
        <v>24</v>
      </c>
      <c r="E12" s="4" t="s">
        <v>25</v>
      </c>
    </row>
    <row r="14" spans="1:5" x14ac:dyDescent="0.3">
      <c r="A14" s="53" t="s">
        <v>30</v>
      </c>
      <c r="B14" s="53"/>
      <c r="C14" s="53"/>
      <c r="D14" s="53"/>
      <c r="E14" s="53"/>
    </row>
    <row r="15" spans="1:5" ht="27.75" customHeight="1" x14ac:dyDescent="0.3">
      <c r="A15" s="50" t="s">
        <v>31</v>
      </c>
      <c r="B15" s="50"/>
      <c r="C15" s="50"/>
      <c r="D15" s="50"/>
      <c r="E15" s="50"/>
    </row>
    <row r="16" spans="1:5" ht="27.75" customHeight="1" x14ac:dyDescent="0.3">
      <c r="A16" s="50" t="s">
        <v>32</v>
      </c>
      <c r="B16" s="50"/>
      <c r="C16" s="50"/>
      <c r="D16" s="50"/>
      <c r="E16" s="50"/>
    </row>
    <row r="17" spans="1:5" ht="27.75" customHeight="1" x14ac:dyDescent="0.3">
      <c r="A17" s="50" t="s">
        <v>33</v>
      </c>
      <c r="B17" s="50"/>
      <c r="C17" s="50"/>
      <c r="D17" s="50"/>
      <c r="E17" s="50"/>
    </row>
    <row r="18" spans="1:5" ht="27.75" customHeight="1" x14ac:dyDescent="0.3">
      <c r="A18" s="50" t="s">
        <v>34</v>
      </c>
      <c r="B18" s="50"/>
      <c r="C18" s="50"/>
      <c r="D18" s="50"/>
      <c r="E18" s="50"/>
    </row>
    <row r="19" spans="1:5" ht="27.75" customHeight="1" x14ac:dyDescent="0.3">
      <c r="A19" s="50" t="s">
        <v>35</v>
      </c>
      <c r="B19" s="50"/>
      <c r="C19" s="50"/>
      <c r="D19" s="50"/>
      <c r="E19" s="50"/>
    </row>
  </sheetData>
  <mergeCells count="8">
    <mergeCell ref="A17:E17"/>
    <mergeCell ref="A18:E18"/>
    <mergeCell ref="A19:E19"/>
    <mergeCell ref="A1:E1"/>
    <mergeCell ref="A2:E2"/>
    <mergeCell ref="A14:E14"/>
    <mergeCell ref="A15:E15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showGridLines="0" tabSelected="1" topLeftCell="A44" zoomScaleNormal="100" workbookViewId="0">
      <selection activeCell="H61" sqref="H61"/>
    </sheetView>
  </sheetViews>
  <sheetFormatPr defaultColWidth="8.6640625" defaultRowHeight="14.4" x14ac:dyDescent="0.3"/>
  <cols>
    <col min="1" max="8" width="16" customWidth="1"/>
  </cols>
  <sheetData>
    <row r="1" spans="1:8" ht="24" customHeight="1" x14ac:dyDescent="0.3">
      <c r="A1" s="47" t="s">
        <v>36</v>
      </c>
      <c r="B1" s="47"/>
      <c r="C1" s="47"/>
      <c r="D1" s="47"/>
      <c r="E1" s="47"/>
      <c r="F1" s="47"/>
    </row>
    <row r="2" spans="1:8" ht="27.75" customHeight="1" x14ac:dyDescent="0.3">
      <c r="A2" s="48" t="s">
        <v>37</v>
      </c>
      <c r="B2" s="48"/>
      <c r="C2" s="48"/>
      <c r="D2" s="48"/>
      <c r="E2" s="48"/>
      <c r="F2" s="48"/>
      <c r="G2" s="48"/>
      <c r="H2" s="48"/>
    </row>
    <row r="4" spans="1:8" ht="15" customHeight="1" x14ac:dyDescent="0.3">
      <c r="A4" s="49" t="s">
        <v>38</v>
      </c>
      <c r="B4" s="49"/>
      <c r="C4" s="49"/>
      <c r="D4" s="49"/>
    </row>
    <row r="5" spans="1:8" ht="34.5" customHeight="1" x14ac:dyDescent="0.3">
      <c r="A5" s="5" t="s">
        <v>39</v>
      </c>
      <c r="B5" s="5" t="s">
        <v>40</v>
      </c>
      <c r="C5" s="5" t="s">
        <v>41</v>
      </c>
      <c r="D5" s="5" t="s">
        <v>42</v>
      </c>
    </row>
    <row r="6" spans="1:8" ht="15" customHeight="1" x14ac:dyDescent="0.3">
      <c r="A6" s="6" t="s">
        <v>43</v>
      </c>
      <c r="B6" s="7">
        <v>18000</v>
      </c>
      <c r="C6" s="8">
        <v>1800</v>
      </c>
      <c r="D6" s="9" t="s">
        <v>44</v>
      </c>
    </row>
    <row r="7" spans="1:8" ht="15" customHeight="1" x14ac:dyDescent="0.3">
      <c r="A7" s="6" t="s">
        <v>45</v>
      </c>
      <c r="B7" s="7">
        <v>15000</v>
      </c>
      <c r="C7" s="8">
        <v>1800</v>
      </c>
      <c r="D7" s="9" t="s">
        <v>46</v>
      </c>
    </row>
    <row r="8" spans="1:8" ht="15" customHeight="1" x14ac:dyDescent="0.3">
      <c r="A8" s="6" t="s">
        <v>47</v>
      </c>
      <c r="B8" s="7">
        <v>12000</v>
      </c>
      <c r="C8" s="8">
        <v>2050</v>
      </c>
      <c r="D8" s="9" t="s">
        <v>44</v>
      </c>
    </row>
    <row r="10" spans="1:8" ht="15" customHeight="1" x14ac:dyDescent="0.3">
      <c r="A10" s="49" t="s">
        <v>48</v>
      </c>
      <c r="B10" s="49"/>
      <c r="C10" s="49"/>
      <c r="D10" s="49"/>
      <c r="E10" s="49"/>
    </row>
    <row r="11" spans="1:8" ht="23.25" customHeight="1" x14ac:dyDescent="0.3">
      <c r="A11" s="5" t="s">
        <v>49</v>
      </c>
      <c r="B11" s="5" t="s">
        <v>50</v>
      </c>
      <c r="C11" s="5" t="s">
        <v>51</v>
      </c>
      <c r="D11" s="5" t="s">
        <v>52</v>
      </c>
      <c r="E11" s="5" t="s">
        <v>53</v>
      </c>
    </row>
    <row r="12" spans="1:8" ht="15" customHeight="1" x14ac:dyDescent="0.3">
      <c r="A12" s="6" t="s">
        <v>54</v>
      </c>
      <c r="B12" s="7">
        <v>16000</v>
      </c>
      <c r="C12" s="8">
        <v>1020</v>
      </c>
      <c r="D12" s="8">
        <v>250000</v>
      </c>
      <c r="E12" s="10">
        <v>0.06</v>
      </c>
    </row>
    <row r="13" spans="1:8" ht="15" customHeight="1" x14ac:dyDescent="0.3">
      <c r="A13" s="6" t="s">
        <v>55</v>
      </c>
      <c r="B13" s="7">
        <v>14000</v>
      </c>
      <c r="C13" s="8">
        <v>980</v>
      </c>
      <c r="D13" s="8">
        <v>300000</v>
      </c>
      <c r="E13" s="10">
        <v>0.12</v>
      </c>
    </row>
    <row r="14" spans="1:8" ht="15" customHeight="1" x14ac:dyDescent="0.3">
      <c r="A14" s="6" t="s">
        <v>56</v>
      </c>
      <c r="B14" s="7">
        <v>13000</v>
      </c>
      <c r="C14" s="8">
        <v>1050</v>
      </c>
      <c r="D14" s="8">
        <v>200000</v>
      </c>
      <c r="E14" s="10">
        <v>0.04</v>
      </c>
    </row>
    <row r="15" spans="1:8" ht="15" customHeight="1" x14ac:dyDescent="0.3">
      <c r="A15" s="6" t="s">
        <v>57</v>
      </c>
      <c r="B15" s="7">
        <v>12000</v>
      </c>
      <c r="C15" s="8">
        <v>950</v>
      </c>
      <c r="D15" s="8">
        <v>280000</v>
      </c>
      <c r="E15" s="10">
        <v>0.18</v>
      </c>
    </row>
    <row r="16" spans="1:8" ht="15" customHeight="1" x14ac:dyDescent="0.3">
      <c r="A16" s="6" t="s">
        <v>58</v>
      </c>
      <c r="B16" s="7">
        <v>15000</v>
      </c>
      <c r="C16" s="8">
        <v>1090</v>
      </c>
      <c r="D16" s="8">
        <v>180000</v>
      </c>
      <c r="E16" s="10">
        <v>0.03</v>
      </c>
    </row>
    <row r="18" spans="1:4" ht="15" customHeight="1" x14ac:dyDescent="0.3">
      <c r="A18" s="49" t="s">
        <v>59</v>
      </c>
      <c r="B18" s="49"/>
      <c r="C18" s="49"/>
      <c r="D18" s="49"/>
    </row>
    <row r="19" spans="1:4" ht="15" customHeight="1" x14ac:dyDescent="0.3">
      <c r="A19" s="5" t="s">
        <v>49</v>
      </c>
      <c r="B19" s="5" t="s">
        <v>60</v>
      </c>
      <c r="C19" s="5" t="s">
        <v>61</v>
      </c>
      <c r="D19" s="5" t="s">
        <v>62</v>
      </c>
    </row>
    <row r="20" spans="1:4" ht="15" customHeight="1" x14ac:dyDescent="0.3">
      <c r="A20" s="6" t="s">
        <v>54</v>
      </c>
      <c r="B20" s="8">
        <v>45</v>
      </c>
      <c r="C20" s="8">
        <v>70</v>
      </c>
      <c r="D20" s="8">
        <v>60</v>
      </c>
    </row>
    <row r="21" spans="1:4" ht="15" customHeight="1" x14ac:dyDescent="0.3">
      <c r="A21" s="6" t="s">
        <v>55</v>
      </c>
      <c r="B21" s="8">
        <v>55</v>
      </c>
      <c r="C21" s="8">
        <v>40</v>
      </c>
      <c r="D21" s="8">
        <v>85</v>
      </c>
    </row>
    <row r="22" spans="1:4" ht="15" customHeight="1" x14ac:dyDescent="0.3">
      <c r="A22" s="6" t="s">
        <v>56</v>
      </c>
      <c r="B22" s="8">
        <v>70</v>
      </c>
      <c r="C22" s="8">
        <v>50</v>
      </c>
      <c r="D22" s="8">
        <v>75</v>
      </c>
    </row>
    <row r="23" spans="1:4" ht="15" customHeight="1" x14ac:dyDescent="0.3">
      <c r="A23" s="6" t="s">
        <v>57</v>
      </c>
      <c r="B23" s="8">
        <v>35</v>
      </c>
      <c r="C23" s="8">
        <v>65</v>
      </c>
      <c r="D23" s="8">
        <v>90</v>
      </c>
    </row>
    <row r="24" spans="1:4" ht="15" customHeight="1" x14ac:dyDescent="0.3">
      <c r="A24" s="6" t="s">
        <v>58</v>
      </c>
      <c r="B24" s="8">
        <v>80</v>
      </c>
      <c r="C24" s="8">
        <v>75</v>
      </c>
      <c r="D24" s="8">
        <v>40</v>
      </c>
    </row>
    <row r="26" spans="1:4" ht="15" customHeight="1" x14ac:dyDescent="0.3">
      <c r="A26" s="49" t="s">
        <v>63</v>
      </c>
      <c r="B26" s="49"/>
      <c r="C26" s="49"/>
      <c r="D26" s="49"/>
    </row>
    <row r="27" spans="1:4" ht="34.5" customHeight="1" x14ac:dyDescent="0.3">
      <c r="A27" s="5" t="s">
        <v>49</v>
      </c>
      <c r="B27" s="5" t="s">
        <v>64</v>
      </c>
      <c r="C27" s="5" t="s">
        <v>65</v>
      </c>
      <c r="D27" s="5" t="s">
        <v>66</v>
      </c>
    </row>
    <row r="28" spans="1:4" ht="15" customHeight="1" x14ac:dyDescent="0.3">
      <c r="A28" s="6" t="s">
        <v>54</v>
      </c>
      <c r="B28" s="10">
        <v>0.98799999999999999</v>
      </c>
      <c r="C28" s="11">
        <v>5</v>
      </c>
      <c r="D28" s="10">
        <v>0.6</v>
      </c>
    </row>
    <row r="29" spans="1:4" ht="15" customHeight="1" x14ac:dyDescent="0.3">
      <c r="A29" s="6" t="s">
        <v>55</v>
      </c>
      <c r="B29" s="10">
        <v>0.99199999999999999</v>
      </c>
      <c r="C29" s="11">
        <v>7</v>
      </c>
      <c r="D29" s="10">
        <v>0.5</v>
      </c>
    </row>
    <row r="30" spans="1:4" ht="15" customHeight="1" x14ac:dyDescent="0.3">
      <c r="A30" s="6" t="s">
        <v>56</v>
      </c>
      <c r="B30" s="10">
        <v>0.995</v>
      </c>
      <c r="C30" s="11">
        <v>6</v>
      </c>
      <c r="D30" s="10">
        <v>0.7</v>
      </c>
    </row>
    <row r="31" spans="1:4" ht="15" customHeight="1" x14ac:dyDescent="0.3">
      <c r="A31" s="6" t="s">
        <v>57</v>
      </c>
      <c r="B31" s="10">
        <v>0.98499999999999999</v>
      </c>
      <c r="C31" s="11">
        <v>4</v>
      </c>
      <c r="D31" s="10">
        <v>0.4</v>
      </c>
    </row>
    <row r="32" spans="1:4" ht="15" customHeight="1" x14ac:dyDescent="0.3">
      <c r="A32" s="6" t="s">
        <v>58</v>
      </c>
      <c r="B32" s="10">
        <v>0.99399999999999999</v>
      </c>
      <c r="C32" s="11">
        <v>8</v>
      </c>
      <c r="D32" s="10">
        <v>0.75</v>
      </c>
    </row>
    <row r="34" spans="1:4" ht="15" customHeight="1" x14ac:dyDescent="0.3">
      <c r="A34" s="49" t="s">
        <v>67</v>
      </c>
      <c r="B34" s="49"/>
    </row>
    <row r="35" spans="1:4" ht="15" customHeight="1" x14ac:dyDescent="0.3">
      <c r="A35" s="12" t="s">
        <v>68</v>
      </c>
      <c r="B35" s="8">
        <v>1550</v>
      </c>
    </row>
    <row r="36" spans="1:4" ht="15" customHeight="1" x14ac:dyDescent="0.3">
      <c r="A36" s="12" t="s">
        <v>69</v>
      </c>
      <c r="B36" s="7">
        <v>8000</v>
      </c>
    </row>
    <row r="38" spans="1:4" ht="15" customHeight="1" x14ac:dyDescent="0.3">
      <c r="A38" s="49" t="s">
        <v>70</v>
      </c>
      <c r="B38" s="49"/>
      <c r="C38" s="49"/>
      <c r="D38" s="49"/>
    </row>
    <row r="39" spans="1:4" ht="23.25" customHeight="1" x14ac:dyDescent="0.3">
      <c r="A39" s="5" t="s">
        <v>71</v>
      </c>
      <c r="B39" s="5" t="s">
        <v>72</v>
      </c>
      <c r="C39" s="5" t="s">
        <v>73</v>
      </c>
      <c r="D39" s="5" t="s">
        <v>74</v>
      </c>
    </row>
    <row r="40" spans="1:4" ht="15" customHeight="1" x14ac:dyDescent="0.3">
      <c r="A40" s="6" t="s">
        <v>75</v>
      </c>
      <c r="B40" s="10">
        <v>0.2</v>
      </c>
      <c r="C40" s="13">
        <f>SUM($B$40:B40)</f>
        <v>0.2</v>
      </c>
      <c r="D40" s="14">
        <v>0.9</v>
      </c>
    </row>
    <row r="41" spans="1:4" ht="15" customHeight="1" x14ac:dyDescent="0.3">
      <c r="A41" s="6" t="s">
        <v>76</v>
      </c>
      <c r="B41" s="10">
        <v>0.55000000000000004</v>
      </c>
      <c r="C41" s="13">
        <f>SUM($B$40:B41)</f>
        <v>0.75</v>
      </c>
      <c r="D41" s="14">
        <v>1</v>
      </c>
    </row>
    <row r="42" spans="1:4" ht="15" customHeight="1" x14ac:dyDescent="0.3">
      <c r="A42" s="6" t="s">
        <v>77</v>
      </c>
      <c r="B42" s="10">
        <v>0.25</v>
      </c>
      <c r="C42" s="13">
        <f>SUM($B$40:B42)</f>
        <v>1</v>
      </c>
      <c r="D42" s="14">
        <v>1.1499999999999999</v>
      </c>
    </row>
    <row r="44" spans="1:4" ht="15" customHeight="1" x14ac:dyDescent="0.3">
      <c r="A44" s="49" t="s">
        <v>78</v>
      </c>
      <c r="B44" s="49"/>
      <c r="C44" s="49"/>
      <c r="D44" s="49"/>
    </row>
    <row r="45" spans="1:4" ht="23.25" customHeight="1" x14ac:dyDescent="0.3">
      <c r="A45" s="5" t="s">
        <v>79</v>
      </c>
      <c r="B45" s="5" t="s">
        <v>80</v>
      </c>
      <c r="C45" s="5" t="s">
        <v>73</v>
      </c>
      <c r="D45" s="5" t="s">
        <v>81</v>
      </c>
    </row>
    <row r="46" spans="1:4" ht="15" customHeight="1" x14ac:dyDescent="0.3">
      <c r="A46" s="6" t="s">
        <v>82</v>
      </c>
      <c r="B46" s="10">
        <v>0.35</v>
      </c>
      <c r="C46" s="13">
        <f>SUM($B$46:B46)</f>
        <v>0.35</v>
      </c>
      <c r="D46" s="10">
        <v>0.6</v>
      </c>
    </row>
    <row r="47" spans="1:4" ht="15" customHeight="1" x14ac:dyDescent="0.3">
      <c r="A47" s="6" t="s">
        <v>83</v>
      </c>
      <c r="B47" s="10">
        <v>0.45</v>
      </c>
      <c r="C47" s="13">
        <f>SUM($B$46:B47)</f>
        <v>0.8</v>
      </c>
      <c r="D47" s="10">
        <v>0.3</v>
      </c>
    </row>
    <row r="48" spans="1:4" ht="15" customHeight="1" x14ac:dyDescent="0.3">
      <c r="A48" s="6" t="s">
        <v>84</v>
      </c>
      <c r="B48" s="10">
        <v>0.2</v>
      </c>
      <c r="C48" s="13">
        <f>SUM($B$46:B48)</f>
        <v>1</v>
      </c>
      <c r="D48" s="10">
        <v>0</v>
      </c>
    </row>
    <row r="50" spans="1:2" ht="15" customHeight="1" x14ac:dyDescent="0.3">
      <c r="A50" s="49" t="s">
        <v>85</v>
      </c>
      <c r="B50" s="49"/>
    </row>
    <row r="51" spans="1:2" ht="15" customHeight="1" x14ac:dyDescent="0.3">
      <c r="A51" s="12" t="s">
        <v>86</v>
      </c>
      <c r="B51" s="15">
        <v>0.85</v>
      </c>
    </row>
    <row r="52" spans="1:2" ht="15" customHeight="1" x14ac:dyDescent="0.3">
      <c r="A52" s="12" t="s">
        <v>87</v>
      </c>
      <c r="B52" s="15">
        <v>1.1499999999999999</v>
      </c>
    </row>
    <row r="53" spans="1:2" ht="15" customHeight="1" x14ac:dyDescent="0.3">
      <c r="A53" s="12" t="s">
        <v>88</v>
      </c>
      <c r="B53" s="15">
        <v>5.0000000000000001E-3</v>
      </c>
    </row>
    <row r="54" spans="1:2" ht="15" customHeight="1" x14ac:dyDescent="0.3">
      <c r="A54" s="12" t="s">
        <v>89</v>
      </c>
      <c r="B54" s="15">
        <v>0.08</v>
      </c>
    </row>
    <row r="55" spans="1:2" ht="15" customHeight="1" x14ac:dyDescent="0.3">
      <c r="A55" s="12" t="s">
        <v>90</v>
      </c>
      <c r="B55" s="15">
        <v>0.25</v>
      </c>
    </row>
    <row r="57" spans="1:2" ht="15" customHeight="1" x14ac:dyDescent="0.3">
      <c r="A57" s="49" t="s">
        <v>91</v>
      </c>
      <c r="B57" s="49"/>
    </row>
    <row r="58" spans="1:2" ht="15" customHeight="1" x14ac:dyDescent="0.3">
      <c r="A58" s="12" t="s">
        <v>92</v>
      </c>
      <c r="B58" s="10">
        <v>0.6</v>
      </c>
    </row>
    <row r="59" spans="1:2" ht="15" customHeight="1" x14ac:dyDescent="0.3">
      <c r="A59" s="12" t="s">
        <v>93</v>
      </c>
      <c r="B59" s="8">
        <v>900000</v>
      </c>
    </row>
    <row r="60" spans="1:2" ht="15" customHeight="1" x14ac:dyDescent="0.3">
      <c r="A60" s="12" t="s">
        <v>94</v>
      </c>
      <c r="B60" s="11">
        <v>4</v>
      </c>
    </row>
    <row r="61" spans="1:2" ht="15" customHeight="1" x14ac:dyDescent="0.3">
      <c r="A61" s="12" t="s">
        <v>95</v>
      </c>
      <c r="B61" s="10">
        <v>0.7</v>
      </c>
    </row>
  </sheetData>
  <mergeCells count="11">
    <mergeCell ref="A57:B57"/>
    <mergeCell ref="A26:D26"/>
    <mergeCell ref="A34:B34"/>
    <mergeCell ref="A38:D38"/>
    <mergeCell ref="A44:D44"/>
    <mergeCell ref="A50:B50"/>
    <mergeCell ref="A1:F1"/>
    <mergeCell ref="A2:H2"/>
    <mergeCell ref="A4:D4"/>
    <mergeCell ref="A10:E10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showGridLines="0" zoomScaleNormal="100" workbookViewId="0">
      <selection activeCell="M20" sqref="M20"/>
    </sheetView>
  </sheetViews>
  <sheetFormatPr defaultColWidth="8.6640625" defaultRowHeight="14.4" x14ac:dyDescent="0.3"/>
  <cols>
    <col min="1" max="1" width="16" customWidth="1"/>
    <col min="2" max="5" width="13" customWidth="1"/>
    <col min="6" max="6" width="15" customWidth="1"/>
    <col min="7" max="8" width="13" customWidth="1"/>
    <col min="9" max="9" width="15" customWidth="1"/>
  </cols>
  <sheetData>
    <row r="1" spans="1:9" ht="21.75" customHeight="1" x14ac:dyDescent="0.3">
      <c r="A1" s="47" t="s">
        <v>96</v>
      </c>
      <c r="B1" s="47"/>
      <c r="C1" s="47"/>
      <c r="D1" s="47"/>
      <c r="E1" s="47"/>
      <c r="F1" s="47"/>
      <c r="G1" s="47"/>
      <c r="H1" s="47"/>
    </row>
    <row r="2" spans="1:9" ht="27.75" customHeight="1" x14ac:dyDescent="0.3">
      <c r="A2" s="48" t="s">
        <v>97</v>
      </c>
      <c r="B2" s="48"/>
      <c r="C2" s="48"/>
      <c r="D2" s="48"/>
      <c r="E2" s="48"/>
      <c r="F2" s="48"/>
      <c r="G2" s="48"/>
      <c r="H2" s="48"/>
      <c r="I2" s="48"/>
    </row>
    <row r="4" spans="1:9" ht="15" customHeight="1" x14ac:dyDescent="0.3">
      <c r="A4" s="12" t="s">
        <v>98</v>
      </c>
      <c r="D4" s="10">
        <v>0.6</v>
      </c>
    </row>
    <row r="5" spans="1:9" ht="15" customHeight="1" x14ac:dyDescent="0.3">
      <c r="A5" s="12" t="s">
        <v>99</v>
      </c>
      <c r="D5" s="16">
        <f>Inputs!$B$60</f>
        <v>4</v>
      </c>
    </row>
    <row r="7" spans="1:9" ht="15" customHeight="1" x14ac:dyDescent="0.3">
      <c r="A7" s="49" t="s">
        <v>100</v>
      </c>
      <c r="B7" s="49"/>
      <c r="C7" s="49"/>
      <c r="D7" s="49"/>
      <c r="E7" s="49"/>
      <c r="F7" s="49"/>
      <c r="G7" s="49"/>
      <c r="H7" s="49"/>
      <c r="I7" s="49"/>
    </row>
    <row r="8" spans="1:9" ht="23.25" customHeight="1" x14ac:dyDescent="0.3">
      <c r="A8" s="5" t="s">
        <v>49</v>
      </c>
      <c r="B8" s="5" t="s">
        <v>101</v>
      </c>
      <c r="C8" s="5" t="s">
        <v>102</v>
      </c>
      <c r="D8" s="5" t="s">
        <v>103</v>
      </c>
      <c r="E8" s="5" t="s">
        <v>104</v>
      </c>
      <c r="F8" s="5" t="s">
        <v>105</v>
      </c>
      <c r="G8" s="5" t="s">
        <v>106</v>
      </c>
      <c r="H8" s="5" t="s">
        <v>107</v>
      </c>
      <c r="I8" s="5" t="s">
        <v>108</v>
      </c>
    </row>
    <row r="9" spans="1:9" ht="15" customHeight="1" x14ac:dyDescent="0.3">
      <c r="A9" s="6" t="s">
        <v>54</v>
      </c>
      <c r="B9" s="11">
        <v>1</v>
      </c>
      <c r="C9" s="7">
        <v>7112</v>
      </c>
      <c r="D9" s="7">
        <v>0</v>
      </c>
      <c r="E9" s="7">
        <v>7200</v>
      </c>
      <c r="F9" s="17">
        <f>SUM(C9:E9)</f>
        <v>14312</v>
      </c>
      <c r="G9" s="17">
        <f>Inputs!$B$12</f>
        <v>16000</v>
      </c>
      <c r="H9" s="17">
        <f>G9-F9</f>
        <v>1688</v>
      </c>
      <c r="I9" s="18" t="str">
        <f>IF(F9&lt;=G9*B9,"OK","VIOLATION")</f>
        <v>OK</v>
      </c>
    </row>
    <row r="10" spans="1:9" ht="15" customHeight="1" x14ac:dyDescent="0.3">
      <c r="A10" s="6" t="s">
        <v>55</v>
      </c>
      <c r="B10" s="11">
        <v>1</v>
      </c>
      <c r="C10" s="7">
        <v>88</v>
      </c>
      <c r="D10" s="7">
        <v>9000</v>
      </c>
      <c r="E10" s="7">
        <v>4800</v>
      </c>
      <c r="F10" s="17">
        <f>SUM(C10:E10)</f>
        <v>13888</v>
      </c>
      <c r="G10" s="17">
        <f>Inputs!$B$13</f>
        <v>14000</v>
      </c>
      <c r="H10" s="17">
        <f>G10-F10</f>
        <v>112</v>
      </c>
      <c r="I10" s="18" t="str">
        <f>IF(F10&lt;=G10*B10,"OK","VIOLATION")</f>
        <v>OK</v>
      </c>
    </row>
    <row r="11" spans="1:9" ht="15" customHeight="1" x14ac:dyDescent="0.3">
      <c r="A11" s="6" t="s">
        <v>56</v>
      </c>
      <c r="B11" s="11">
        <v>1</v>
      </c>
      <c r="C11" s="7">
        <v>0</v>
      </c>
      <c r="D11" s="7">
        <v>4980</v>
      </c>
      <c r="E11" s="7">
        <v>0</v>
      </c>
      <c r="F11" s="17">
        <f>SUM(C11:E11)</f>
        <v>4980</v>
      </c>
      <c r="G11" s="17">
        <f>Inputs!$B$14</f>
        <v>13000</v>
      </c>
      <c r="H11" s="17">
        <f>G11-F11</f>
        <v>8020</v>
      </c>
      <c r="I11" s="18" t="str">
        <f>IF(F11&lt;=G11*B11,"OK","VIOLATION")</f>
        <v>OK</v>
      </c>
    </row>
    <row r="12" spans="1:9" ht="15" customHeight="1" x14ac:dyDescent="0.3">
      <c r="A12" s="6" t="s">
        <v>57</v>
      </c>
      <c r="B12" s="11">
        <v>1</v>
      </c>
      <c r="C12" s="7">
        <v>10800</v>
      </c>
      <c r="D12" s="7">
        <v>1020</v>
      </c>
      <c r="E12" s="7">
        <v>0</v>
      </c>
      <c r="F12" s="17">
        <f>SUM(C12:E12)</f>
        <v>11820</v>
      </c>
      <c r="G12" s="17">
        <f>Inputs!$B$15</f>
        <v>12000</v>
      </c>
      <c r="H12" s="17">
        <f>G12-F12</f>
        <v>180</v>
      </c>
      <c r="I12" s="18" t="str">
        <f>IF(F12&lt;=G12*B12,"OK","VIOLATION")</f>
        <v>OK</v>
      </c>
    </row>
    <row r="13" spans="1:9" ht="15" customHeight="1" x14ac:dyDescent="0.3">
      <c r="A13" s="6" t="s">
        <v>58</v>
      </c>
      <c r="B13" s="11">
        <v>0</v>
      </c>
      <c r="C13" s="7">
        <v>0</v>
      </c>
      <c r="D13" s="7">
        <v>0</v>
      </c>
      <c r="E13" s="7">
        <v>0</v>
      </c>
      <c r="F13" s="17">
        <f>SUM(C13:E13)</f>
        <v>0</v>
      </c>
      <c r="G13" s="17">
        <f>Inputs!$B$16</f>
        <v>15000</v>
      </c>
      <c r="H13" s="17">
        <f>G13-F13</f>
        <v>15000</v>
      </c>
      <c r="I13" s="18" t="str">
        <f>IF(F13&lt;=G13*B13,"OK","VIOLATION")</f>
        <v>OK</v>
      </c>
    </row>
    <row r="14" spans="1:9" ht="15" customHeight="1" x14ac:dyDescent="0.3">
      <c r="A14" s="19" t="s">
        <v>109</v>
      </c>
      <c r="B14" s="20">
        <f t="shared" ref="B14:H14" si="0">SUM(B9:B13)</f>
        <v>4</v>
      </c>
      <c r="C14" s="21">
        <f t="shared" si="0"/>
        <v>18000</v>
      </c>
      <c r="D14" s="21">
        <f t="shared" si="0"/>
        <v>15000</v>
      </c>
      <c r="E14" s="21">
        <f t="shared" si="0"/>
        <v>12000</v>
      </c>
      <c r="F14" s="21">
        <f t="shared" si="0"/>
        <v>45000</v>
      </c>
      <c r="G14" s="21">
        <f t="shared" si="0"/>
        <v>70000</v>
      </c>
      <c r="H14" s="21">
        <f t="shared" si="0"/>
        <v>25000</v>
      </c>
      <c r="I14" s="22"/>
    </row>
    <row r="16" spans="1:9" ht="15" customHeight="1" x14ac:dyDescent="0.3">
      <c r="A16" s="49" t="s">
        <v>110</v>
      </c>
      <c r="B16" s="49"/>
      <c r="C16" s="49"/>
      <c r="D16" s="49"/>
      <c r="E16" s="49"/>
      <c r="F16" s="49"/>
      <c r="G16" s="49"/>
      <c r="H16" s="49"/>
    </row>
    <row r="17" spans="1:8" ht="23.25" customHeight="1" x14ac:dyDescent="0.3">
      <c r="A17" s="5" t="s">
        <v>39</v>
      </c>
      <c r="B17" s="5" t="s">
        <v>111</v>
      </c>
      <c r="C17" s="5" t="s">
        <v>112</v>
      </c>
      <c r="D17" s="5" t="s">
        <v>113</v>
      </c>
      <c r="E17" s="5" t="s">
        <v>114</v>
      </c>
      <c r="F17" s="5" t="s">
        <v>115</v>
      </c>
      <c r="G17" s="5" t="s">
        <v>116</v>
      </c>
      <c r="H17" s="5" t="s">
        <v>117</v>
      </c>
    </row>
    <row r="18" spans="1:8" ht="15" customHeight="1" x14ac:dyDescent="0.3">
      <c r="A18" s="6" t="s">
        <v>43</v>
      </c>
      <c r="B18" s="17">
        <f>Inputs!$B$6</f>
        <v>18000</v>
      </c>
      <c r="C18" s="17">
        <f>SUM(C9:C13)</f>
        <v>18000</v>
      </c>
      <c r="D18" s="7">
        <v>0</v>
      </c>
      <c r="E18" s="17">
        <f>MAX(0,B18-C18-D18)</f>
        <v>0</v>
      </c>
      <c r="F18" s="17">
        <f>C18+D18+E18</f>
        <v>18000</v>
      </c>
      <c r="G18" s="18" t="str">
        <f>IF(F18=B18,"OK","CHECK")</f>
        <v>OK</v>
      </c>
      <c r="H18" s="16">
        <f>Inputs!$C$6</f>
        <v>1800</v>
      </c>
    </row>
    <row r="19" spans="1:8" ht="15" customHeight="1" x14ac:dyDescent="0.3">
      <c r="A19" s="6" t="s">
        <v>45</v>
      </c>
      <c r="B19" s="17">
        <f>Inputs!$B$7</f>
        <v>15000</v>
      </c>
      <c r="C19" s="17">
        <f>SUM(D9:D13)</f>
        <v>15000</v>
      </c>
      <c r="D19" s="7">
        <v>0</v>
      </c>
      <c r="E19" s="17">
        <f>MAX(0,B19-C19-D19)</f>
        <v>0</v>
      </c>
      <c r="F19" s="17">
        <f>C19+D19+E19</f>
        <v>15000</v>
      </c>
      <c r="G19" s="18" t="str">
        <f>IF(F19=B19,"OK","CHECK")</f>
        <v>OK</v>
      </c>
      <c r="H19" s="16">
        <f>Inputs!$C$7</f>
        <v>1800</v>
      </c>
    </row>
    <row r="20" spans="1:8" ht="15" customHeight="1" x14ac:dyDescent="0.3">
      <c r="A20" s="6" t="s">
        <v>47</v>
      </c>
      <c r="B20" s="17">
        <f>Inputs!$B$8</f>
        <v>12000</v>
      </c>
      <c r="C20" s="17">
        <f>SUM(E9:E13)</f>
        <v>12000</v>
      </c>
      <c r="D20" s="7">
        <v>0</v>
      </c>
      <c r="E20" s="17">
        <f>MAX(0,B20-C20-D20)</f>
        <v>0</v>
      </c>
      <c r="F20" s="17">
        <f>C20+D20+E20</f>
        <v>12000</v>
      </c>
      <c r="G20" s="18" t="str">
        <f>IF(F20=B20,"OK","CHECK")</f>
        <v>OK</v>
      </c>
      <c r="H20" s="16">
        <f>Inputs!$C$8</f>
        <v>2050</v>
      </c>
    </row>
    <row r="22" spans="1:8" ht="15" customHeight="1" x14ac:dyDescent="0.3">
      <c r="A22" s="49" t="s">
        <v>118</v>
      </c>
      <c r="B22" s="49"/>
      <c r="C22" s="49"/>
      <c r="D22" s="49"/>
      <c r="E22" s="49"/>
      <c r="F22" s="49"/>
      <c r="G22" s="49"/>
      <c r="H22" s="49"/>
    </row>
    <row r="23" spans="1:8" ht="23.25" customHeight="1" x14ac:dyDescent="0.3">
      <c r="A23" s="5" t="s">
        <v>49</v>
      </c>
      <c r="B23" s="5" t="s">
        <v>119</v>
      </c>
      <c r="C23" s="5" t="s">
        <v>120</v>
      </c>
      <c r="D23" s="5" t="s">
        <v>121</v>
      </c>
      <c r="E23" s="5" t="s">
        <v>122</v>
      </c>
      <c r="F23" s="5" t="s">
        <v>123</v>
      </c>
      <c r="G23" s="5" t="s">
        <v>124</v>
      </c>
      <c r="H23" s="5" t="s">
        <v>125</v>
      </c>
    </row>
    <row r="24" spans="1:8" ht="15" customHeight="1" x14ac:dyDescent="0.3">
      <c r="A24" s="6" t="s">
        <v>54</v>
      </c>
      <c r="B24" s="13">
        <f>C9/$B$18</f>
        <v>0.39511111111111114</v>
      </c>
      <c r="C24" s="13">
        <f>D9/$B$19</f>
        <v>0</v>
      </c>
      <c r="D24" s="13">
        <f>E9/$B$20</f>
        <v>0.6</v>
      </c>
      <c r="E24" s="13">
        <f>$D$4</f>
        <v>0.6</v>
      </c>
      <c r="F24" s="18" t="str">
        <f>IF(B24&lt;=$E$24+0.0001,"OK","OVER")</f>
        <v>OK</v>
      </c>
      <c r="G24" s="18" t="str">
        <f>IF(C24&lt;=$E$24+0.0001,"OK","OVER")</f>
        <v>OK</v>
      </c>
      <c r="H24" s="18" t="str">
        <f>IF(D24&lt;=$E$24+0.0001,"OK","OVER")</f>
        <v>OK</v>
      </c>
    </row>
    <row r="25" spans="1:8" ht="15" customHeight="1" x14ac:dyDescent="0.3">
      <c r="A25" s="6" t="s">
        <v>55</v>
      </c>
      <c r="B25" s="13">
        <f>C10/$B$18</f>
        <v>4.8888888888888888E-3</v>
      </c>
      <c r="C25" s="13">
        <f>D10/$B$19</f>
        <v>0.6</v>
      </c>
      <c r="D25" s="13">
        <f>E10/$B$20</f>
        <v>0.4</v>
      </c>
      <c r="E25" s="13">
        <f>$D$4</f>
        <v>0.6</v>
      </c>
      <c r="F25" s="18" t="str">
        <f>IF(B25&lt;=$E$25+0.0001,"OK","OVER")</f>
        <v>OK</v>
      </c>
      <c r="G25" s="18" t="str">
        <f>IF(C25&lt;=$E$25+0.0001,"OK","OVER")</f>
        <v>OK</v>
      </c>
      <c r="H25" s="18" t="str">
        <f>IF(D25&lt;=$E$25+0.0001,"OK","OVER")</f>
        <v>OK</v>
      </c>
    </row>
    <row r="26" spans="1:8" ht="15" customHeight="1" x14ac:dyDescent="0.3">
      <c r="A26" s="6" t="s">
        <v>56</v>
      </c>
      <c r="B26" s="13">
        <f>C11/$B$18</f>
        <v>0</v>
      </c>
      <c r="C26" s="13">
        <f>D11/$B$19</f>
        <v>0.33200000000000002</v>
      </c>
      <c r="D26" s="13">
        <f>E11/$B$20</f>
        <v>0</v>
      </c>
      <c r="E26" s="13">
        <f>$D$4</f>
        <v>0.6</v>
      </c>
      <c r="F26" s="18" t="str">
        <f>IF(B26&lt;=$E$26+0.0001,"OK","OVER")</f>
        <v>OK</v>
      </c>
      <c r="G26" s="18" t="str">
        <f>IF(C26&lt;=$E$26+0.0001,"OK","OVER")</f>
        <v>OK</v>
      </c>
      <c r="H26" s="18" t="str">
        <f>IF(D26&lt;=$E$26+0.0001,"OK","OVER")</f>
        <v>OK</v>
      </c>
    </row>
    <row r="27" spans="1:8" ht="15" customHeight="1" x14ac:dyDescent="0.3">
      <c r="A27" s="6" t="s">
        <v>57</v>
      </c>
      <c r="B27" s="13">
        <f>C12/$B$18</f>
        <v>0.6</v>
      </c>
      <c r="C27" s="13">
        <f>D12/$B$19</f>
        <v>6.8000000000000005E-2</v>
      </c>
      <c r="D27" s="13">
        <f>E12/$B$20</f>
        <v>0</v>
      </c>
      <c r="E27" s="13">
        <f>$D$4</f>
        <v>0.6</v>
      </c>
      <c r="F27" s="18" t="str">
        <f>IF(B27&lt;=$E$27+0.0001,"OK","OVER")</f>
        <v>OK</v>
      </c>
      <c r="G27" s="18" t="str">
        <f>IF(C27&lt;=$E$27+0.0001,"OK","OVER")</f>
        <v>OK</v>
      </c>
      <c r="H27" s="18" t="str">
        <f>IF(D27&lt;=$E$27+0.0001,"OK","OVER")</f>
        <v>OK</v>
      </c>
    </row>
    <row r="28" spans="1:8" ht="15" customHeight="1" x14ac:dyDescent="0.3">
      <c r="A28" s="6" t="s">
        <v>58</v>
      </c>
      <c r="B28" s="13">
        <f>C13/$B$18</f>
        <v>0</v>
      </c>
      <c r="C28" s="13">
        <f>D13/$B$19</f>
        <v>0</v>
      </c>
      <c r="D28" s="13">
        <f>E13/$B$20</f>
        <v>0</v>
      </c>
      <c r="E28" s="13">
        <f>$D$4</f>
        <v>0.6</v>
      </c>
      <c r="F28" s="18" t="str">
        <f>IF(B28&lt;=$E$28+0.0001,"OK","OVER")</f>
        <v>OK</v>
      </c>
      <c r="G28" s="18" t="str">
        <f>IF(C28&lt;=$E$28+0.0001,"OK","OVER")</f>
        <v>OK</v>
      </c>
      <c r="H28" s="18" t="str">
        <f>IF(D28&lt;=$E$28+0.0001,"OK","OVER")</f>
        <v>OK</v>
      </c>
    </row>
    <row r="30" spans="1:8" ht="15" customHeight="1" x14ac:dyDescent="0.3">
      <c r="A30" s="49" t="s">
        <v>126</v>
      </c>
      <c r="B30" s="49"/>
      <c r="C30" s="49"/>
      <c r="D30" s="49"/>
      <c r="E30" s="49"/>
      <c r="F30" s="49"/>
      <c r="G30" s="49"/>
      <c r="H30" s="49"/>
    </row>
    <row r="31" spans="1:8" ht="15" customHeight="1" x14ac:dyDescent="0.3">
      <c r="A31" s="12" t="s">
        <v>127</v>
      </c>
      <c r="F31" s="23">
        <f>COUNTIF(C9:C13,"&gt;0")</f>
        <v>3</v>
      </c>
      <c r="G31" s="18" t="str">
        <f>IF(F31&gt;=2,"OK","RISK")</f>
        <v>OK</v>
      </c>
    </row>
    <row r="32" spans="1:8" ht="15" customHeight="1" x14ac:dyDescent="0.3">
      <c r="A32" s="12" t="s">
        <v>128</v>
      </c>
      <c r="F32" s="23">
        <f>COUNTIF(E9:E13,"&gt;0")</f>
        <v>2</v>
      </c>
      <c r="G32" s="18" t="str">
        <f>IF(F32&gt;=2,"OK","RISK")</f>
        <v>OK</v>
      </c>
    </row>
    <row r="34" spans="1:8" ht="15" customHeight="1" x14ac:dyDescent="0.3">
      <c r="A34" s="49" t="s">
        <v>129</v>
      </c>
      <c r="B34" s="49"/>
      <c r="C34" s="49"/>
      <c r="D34" s="49"/>
      <c r="E34" s="49"/>
      <c r="F34" s="49"/>
      <c r="G34" s="49"/>
      <c r="H34" s="49"/>
    </row>
    <row r="35" spans="1:8" ht="45.75" customHeight="1" x14ac:dyDescent="0.3">
      <c r="A35" s="5" t="s">
        <v>49</v>
      </c>
      <c r="B35" s="5" t="s">
        <v>130</v>
      </c>
      <c r="C35" s="5" t="s">
        <v>131</v>
      </c>
      <c r="D35" s="5" t="s">
        <v>132</v>
      </c>
      <c r="E35" s="5" t="s">
        <v>133</v>
      </c>
      <c r="F35" s="5" t="s">
        <v>134</v>
      </c>
      <c r="G35" s="5" t="s">
        <v>135</v>
      </c>
      <c r="H35" s="5" t="s">
        <v>136</v>
      </c>
    </row>
    <row r="36" spans="1:8" ht="15" customHeight="1" x14ac:dyDescent="0.3">
      <c r="A36" s="6" t="s">
        <v>54</v>
      </c>
      <c r="B36" s="24">
        <f>(Inputs!$C$12+Inputs!$B$20)/Inputs!$B$28</f>
        <v>1077.9352226720648</v>
      </c>
      <c r="C36" s="24">
        <f>(Inputs!$C$12+Inputs!$C$20)/Inputs!$B$28</f>
        <v>1103.2388663967611</v>
      </c>
      <c r="D36" s="24">
        <f>(Inputs!$C$12+Inputs!$D$20)/Inputs!$B$28</f>
        <v>1093.1174089068827</v>
      </c>
      <c r="E36" s="16">
        <f t="shared" ref="E36:G40" si="1">C9*B36</f>
        <v>7666275.3036437249</v>
      </c>
      <c r="F36" s="16">
        <f t="shared" si="1"/>
        <v>0</v>
      </c>
      <c r="G36" s="16">
        <f t="shared" si="1"/>
        <v>7870445.3441295559</v>
      </c>
      <c r="H36" s="16">
        <f>SUM(E36:G36)</f>
        <v>15536720.647773281</v>
      </c>
    </row>
    <row r="37" spans="1:8" ht="15" customHeight="1" x14ac:dyDescent="0.3">
      <c r="A37" s="6" t="s">
        <v>55</v>
      </c>
      <c r="B37" s="24">
        <f>(Inputs!$C$13+Inputs!$B$21)/Inputs!$B$29</f>
        <v>1043.3467741935483</v>
      </c>
      <c r="C37" s="24">
        <f>(Inputs!$C$13+Inputs!$C$21)/Inputs!$B$29</f>
        <v>1028.2258064516129</v>
      </c>
      <c r="D37" s="24">
        <f>(Inputs!$C$13+Inputs!$D$21)/Inputs!$B$29</f>
        <v>1073.5887096774193</v>
      </c>
      <c r="E37" s="16">
        <f t="shared" si="1"/>
        <v>91814.516129032243</v>
      </c>
      <c r="F37" s="16">
        <f t="shared" si="1"/>
        <v>9254032.2580645159</v>
      </c>
      <c r="G37" s="16">
        <f t="shared" si="1"/>
        <v>5153225.8064516122</v>
      </c>
      <c r="H37" s="16">
        <f>SUM(E37:G37)</f>
        <v>14499072.580645159</v>
      </c>
    </row>
    <row r="38" spans="1:8" ht="15" customHeight="1" x14ac:dyDescent="0.3">
      <c r="A38" s="6" t="s">
        <v>56</v>
      </c>
      <c r="B38" s="24">
        <f>(Inputs!$C$14+Inputs!$B$22)/Inputs!$B$30</f>
        <v>1125.6281407035176</v>
      </c>
      <c r="C38" s="24">
        <f>(Inputs!$C$14+Inputs!$C$22)/Inputs!$B$30</f>
        <v>1105.5276381909548</v>
      </c>
      <c r="D38" s="24">
        <f>(Inputs!$C$14+Inputs!$D$22)/Inputs!$B$30</f>
        <v>1130.6532663316582</v>
      </c>
      <c r="E38" s="16">
        <f t="shared" si="1"/>
        <v>0</v>
      </c>
      <c r="F38" s="16">
        <f t="shared" si="1"/>
        <v>5505527.6381909549</v>
      </c>
      <c r="G38" s="16">
        <f t="shared" si="1"/>
        <v>0</v>
      </c>
      <c r="H38" s="16">
        <f>SUM(E38:G38)</f>
        <v>5505527.6381909549</v>
      </c>
    </row>
    <row r="39" spans="1:8" ht="15" customHeight="1" x14ac:dyDescent="0.3">
      <c r="A39" s="6" t="s">
        <v>57</v>
      </c>
      <c r="B39" s="24">
        <f>(Inputs!$C$15+Inputs!$B$23)/Inputs!$B$31</f>
        <v>1000</v>
      </c>
      <c r="C39" s="24">
        <f>(Inputs!$C$15+Inputs!$C$23)/Inputs!$B$31</f>
        <v>1030.4568527918782</v>
      </c>
      <c r="D39" s="24">
        <f>(Inputs!$C$15+Inputs!$D$23)/Inputs!$B$31</f>
        <v>1055.8375634517768</v>
      </c>
      <c r="E39" s="16">
        <f t="shared" si="1"/>
        <v>10800000</v>
      </c>
      <c r="F39" s="16">
        <f t="shared" si="1"/>
        <v>1051065.9898477157</v>
      </c>
      <c r="G39" s="16">
        <f t="shared" si="1"/>
        <v>0</v>
      </c>
      <c r="H39" s="16">
        <f>SUM(E39:G39)</f>
        <v>11851065.989847716</v>
      </c>
    </row>
    <row r="40" spans="1:8" ht="15" customHeight="1" x14ac:dyDescent="0.3">
      <c r="A40" s="6" t="s">
        <v>58</v>
      </c>
      <c r="B40" s="24">
        <f>(Inputs!$C$16+Inputs!$B$24)/Inputs!$B$32</f>
        <v>1177.0623742454729</v>
      </c>
      <c r="C40" s="24">
        <f>(Inputs!$C$16+Inputs!$C$24)/Inputs!$B$32</f>
        <v>1172.0321931589538</v>
      </c>
      <c r="D40" s="24">
        <f>(Inputs!$C$16+Inputs!$D$24)/Inputs!$B$32</f>
        <v>1136.82092555332</v>
      </c>
      <c r="E40" s="16">
        <f t="shared" si="1"/>
        <v>0</v>
      </c>
      <c r="F40" s="16">
        <f t="shared" si="1"/>
        <v>0</v>
      </c>
      <c r="G40" s="16">
        <f t="shared" si="1"/>
        <v>0</v>
      </c>
      <c r="H40" s="16">
        <f>SUM(E40:G40)</f>
        <v>0</v>
      </c>
    </row>
    <row r="41" spans="1:8" ht="15" customHeight="1" x14ac:dyDescent="0.3">
      <c r="A41" s="19" t="s">
        <v>137</v>
      </c>
      <c r="B41" s="22"/>
      <c r="C41" s="22"/>
      <c r="D41" s="22"/>
      <c r="E41" s="25">
        <f>SUM(E36:E40)</f>
        <v>18558089.819772758</v>
      </c>
      <c r="F41" s="25">
        <f>SUM(F36:F40)</f>
        <v>15810625.886103187</v>
      </c>
      <c r="G41" s="25">
        <f>SUM(G36:G40)</f>
        <v>13023671.150581168</v>
      </c>
      <c r="H41" s="25">
        <f>SUM(H36:H40)</f>
        <v>47392386.856457114</v>
      </c>
    </row>
    <row r="43" spans="1:8" ht="15" customHeight="1" x14ac:dyDescent="0.3">
      <c r="A43" s="12" t="s">
        <v>138</v>
      </c>
      <c r="F43" s="16">
        <f>SUM(D18:D20)*Inputs!$B$35</f>
        <v>0</v>
      </c>
    </row>
    <row r="44" spans="1:8" ht="15" customHeight="1" x14ac:dyDescent="0.3">
      <c r="A44" s="12" t="s">
        <v>139</v>
      </c>
      <c r="F44" s="16">
        <f>SUMPRODUCT(E18:E20,H18:H20)</f>
        <v>0</v>
      </c>
    </row>
    <row r="45" spans="1:8" ht="15" customHeight="1" x14ac:dyDescent="0.3">
      <c r="A45" s="12" t="s">
        <v>140</v>
      </c>
      <c r="F45" s="16">
        <f>SUMPRODUCT(B9:B13,Inputs!$D$12:$D$16)</f>
        <v>1030000</v>
      </c>
    </row>
    <row r="47" spans="1:8" ht="15" customHeight="1" x14ac:dyDescent="0.3">
      <c r="A47" s="54" t="s">
        <v>141</v>
      </c>
      <c r="B47" s="54"/>
      <c r="C47" s="54"/>
      <c r="D47" s="54"/>
      <c r="E47" s="54"/>
      <c r="F47" s="26">
        <f>H41+F43+F44+F45</f>
        <v>48422386.856457114</v>
      </c>
    </row>
    <row r="49" spans="1:6" ht="15" customHeight="1" x14ac:dyDescent="0.3">
      <c r="A49" s="12" t="s">
        <v>142</v>
      </c>
      <c r="F49" s="18" t="str">
        <f>IF(F45&lt;=Inputs!$B$60,"Within ₹9L preference","Exceeds ₹9L preference (see Sensitivity)")</f>
        <v>Exceeds ₹9L preference (see Sensitivity)</v>
      </c>
    </row>
    <row r="50" spans="1:6" ht="15" customHeight="1" x14ac:dyDescent="0.3">
      <c r="A50" s="12" t="s">
        <v>143</v>
      </c>
      <c r="F50" s="23">
        <f>SUM(B9:B13)</f>
        <v>4</v>
      </c>
    </row>
  </sheetData>
  <mergeCells count="8">
    <mergeCell ref="A30:H30"/>
    <mergeCell ref="A34:H34"/>
    <mergeCell ref="A47:E47"/>
    <mergeCell ref="A1:H1"/>
    <mergeCell ref="A2:I2"/>
    <mergeCell ref="A7:I7"/>
    <mergeCell ref="A16:H16"/>
    <mergeCell ref="A22:H22"/>
  </mergeCells>
  <pageMargins left="0.75" right="0.75" top="1" bottom="1" header="0.511811023622047" footer="0.511811023622047"/>
  <pageSetup paperSize="9" orientation="portrait" horizontalDpi="300" verticalDpi="300"/>
  <ignoredErrors>
    <ignoredError sqref="F9:F1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showGridLines="0" zoomScaleNormal="100" workbookViewId="0">
      <selection activeCell="N12" sqref="N12"/>
    </sheetView>
  </sheetViews>
  <sheetFormatPr defaultColWidth="8.6640625" defaultRowHeight="14.4" x14ac:dyDescent="0.3"/>
  <cols>
    <col min="1" max="1" width="16" customWidth="1"/>
    <col min="2" max="5" width="13" customWidth="1"/>
    <col min="6" max="6" width="15" customWidth="1"/>
    <col min="7" max="8" width="13" customWidth="1"/>
    <col min="9" max="9" width="15" customWidth="1"/>
  </cols>
  <sheetData>
    <row r="1" spans="1:9" ht="21.75" customHeight="1" x14ac:dyDescent="0.3">
      <c r="A1" s="47" t="s">
        <v>144</v>
      </c>
      <c r="B1" s="47"/>
      <c r="C1" s="47"/>
      <c r="D1" s="47"/>
      <c r="E1" s="47"/>
      <c r="F1" s="47"/>
      <c r="G1" s="47"/>
      <c r="H1" s="47"/>
    </row>
    <row r="2" spans="1:9" ht="27.75" customHeight="1" x14ac:dyDescent="0.3">
      <c r="A2" s="48" t="s">
        <v>97</v>
      </c>
      <c r="B2" s="48"/>
      <c r="C2" s="48"/>
      <c r="D2" s="48"/>
      <c r="E2" s="48"/>
      <c r="F2" s="48"/>
      <c r="G2" s="48"/>
      <c r="H2" s="48"/>
      <c r="I2" s="48"/>
    </row>
    <row r="4" spans="1:9" ht="15" customHeight="1" x14ac:dyDescent="0.3">
      <c r="A4" s="12" t="s">
        <v>98</v>
      </c>
      <c r="D4" s="10">
        <v>0.5</v>
      </c>
    </row>
    <row r="5" spans="1:9" ht="15" customHeight="1" x14ac:dyDescent="0.3">
      <c r="A5" s="12" t="s">
        <v>99</v>
      </c>
      <c r="D5" s="16">
        <f>Inputs!$B$60</f>
        <v>4</v>
      </c>
    </row>
    <row r="7" spans="1:9" ht="15" customHeight="1" x14ac:dyDescent="0.3">
      <c r="A7" s="49" t="s">
        <v>100</v>
      </c>
      <c r="B7" s="49"/>
      <c r="C7" s="49"/>
      <c r="D7" s="49"/>
      <c r="E7" s="49"/>
      <c r="F7" s="49"/>
      <c r="G7" s="49"/>
      <c r="H7" s="49"/>
      <c r="I7" s="49"/>
    </row>
    <row r="8" spans="1:9" ht="23.25" customHeight="1" x14ac:dyDescent="0.3">
      <c r="A8" s="5" t="s">
        <v>49</v>
      </c>
      <c r="B8" s="5" t="s">
        <v>101</v>
      </c>
      <c r="C8" s="5" t="s">
        <v>102</v>
      </c>
      <c r="D8" s="5" t="s">
        <v>103</v>
      </c>
      <c r="E8" s="5" t="s">
        <v>104</v>
      </c>
      <c r="F8" s="5" t="s">
        <v>105</v>
      </c>
      <c r="G8" s="5" t="s">
        <v>106</v>
      </c>
      <c r="H8" s="5" t="s">
        <v>107</v>
      </c>
      <c r="I8" s="5" t="s">
        <v>108</v>
      </c>
    </row>
    <row r="9" spans="1:9" ht="15" customHeight="1" x14ac:dyDescent="0.3">
      <c r="A9" s="6" t="s">
        <v>54</v>
      </c>
      <c r="B9" s="11">
        <v>1</v>
      </c>
      <c r="C9" s="7">
        <v>5128</v>
      </c>
      <c r="D9" s="7">
        <v>4680</v>
      </c>
      <c r="E9" s="7">
        <v>6000</v>
      </c>
      <c r="F9" s="17">
        <f>SUM(C9:E9)</f>
        <v>15808</v>
      </c>
      <c r="G9" s="17">
        <f>Inputs!$B$12</f>
        <v>16000</v>
      </c>
      <c r="H9" s="17">
        <f>G9-F9</f>
        <v>192</v>
      </c>
      <c r="I9" s="18" t="str">
        <f>IF(F9&lt;=G9*B9,"OK","VIOLATION")</f>
        <v>OK</v>
      </c>
    </row>
    <row r="10" spans="1:9" ht="15" customHeight="1" x14ac:dyDescent="0.3">
      <c r="A10" s="6" t="s">
        <v>55</v>
      </c>
      <c r="B10" s="11">
        <v>1</v>
      </c>
      <c r="C10" s="7">
        <v>3872</v>
      </c>
      <c r="D10" s="7">
        <v>7500</v>
      </c>
      <c r="E10" s="7">
        <v>2516</v>
      </c>
      <c r="F10" s="17">
        <f>SUM(C10:E10)</f>
        <v>13888</v>
      </c>
      <c r="G10" s="17">
        <f>Inputs!$B$13</f>
        <v>14000</v>
      </c>
      <c r="H10" s="17">
        <f>G10-F10</f>
        <v>112</v>
      </c>
      <c r="I10" s="18" t="str">
        <f>IF(F10&lt;=G10*B10,"OK","VIOLATION")</f>
        <v>OK</v>
      </c>
    </row>
    <row r="11" spans="1:9" ht="15" customHeight="1" x14ac:dyDescent="0.3">
      <c r="A11" s="6" t="s">
        <v>56</v>
      </c>
      <c r="B11" s="11">
        <v>0</v>
      </c>
      <c r="C11" s="7">
        <v>0</v>
      </c>
      <c r="D11" s="7">
        <v>0</v>
      </c>
      <c r="E11" s="7">
        <v>0</v>
      </c>
      <c r="F11" s="17">
        <f>SUM(C11:E11)</f>
        <v>0</v>
      </c>
      <c r="G11" s="17">
        <f>Inputs!$B$14</f>
        <v>13000</v>
      </c>
      <c r="H11" s="17">
        <f>G11-F11</f>
        <v>13000</v>
      </c>
      <c r="I11" s="18" t="str">
        <f>IF(F11&lt;=G11*B11,"OK","VIOLATION")</f>
        <v>OK</v>
      </c>
    </row>
    <row r="12" spans="1:9" ht="15" customHeight="1" x14ac:dyDescent="0.3">
      <c r="A12" s="6" t="s">
        <v>57</v>
      </c>
      <c r="B12" s="11">
        <v>1</v>
      </c>
      <c r="C12" s="7">
        <v>9000</v>
      </c>
      <c r="D12" s="7">
        <v>2820</v>
      </c>
      <c r="E12" s="7">
        <v>0</v>
      </c>
      <c r="F12" s="17">
        <f>SUM(C12:E12)</f>
        <v>11820</v>
      </c>
      <c r="G12" s="17">
        <f>Inputs!$B$15</f>
        <v>12000</v>
      </c>
      <c r="H12" s="17">
        <f>G12-F12</f>
        <v>180</v>
      </c>
      <c r="I12" s="18" t="str">
        <f>IF(F12&lt;=G12*B12,"OK","VIOLATION")</f>
        <v>OK</v>
      </c>
    </row>
    <row r="13" spans="1:9" ht="15" customHeight="1" x14ac:dyDescent="0.3">
      <c r="A13" s="6" t="s">
        <v>58</v>
      </c>
      <c r="B13" s="11">
        <v>1</v>
      </c>
      <c r="C13" s="7">
        <v>0</v>
      </c>
      <c r="D13" s="7">
        <v>0</v>
      </c>
      <c r="E13" s="7">
        <v>3484</v>
      </c>
      <c r="F13" s="17">
        <f>SUM(C13:E13)</f>
        <v>3484</v>
      </c>
      <c r="G13" s="17">
        <f>Inputs!$B$16</f>
        <v>15000</v>
      </c>
      <c r="H13" s="17">
        <f>G13-F13</f>
        <v>11516</v>
      </c>
      <c r="I13" s="18" t="str">
        <f>IF(F13&lt;=G13*B13,"OK","VIOLATION")</f>
        <v>OK</v>
      </c>
    </row>
    <row r="14" spans="1:9" ht="15" customHeight="1" x14ac:dyDescent="0.3">
      <c r="A14" s="19" t="s">
        <v>109</v>
      </c>
      <c r="B14" s="20">
        <f t="shared" ref="B14:H14" si="0">SUM(B9:B13)</f>
        <v>4</v>
      </c>
      <c r="C14" s="21">
        <f t="shared" si="0"/>
        <v>18000</v>
      </c>
      <c r="D14" s="21">
        <f t="shared" si="0"/>
        <v>15000</v>
      </c>
      <c r="E14" s="21">
        <f t="shared" si="0"/>
        <v>12000</v>
      </c>
      <c r="F14" s="21">
        <f t="shared" si="0"/>
        <v>45000</v>
      </c>
      <c r="G14" s="21">
        <f t="shared" si="0"/>
        <v>70000</v>
      </c>
      <c r="H14" s="21">
        <f t="shared" si="0"/>
        <v>25000</v>
      </c>
      <c r="I14" s="22"/>
    </row>
    <row r="16" spans="1:9" ht="15" customHeight="1" x14ac:dyDescent="0.3">
      <c r="A16" s="49" t="s">
        <v>110</v>
      </c>
      <c r="B16" s="49"/>
      <c r="C16" s="49"/>
      <c r="D16" s="49"/>
      <c r="E16" s="49"/>
      <c r="F16" s="49"/>
      <c r="G16" s="49"/>
      <c r="H16" s="49"/>
    </row>
    <row r="17" spans="1:8" ht="23.25" customHeight="1" x14ac:dyDescent="0.3">
      <c r="A17" s="5" t="s">
        <v>39</v>
      </c>
      <c r="B17" s="5" t="s">
        <v>111</v>
      </c>
      <c r="C17" s="5" t="s">
        <v>112</v>
      </c>
      <c r="D17" s="5" t="s">
        <v>113</v>
      </c>
      <c r="E17" s="5" t="s">
        <v>114</v>
      </c>
      <c r="F17" s="5" t="s">
        <v>115</v>
      </c>
      <c r="G17" s="5" t="s">
        <v>116</v>
      </c>
      <c r="H17" s="5" t="s">
        <v>117</v>
      </c>
    </row>
    <row r="18" spans="1:8" ht="15" customHeight="1" x14ac:dyDescent="0.3">
      <c r="A18" s="6" t="s">
        <v>43</v>
      </c>
      <c r="B18" s="17">
        <f>Inputs!$B$6</f>
        <v>18000</v>
      </c>
      <c r="C18" s="17">
        <f>SUM(C9:C13)</f>
        <v>18000</v>
      </c>
      <c r="D18" s="7">
        <v>0</v>
      </c>
      <c r="E18" s="17">
        <f>MAX(0,B18-C18-D18)</f>
        <v>0</v>
      </c>
      <c r="F18" s="17">
        <f>C18+D18+E18</f>
        <v>18000</v>
      </c>
      <c r="G18" s="18" t="str">
        <f>IF(F18=B18,"OK","CHECK")</f>
        <v>OK</v>
      </c>
      <c r="H18" s="16">
        <f>Inputs!$C$6</f>
        <v>1800</v>
      </c>
    </row>
    <row r="19" spans="1:8" ht="15" customHeight="1" x14ac:dyDescent="0.3">
      <c r="A19" s="6" t="s">
        <v>45</v>
      </c>
      <c r="B19" s="17">
        <f>Inputs!$B$7</f>
        <v>15000</v>
      </c>
      <c r="C19" s="17">
        <f>SUM(D9:D13)</f>
        <v>15000</v>
      </c>
      <c r="D19" s="7">
        <v>0</v>
      </c>
      <c r="E19" s="17">
        <f>MAX(0,B19-C19-D19)</f>
        <v>0</v>
      </c>
      <c r="F19" s="17">
        <f>C19+D19+E19</f>
        <v>15000</v>
      </c>
      <c r="G19" s="18" t="str">
        <f>IF(F19=B19,"OK","CHECK")</f>
        <v>OK</v>
      </c>
      <c r="H19" s="16">
        <f>Inputs!$C$7</f>
        <v>1800</v>
      </c>
    </row>
    <row r="20" spans="1:8" ht="15" customHeight="1" x14ac:dyDescent="0.3">
      <c r="A20" s="6" t="s">
        <v>47</v>
      </c>
      <c r="B20" s="17">
        <f>Inputs!$B$8</f>
        <v>12000</v>
      </c>
      <c r="C20" s="17">
        <f>SUM(E9:E13)</f>
        <v>12000</v>
      </c>
      <c r="D20" s="7">
        <v>0</v>
      </c>
      <c r="E20" s="17">
        <f>MAX(0,B20-C20-D20)</f>
        <v>0</v>
      </c>
      <c r="F20" s="17">
        <f>C20+D20+E20</f>
        <v>12000</v>
      </c>
      <c r="G20" s="18" t="str">
        <f>IF(F20=B20,"OK","CHECK")</f>
        <v>OK</v>
      </c>
      <c r="H20" s="16">
        <f>Inputs!$C$8</f>
        <v>2050</v>
      </c>
    </row>
    <row r="22" spans="1:8" ht="15" customHeight="1" x14ac:dyDescent="0.3">
      <c r="A22" s="49" t="s">
        <v>118</v>
      </c>
      <c r="B22" s="49"/>
      <c r="C22" s="49"/>
      <c r="D22" s="49"/>
      <c r="E22" s="49"/>
      <c r="F22" s="49"/>
      <c r="G22" s="49"/>
      <c r="H22" s="49"/>
    </row>
    <row r="23" spans="1:8" ht="23.25" customHeight="1" x14ac:dyDescent="0.3">
      <c r="A23" s="5" t="s">
        <v>49</v>
      </c>
      <c r="B23" s="5" t="s">
        <v>119</v>
      </c>
      <c r="C23" s="5" t="s">
        <v>120</v>
      </c>
      <c r="D23" s="5" t="s">
        <v>121</v>
      </c>
      <c r="E23" s="5" t="s">
        <v>122</v>
      </c>
      <c r="F23" s="5" t="s">
        <v>123</v>
      </c>
      <c r="G23" s="5" t="s">
        <v>124</v>
      </c>
      <c r="H23" s="5" t="s">
        <v>125</v>
      </c>
    </row>
    <row r="24" spans="1:8" ht="15" customHeight="1" x14ac:dyDescent="0.3">
      <c r="A24" s="6" t="s">
        <v>54</v>
      </c>
      <c r="B24" s="13">
        <f>C9/$B$18</f>
        <v>0.28488888888888891</v>
      </c>
      <c r="C24" s="13">
        <f>D9/$B$19</f>
        <v>0.312</v>
      </c>
      <c r="D24" s="13">
        <f>E9/$B$20</f>
        <v>0.5</v>
      </c>
      <c r="E24" s="13">
        <f>$D$4</f>
        <v>0.5</v>
      </c>
      <c r="F24" s="18" t="str">
        <f>IF(B24&lt;=$E$24+0.0001,"OK","OVER")</f>
        <v>OK</v>
      </c>
      <c r="G24" s="18" t="str">
        <f>IF(C24&lt;=$E$24+0.0001,"OK","OVER")</f>
        <v>OK</v>
      </c>
      <c r="H24" s="18" t="str">
        <f>IF(D24&lt;=$E$24+0.0001,"OK","OVER")</f>
        <v>OK</v>
      </c>
    </row>
    <row r="25" spans="1:8" ht="15" customHeight="1" x14ac:dyDescent="0.3">
      <c r="A25" s="6" t="s">
        <v>55</v>
      </c>
      <c r="B25" s="13">
        <f>C10/$B$18</f>
        <v>0.21511111111111111</v>
      </c>
      <c r="C25" s="13">
        <f>D10/$B$19</f>
        <v>0.5</v>
      </c>
      <c r="D25" s="13">
        <f>E10/$B$20</f>
        <v>0.20966666666666667</v>
      </c>
      <c r="E25" s="13">
        <f>$D$4</f>
        <v>0.5</v>
      </c>
      <c r="F25" s="18" t="str">
        <f>IF(B25&lt;=$E$25+0.0001,"OK","OVER")</f>
        <v>OK</v>
      </c>
      <c r="G25" s="18" t="str">
        <f>IF(C25&lt;=$E$25+0.0001,"OK","OVER")</f>
        <v>OK</v>
      </c>
      <c r="H25" s="18" t="str">
        <f>IF(D25&lt;=$E$25+0.0001,"OK","OVER")</f>
        <v>OK</v>
      </c>
    </row>
    <row r="26" spans="1:8" ht="15" customHeight="1" x14ac:dyDescent="0.3">
      <c r="A26" s="6" t="s">
        <v>56</v>
      </c>
      <c r="B26" s="13">
        <f>C11/$B$18</f>
        <v>0</v>
      </c>
      <c r="C26" s="13">
        <f>D11/$B$19</f>
        <v>0</v>
      </c>
      <c r="D26" s="13">
        <f>E11/$B$20</f>
        <v>0</v>
      </c>
      <c r="E26" s="13">
        <f>$D$4</f>
        <v>0.5</v>
      </c>
      <c r="F26" s="18" t="str">
        <f>IF(B26&lt;=$E$26+0.0001,"OK","OVER")</f>
        <v>OK</v>
      </c>
      <c r="G26" s="18" t="str">
        <f>IF(C26&lt;=$E$26+0.0001,"OK","OVER")</f>
        <v>OK</v>
      </c>
      <c r="H26" s="18" t="str">
        <f>IF(D26&lt;=$E$26+0.0001,"OK","OVER")</f>
        <v>OK</v>
      </c>
    </row>
    <row r="27" spans="1:8" ht="15" customHeight="1" x14ac:dyDescent="0.3">
      <c r="A27" s="6" t="s">
        <v>57</v>
      </c>
      <c r="B27" s="13">
        <f>C12/$B$18</f>
        <v>0.5</v>
      </c>
      <c r="C27" s="13">
        <f>D12/$B$19</f>
        <v>0.188</v>
      </c>
      <c r="D27" s="13">
        <f>E12/$B$20</f>
        <v>0</v>
      </c>
      <c r="E27" s="13">
        <f>$D$4</f>
        <v>0.5</v>
      </c>
      <c r="F27" s="18" t="str">
        <f>IF(B27&lt;=$E$27+0.0001,"OK","OVER")</f>
        <v>OK</v>
      </c>
      <c r="G27" s="18" t="str">
        <f>IF(C27&lt;=$E$27+0.0001,"OK","OVER")</f>
        <v>OK</v>
      </c>
      <c r="H27" s="18" t="str">
        <f>IF(D27&lt;=$E$27+0.0001,"OK","OVER")</f>
        <v>OK</v>
      </c>
    </row>
    <row r="28" spans="1:8" ht="15" customHeight="1" x14ac:dyDescent="0.3">
      <c r="A28" s="6" t="s">
        <v>58</v>
      </c>
      <c r="B28" s="13">
        <f>C13/$B$18</f>
        <v>0</v>
      </c>
      <c r="C28" s="13">
        <f>D13/$B$19</f>
        <v>0</v>
      </c>
      <c r="D28" s="13">
        <f>E13/$B$20</f>
        <v>0.29033333333333333</v>
      </c>
      <c r="E28" s="13">
        <f>$D$4</f>
        <v>0.5</v>
      </c>
      <c r="F28" s="18" t="str">
        <f>IF(B28&lt;=$E$28+0.0001,"OK","OVER")</f>
        <v>OK</v>
      </c>
      <c r="G28" s="18" t="str">
        <f>IF(C28&lt;=$E$28+0.0001,"OK","OVER")</f>
        <v>OK</v>
      </c>
      <c r="H28" s="18" t="str">
        <f>IF(D28&lt;=$E$28+0.0001,"OK","OVER")</f>
        <v>OK</v>
      </c>
    </row>
    <row r="30" spans="1:8" ht="15" customHeight="1" x14ac:dyDescent="0.3">
      <c r="A30" s="49" t="s">
        <v>126</v>
      </c>
      <c r="B30" s="49"/>
      <c r="C30" s="49"/>
      <c r="D30" s="49"/>
      <c r="E30" s="49"/>
      <c r="F30" s="49"/>
      <c r="G30" s="49"/>
      <c r="H30" s="49"/>
    </row>
    <row r="31" spans="1:8" ht="15" customHeight="1" x14ac:dyDescent="0.3">
      <c r="A31" s="12" t="s">
        <v>127</v>
      </c>
      <c r="F31" s="23">
        <f>COUNTIF(C9:C13,"&gt;0")</f>
        <v>3</v>
      </c>
      <c r="G31" s="18" t="str">
        <f>IF(F31&gt;=2,"OK","RISK")</f>
        <v>OK</v>
      </c>
    </row>
    <row r="32" spans="1:8" ht="15" customHeight="1" x14ac:dyDescent="0.3">
      <c r="A32" s="12" t="s">
        <v>128</v>
      </c>
      <c r="F32" s="23">
        <f>COUNTIF(E9:E13,"&gt;0")</f>
        <v>3</v>
      </c>
      <c r="G32" s="18" t="str">
        <f>IF(F32&gt;=2,"OK","RISK")</f>
        <v>OK</v>
      </c>
    </row>
    <row r="34" spans="1:8" ht="15" customHeight="1" x14ac:dyDescent="0.3">
      <c r="A34" s="49" t="s">
        <v>129</v>
      </c>
      <c r="B34" s="49"/>
      <c r="C34" s="49"/>
      <c r="D34" s="49"/>
      <c r="E34" s="49"/>
      <c r="F34" s="49"/>
      <c r="G34" s="49"/>
      <c r="H34" s="49"/>
    </row>
    <row r="35" spans="1:8" ht="45.75" customHeight="1" x14ac:dyDescent="0.3">
      <c r="A35" s="5" t="s">
        <v>49</v>
      </c>
      <c r="B35" s="5" t="s">
        <v>130</v>
      </c>
      <c r="C35" s="5" t="s">
        <v>131</v>
      </c>
      <c r="D35" s="5" t="s">
        <v>132</v>
      </c>
      <c r="E35" s="5" t="s">
        <v>133</v>
      </c>
      <c r="F35" s="5" t="s">
        <v>134</v>
      </c>
      <c r="G35" s="5" t="s">
        <v>135</v>
      </c>
      <c r="H35" s="5" t="s">
        <v>136</v>
      </c>
    </row>
    <row r="36" spans="1:8" ht="15" customHeight="1" x14ac:dyDescent="0.3">
      <c r="A36" s="6" t="s">
        <v>54</v>
      </c>
      <c r="B36" s="24">
        <f>(Inputs!$C$12+Inputs!$B$20)/Inputs!$B$28</f>
        <v>1077.9352226720648</v>
      </c>
      <c r="C36" s="24">
        <f>(Inputs!$C$12+Inputs!$C$20)/Inputs!$B$28</f>
        <v>1103.2388663967611</v>
      </c>
      <c r="D36" s="24">
        <f>(Inputs!$C$12+Inputs!$D$20)/Inputs!$B$28</f>
        <v>1093.1174089068827</v>
      </c>
      <c r="E36" s="16">
        <f t="shared" ref="E36:G40" si="1">C9*B36</f>
        <v>5527651.8218623484</v>
      </c>
      <c r="F36" s="16">
        <f t="shared" si="1"/>
        <v>5163157.8947368423</v>
      </c>
      <c r="G36" s="16">
        <f t="shared" si="1"/>
        <v>6558704.4534412958</v>
      </c>
      <c r="H36" s="16">
        <f>SUM(E36:G36)</f>
        <v>17249514.170040488</v>
      </c>
    </row>
    <row r="37" spans="1:8" ht="15" customHeight="1" x14ac:dyDescent="0.3">
      <c r="A37" s="6" t="s">
        <v>55</v>
      </c>
      <c r="B37" s="24">
        <f>(Inputs!$C$13+Inputs!$B$21)/Inputs!$B$29</f>
        <v>1043.3467741935483</v>
      </c>
      <c r="C37" s="24">
        <f>(Inputs!$C$13+Inputs!$C$21)/Inputs!$B$29</f>
        <v>1028.2258064516129</v>
      </c>
      <c r="D37" s="24">
        <f>(Inputs!$C$13+Inputs!$D$21)/Inputs!$B$29</f>
        <v>1073.5887096774193</v>
      </c>
      <c r="E37" s="16">
        <f t="shared" si="1"/>
        <v>4039838.7096774192</v>
      </c>
      <c r="F37" s="16">
        <f t="shared" si="1"/>
        <v>7711693.5483870972</v>
      </c>
      <c r="G37" s="16">
        <f t="shared" si="1"/>
        <v>2701149.1935483869</v>
      </c>
      <c r="H37" s="16">
        <f>SUM(E37:G37)</f>
        <v>14452681.451612903</v>
      </c>
    </row>
    <row r="38" spans="1:8" ht="15" customHeight="1" x14ac:dyDescent="0.3">
      <c r="A38" s="6" t="s">
        <v>56</v>
      </c>
      <c r="B38" s="24">
        <f>(Inputs!$C$14+Inputs!$B$22)/Inputs!$B$30</f>
        <v>1125.6281407035176</v>
      </c>
      <c r="C38" s="24">
        <f>(Inputs!$C$14+Inputs!$C$22)/Inputs!$B$30</f>
        <v>1105.5276381909548</v>
      </c>
      <c r="D38" s="24">
        <f>(Inputs!$C$14+Inputs!$D$22)/Inputs!$B$30</f>
        <v>1130.6532663316582</v>
      </c>
      <c r="E38" s="16">
        <f t="shared" si="1"/>
        <v>0</v>
      </c>
      <c r="F38" s="16">
        <f t="shared" si="1"/>
        <v>0</v>
      </c>
      <c r="G38" s="16">
        <f t="shared" si="1"/>
        <v>0</v>
      </c>
      <c r="H38" s="16">
        <f>SUM(E38:G38)</f>
        <v>0</v>
      </c>
    </row>
    <row r="39" spans="1:8" ht="15" customHeight="1" x14ac:dyDescent="0.3">
      <c r="A39" s="6" t="s">
        <v>57</v>
      </c>
      <c r="B39" s="24">
        <f>(Inputs!$C$15+Inputs!$B$23)/Inputs!$B$31</f>
        <v>1000</v>
      </c>
      <c r="C39" s="24">
        <f>(Inputs!$C$15+Inputs!$C$23)/Inputs!$B$31</f>
        <v>1030.4568527918782</v>
      </c>
      <c r="D39" s="24">
        <f>(Inputs!$C$15+Inputs!$D$23)/Inputs!$B$31</f>
        <v>1055.8375634517768</v>
      </c>
      <c r="E39" s="16">
        <f t="shared" si="1"/>
        <v>9000000</v>
      </c>
      <c r="F39" s="16">
        <f t="shared" si="1"/>
        <v>2905888.3248730963</v>
      </c>
      <c r="G39" s="16">
        <f t="shared" si="1"/>
        <v>0</v>
      </c>
      <c r="H39" s="16">
        <f>SUM(E39:G39)</f>
        <v>11905888.324873097</v>
      </c>
    </row>
    <row r="40" spans="1:8" ht="15" customHeight="1" x14ac:dyDescent="0.3">
      <c r="A40" s="6" t="s">
        <v>58</v>
      </c>
      <c r="B40" s="24">
        <f>(Inputs!$C$16+Inputs!$B$24)/Inputs!$B$32</f>
        <v>1177.0623742454729</v>
      </c>
      <c r="C40" s="24">
        <f>(Inputs!$C$16+Inputs!$C$24)/Inputs!$B$32</f>
        <v>1172.0321931589538</v>
      </c>
      <c r="D40" s="24">
        <f>(Inputs!$C$16+Inputs!$D$24)/Inputs!$B$32</f>
        <v>1136.82092555332</v>
      </c>
      <c r="E40" s="16">
        <f t="shared" si="1"/>
        <v>0</v>
      </c>
      <c r="F40" s="16">
        <f t="shared" si="1"/>
        <v>0</v>
      </c>
      <c r="G40" s="16">
        <f t="shared" si="1"/>
        <v>3960684.1046277666</v>
      </c>
      <c r="H40" s="16">
        <f>SUM(E40:G40)</f>
        <v>3960684.1046277666</v>
      </c>
    </row>
    <row r="41" spans="1:8" ht="15" customHeight="1" x14ac:dyDescent="0.3">
      <c r="A41" s="19" t="s">
        <v>137</v>
      </c>
      <c r="B41" s="22"/>
      <c r="C41" s="22"/>
      <c r="D41" s="22"/>
      <c r="E41" s="25">
        <f>SUM(E36:E40)</f>
        <v>18567490.531539768</v>
      </c>
      <c r="F41" s="25">
        <f>SUM(F36:F40)</f>
        <v>15780739.767997038</v>
      </c>
      <c r="G41" s="25">
        <f>SUM(G36:G40)</f>
        <v>13220537.75161745</v>
      </c>
      <c r="H41" s="25">
        <f>SUM(H36:H40)</f>
        <v>47568768.051154256</v>
      </c>
    </row>
    <row r="43" spans="1:8" ht="15" customHeight="1" x14ac:dyDescent="0.3">
      <c r="A43" s="12" t="s">
        <v>138</v>
      </c>
      <c r="F43" s="16">
        <f>SUM(D18:D20)*Inputs!$B$35</f>
        <v>0</v>
      </c>
    </row>
    <row r="44" spans="1:8" ht="15" customHeight="1" x14ac:dyDescent="0.3">
      <c r="A44" s="12" t="s">
        <v>139</v>
      </c>
      <c r="F44" s="16">
        <f>SUMPRODUCT(E18:E20,H18:H20)</f>
        <v>0</v>
      </c>
    </row>
    <row r="45" spans="1:8" ht="15" customHeight="1" x14ac:dyDescent="0.3">
      <c r="A45" s="12" t="s">
        <v>140</v>
      </c>
      <c r="F45" s="16">
        <f>SUMPRODUCT(B9:B13,Inputs!$D$12:$D$16)</f>
        <v>1010000</v>
      </c>
    </row>
    <row r="47" spans="1:8" ht="15" customHeight="1" x14ac:dyDescent="0.3">
      <c r="A47" s="54" t="s">
        <v>141</v>
      </c>
      <c r="B47" s="54"/>
      <c r="C47" s="54"/>
      <c r="D47" s="54"/>
      <c r="E47" s="54"/>
      <c r="F47" s="26">
        <f>H41+F43+F44+F45</f>
        <v>48578768.051154256</v>
      </c>
    </row>
    <row r="49" spans="1:6" ht="15" customHeight="1" x14ac:dyDescent="0.3">
      <c r="A49" s="12" t="s">
        <v>142</v>
      </c>
      <c r="F49" s="18" t="str">
        <f>IF(F45&lt;=Inputs!$B$60,"Within ₹9L preference","Exceeds ₹9L preference (see Sensitivity)")</f>
        <v>Exceeds ₹9L preference (see Sensitivity)</v>
      </c>
    </row>
    <row r="50" spans="1:6" ht="15" customHeight="1" x14ac:dyDescent="0.3">
      <c r="A50" s="12" t="s">
        <v>143</v>
      </c>
      <c r="F50" s="23">
        <f>SUM(B9:B13)</f>
        <v>4</v>
      </c>
    </row>
  </sheetData>
  <mergeCells count="8">
    <mergeCell ref="A30:H30"/>
    <mergeCell ref="A34:H34"/>
    <mergeCell ref="A47:E47"/>
    <mergeCell ref="A1:H1"/>
    <mergeCell ref="A2:I2"/>
    <mergeCell ref="A7:I7"/>
    <mergeCell ref="A16:H16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"/>
  <sheetViews>
    <sheetView showGridLines="0" topLeftCell="A20" zoomScaleNormal="100" workbookViewId="0">
      <selection sqref="A1:H1"/>
    </sheetView>
  </sheetViews>
  <sheetFormatPr defaultColWidth="8.6640625" defaultRowHeight="14.4" x14ac:dyDescent="0.3"/>
  <cols>
    <col min="1" max="1" width="16" customWidth="1"/>
    <col min="2" max="5" width="13" customWidth="1"/>
    <col min="6" max="6" width="15" customWidth="1"/>
    <col min="7" max="8" width="13" customWidth="1"/>
    <col min="9" max="9" width="15" customWidth="1"/>
  </cols>
  <sheetData>
    <row r="1" spans="1:9" ht="21.75" customHeight="1" x14ac:dyDescent="0.3">
      <c r="A1" s="47" t="s">
        <v>145</v>
      </c>
      <c r="B1" s="47"/>
      <c r="C1" s="47"/>
      <c r="D1" s="47"/>
      <c r="E1" s="47"/>
      <c r="F1" s="47"/>
      <c r="G1" s="47"/>
      <c r="H1" s="47"/>
    </row>
    <row r="2" spans="1:9" ht="27.75" customHeight="1" x14ac:dyDescent="0.3">
      <c r="A2" s="48" t="s">
        <v>97</v>
      </c>
      <c r="B2" s="48"/>
      <c r="C2" s="48"/>
      <c r="D2" s="48"/>
      <c r="E2" s="48"/>
      <c r="F2" s="48"/>
      <c r="G2" s="48"/>
      <c r="H2" s="48"/>
      <c r="I2" s="48"/>
    </row>
    <row r="4" spans="1:9" ht="15" customHeight="1" x14ac:dyDescent="0.3">
      <c r="A4" s="12" t="s">
        <v>98</v>
      </c>
      <c r="D4" s="10">
        <v>0.4</v>
      </c>
    </row>
    <row r="5" spans="1:9" ht="15" customHeight="1" x14ac:dyDescent="0.3">
      <c r="A5" s="12" t="s">
        <v>99</v>
      </c>
      <c r="D5" s="16">
        <f>Inputs!$B$60</f>
        <v>4</v>
      </c>
    </row>
    <row r="7" spans="1:9" ht="15" customHeight="1" x14ac:dyDescent="0.3">
      <c r="A7" s="49" t="s">
        <v>100</v>
      </c>
      <c r="B7" s="49"/>
      <c r="C7" s="49"/>
      <c r="D7" s="49"/>
      <c r="E7" s="49"/>
      <c r="F7" s="49"/>
      <c r="G7" s="49"/>
      <c r="H7" s="49"/>
      <c r="I7" s="49"/>
    </row>
    <row r="8" spans="1:9" ht="23.25" customHeight="1" x14ac:dyDescent="0.3">
      <c r="A8" s="5" t="s">
        <v>49</v>
      </c>
      <c r="B8" s="5" t="s">
        <v>101</v>
      </c>
      <c r="C8" s="5" t="s">
        <v>102</v>
      </c>
      <c r="D8" s="5" t="s">
        <v>103</v>
      </c>
      <c r="E8" s="5" t="s">
        <v>104</v>
      </c>
      <c r="F8" s="5" t="s">
        <v>105</v>
      </c>
      <c r="G8" s="5" t="s">
        <v>106</v>
      </c>
      <c r="H8" s="5" t="s">
        <v>107</v>
      </c>
      <c r="I8" s="5" t="s">
        <v>108</v>
      </c>
    </row>
    <row r="9" spans="1:9" ht="15" customHeight="1" x14ac:dyDescent="0.3">
      <c r="A9" s="6" t="s">
        <v>54</v>
      </c>
      <c r="B9" s="11">
        <v>1</v>
      </c>
      <c r="C9" s="7">
        <v>7200</v>
      </c>
      <c r="D9" s="7">
        <v>0</v>
      </c>
      <c r="E9" s="7">
        <v>4800</v>
      </c>
      <c r="F9" s="17">
        <f>SUM(C9:E9)</f>
        <v>12000</v>
      </c>
      <c r="G9" s="17">
        <f>Inputs!$B$12</f>
        <v>16000</v>
      </c>
      <c r="H9" s="17">
        <f>G9-F9</f>
        <v>4000</v>
      </c>
      <c r="I9" s="18" t="str">
        <f>IF(F9&lt;=G9*B9,"OK","VIOLATION")</f>
        <v>OK</v>
      </c>
    </row>
    <row r="10" spans="1:9" ht="15" customHeight="1" x14ac:dyDescent="0.3">
      <c r="A10" s="6" t="s">
        <v>55</v>
      </c>
      <c r="B10" s="11">
        <v>1</v>
      </c>
      <c r="C10" s="7">
        <v>3600</v>
      </c>
      <c r="D10" s="7">
        <v>6000</v>
      </c>
      <c r="E10" s="7">
        <v>4288</v>
      </c>
      <c r="F10" s="17">
        <f>SUM(C10:E10)</f>
        <v>13888</v>
      </c>
      <c r="G10" s="17">
        <f>Inputs!$B$13</f>
        <v>14000</v>
      </c>
      <c r="H10" s="17">
        <f>G10-F10</f>
        <v>112</v>
      </c>
      <c r="I10" s="18" t="str">
        <f>IF(F10&lt;=G10*B10,"OK","VIOLATION")</f>
        <v>OK</v>
      </c>
    </row>
    <row r="11" spans="1:9" ht="15" customHeight="1" x14ac:dyDescent="0.3">
      <c r="A11" s="6" t="s">
        <v>56</v>
      </c>
      <c r="B11" s="11">
        <v>1</v>
      </c>
      <c r="C11" s="7">
        <v>0</v>
      </c>
      <c r="D11" s="7">
        <v>4380</v>
      </c>
      <c r="E11" s="7">
        <v>2912</v>
      </c>
      <c r="F11" s="17">
        <f>SUM(C11:E11)</f>
        <v>7292</v>
      </c>
      <c r="G11" s="17">
        <f>Inputs!$B$14</f>
        <v>13000</v>
      </c>
      <c r="H11" s="17">
        <f>G11-F11</f>
        <v>5708</v>
      </c>
      <c r="I11" s="18" t="str">
        <f>IF(F11&lt;=G11*B11,"OK","VIOLATION")</f>
        <v>OK</v>
      </c>
    </row>
    <row r="12" spans="1:9" ht="15" customHeight="1" x14ac:dyDescent="0.3">
      <c r="A12" s="6" t="s">
        <v>57</v>
      </c>
      <c r="B12" s="11">
        <v>1</v>
      </c>
      <c r="C12" s="7">
        <v>7200</v>
      </c>
      <c r="D12" s="7">
        <v>4620</v>
      </c>
      <c r="E12" s="7">
        <v>0</v>
      </c>
      <c r="F12" s="17">
        <f>SUM(C12:E12)</f>
        <v>11820</v>
      </c>
      <c r="G12" s="17">
        <f>Inputs!$B$15</f>
        <v>12000</v>
      </c>
      <c r="H12" s="17">
        <f>G12-F12</f>
        <v>180</v>
      </c>
      <c r="I12" s="18" t="str">
        <f>IF(F12&lt;=G12*B12,"OK","VIOLATION")</f>
        <v>OK</v>
      </c>
    </row>
    <row r="13" spans="1:9" ht="15" customHeight="1" x14ac:dyDescent="0.3">
      <c r="A13" s="6" t="s">
        <v>58</v>
      </c>
      <c r="B13" s="11">
        <v>1</v>
      </c>
      <c r="C13" s="7">
        <v>0</v>
      </c>
      <c r="D13" s="7">
        <v>0</v>
      </c>
      <c r="E13" s="7">
        <v>0</v>
      </c>
      <c r="F13" s="17">
        <f>SUM(C13:E13)</f>
        <v>0</v>
      </c>
      <c r="G13" s="17">
        <f>Inputs!$B$16</f>
        <v>15000</v>
      </c>
      <c r="H13" s="17">
        <f>G13-F13</f>
        <v>15000</v>
      </c>
      <c r="I13" s="18" t="str">
        <f>IF(F13&lt;=G13*B13,"OK","VIOLATION")</f>
        <v>OK</v>
      </c>
    </row>
    <row r="14" spans="1:9" ht="15" customHeight="1" x14ac:dyDescent="0.3">
      <c r="A14" s="19" t="s">
        <v>109</v>
      </c>
      <c r="B14" s="20">
        <f t="shared" ref="B14:H14" si="0">SUM(B9:B13)</f>
        <v>5</v>
      </c>
      <c r="C14" s="21">
        <f t="shared" si="0"/>
        <v>18000</v>
      </c>
      <c r="D14" s="21">
        <f t="shared" si="0"/>
        <v>15000</v>
      </c>
      <c r="E14" s="21">
        <f t="shared" si="0"/>
        <v>12000</v>
      </c>
      <c r="F14" s="21">
        <f t="shared" si="0"/>
        <v>45000</v>
      </c>
      <c r="G14" s="21">
        <f t="shared" si="0"/>
        <v>70000</v>
      </c>
      <c r="H14" s="21">
        <f t="shared" si="0"/>
        <v>25000</v>
      </c>
      <c r="I14" s="22"/>
    </row>
    <row r="16" spans="1:9" ht="15" customHeight="1" x14ac:dyDescent="0.3">
      <c r="A16" s="49" t="s">
        <v>110</v>
      </c>
      <c r="B16" s="49"/>
      <c r="C16" s="49"/>
      <c r="D16" s="49"/>
      <c r="E16" s="49"/>
      <c r="F16" s="49"/>
      <c r="G16" s="49"/>
      <c r="H16" s="49"/>
    </row>
    <row r="17" spans="1:8" ht="23.25" customHeight="1" x14ac:dyDescent="0.3">
      <c r="A17" s="5" t="s">
        <v>39</v>
      </c>
      <c r="B17" s="5" t="s">
        <v>111</v>
      </c>
      <c r="C17" s="5" t="s">
        <v>112</v>
      </c>
      <c r="D17" s="5" t="s">
        <v>113</v>
      </c>
      <c r="E17" s="5" t="s">
        <v>114</v>
      </c>
      <c r="F17" s="5" t="s">
        <v>115</v>
      </c>
      <c r="G17" s="5" t="s">
        <v>116</v>
      </c>
      <c r="H17" s="5" t="s">
        <v>117</v>
      </c>
    </row>
    <row r="18" spans="1:8" ht="15" customHeight="1" x14ac:dyDescent="0.3">
      <c r="A18" s="6" t="s">
        <v>43</v>
      </c>
      <c r="B18" s="17">
        <f>Inputs!$B$6</f>
        <v>18000</v>
      </c>
      <c r="C18" s="17">
        <f>SUM(C9:C13)</f>
        <v>18000</v>
      </c>
      <c r="D18" s="7">
        <v>0</v>
      </c>
      <c r="E18" s="17">
        <f>MAX(0,B18-C18-D18)</f>
        <v>0</v>
      </c>
      <c r="F18" s="17">
        <f>C18+D18+E18</f>
        <v>18000</v>
      </c>
      <c r="G18" s="18" t="str">
        <f>IF(F18=B18,"OK","CHECK")</f>
        <v>OK</v>
      </c>
      <c r="H18" s="16">
        <f>Inputs!$C$6</f>
        <v>1800</v>
      </c>
    </row>
    <row r="19" spans="1:8" ht="15" customHeight="1" x14ac:dyDescent="0.3">
      <c r="A19" s="6" t="s">
        <v>45</v>
      </c>
      <c r="B19" s="17">
        <f>Inputs!$B$7</f>
        <v>15000</v>
      </c>
      <c r="C19" s="17">
        <f>SUM(D9:D13)</f>
        <v>15000</v>
      </c>
      <c r="D19" s="7">
        <v>0</v>
      </c>
      <c r="E19" s="17">
        <f>MAX(0,B19-C19-D19)</f>
        <v>0</v>
      </c>
      <c r="F19" s="17">
        <f>C19+D19+E19</f>
        <v>15000</v>
      </c>
      <c r="G19" s="18" t="str">
        <f>IF(F19=B19,"OK","CHECK")</f>
        <v>OK</v>
      </c>
      <c r="H19" s="16">
        <f>Inputs!$C$7</f>
        <v>1800</v>
      </c>
    </row>
    <row r="20" spans="1:8" ht="15" customHeight="1" x14ac:dyDescent="0.3">
      <c r="A20" s="6" t="s">
        <v>47</v>
      </c>
      <c r="B20" s="17">
        <f>Inputs!$B$8</f>
        <v>12000</v>
      </c>
      <c r="C20" s="17">
        <f>SUM(E9:E13)</f>
        <v>12000</v>
      </c>
      <c r="D20" s="7">
        <v>0</v>
      </c>
      <c r="E20" s="17">
        <f>MAX(0,B20-C20-D20)</f>
        <v>0</v>
      </c>
      <c r="F20" s="17">
        <f>C20+D20+E20</f>
        <v>12000</v>
      </c>
      <c r="G20" s="18" t="str">
        <f>IF(F20=B20,"OK","CHECK")</f>
        <v>OK</v>
      </c>
      <c r="H20" s="16">
        <f>Inputs!$C$8</f>
        <v>2050</v>
      </c>
    </row>
    <row r="22" spans="1:8" ht="15" customHeight="1" x14ac:dyDescent="0.3">
      <c r="A22" s="49" t="s">
        <v>118</v>
      </c>
      <c r="B22" s="49"/>
      <c r="C22" s="49"/>
      <c r="D22" s="49"/>
      <c r="E22" s="49"/>
      <c r="F22" s="49"/>
      <c r="G22" s="49"/>
      <c r="H22" s="49"/>
    </row>
    <row r="23" spans="1:8" ht="23.25" customHeight="1" x14ac:dyDescent="0.3">
      <c r="A23" s="5" t="s">
        <v>49</v>
      </c>
      <c r="B23" s="5" t="s">
        <v>119</v>
      </c>
      <c r="C23" s="5" t="s">
        <v>120</v>
      </c>
      <c r="D23" s="5" t="s">
        <v>121</v>
      </c>
      <c r="E23" s="5" t="s">
        <v>122</v>
      </c>
      <c r="F23" s="5" t="s">
        <v>123</v>
      </c>
      <c r="G23" s="5" t="s">
        <v>124</v>
      </c>
      <c r="H23" s="5" t="s">
        <v>125</v>
      </c>
    </row>
    <row r="24" spans="1:8" ht="15" customHeight="1" x14ac:dyDescent="0.3">
      <c r="A24" s="6" t="s">
        <v>54</v>
      </c>
      <c r="B24" s="13">
        <f>C9/$B$18</f>
        <v>0.4</v>
      </c>
      <c r="C24" s="13">
        <f>D9/$B$19</f>
        <v>0</v>
      </c>
      <c r="D24" s="13">
        <f>E9/$B$20</f>
        <v>0.4</v>
      </c>
      <c r="E24" s="13">
        <f>$D$4</f>
        <v>0.4</v>
      </c>
      <c r="F24" s="18" t="str">
        <f>IF(B24&lt;=$E$24+0.0001,"OK","OVER")</f>
        <v>OK</v>
      </c>
      <c r="G24" s="18" t="str">
        <f>IF(C24&lt;=$E$24+0.0001,"OK","OVER")</f>
        <v>OK</v>
      </c>
      <c r="H24" s="18" t="str">
        <f>IF(D24&lt;=$E$24+0.0001,"OK","OVER")</f>
        <v>OK</v>
      </c>
    </row>
    <row r="25" spans="1:8" ht="15" customHeight="1" x14ac:dyDescent="0.3">
      <c r="A25" s="6" t="s">
        <v>55</v>
      </c>
      <c r="B25" s="13">
        <f>C10/$B$18</f>
        <v>0.2</v>
      </c>
      <c r="C25" s="13">
        <f>D10/$B$19</f>
        <v>0.4</v>
      </c>
      <c r="D25" s="13">
        <f>E10/$B$20</f>
        <v>0.35733333333333334</v>
      </c>
      <c r="E25" s="13">
        <f>$D$4</f>
        <v>0.4</v>
      </c>
      <c r="F25" s="18" t="str">
        <f>IF(B25&lt;=$E$25+0.0001,"OK","OVER")</f>
        <v>OK</v>
      </c>
      <c r="G25" s="18" t="str">
        <f>IF(C25&lt;=$E$25+0.0001,"OK","OVER")</f>
        <v>OK</v>
      </c>
      <c r="H25" s="18" t="str">
        <f>IF(D25&lt;=$E$25+0.0001,"OK","OVER")</f>
        <v>OK</v>
      </c>
    </row>
    <row r="26" spans="1:8" ht="15" customHeight="1" x14ac:dyDescent="0.3">
      <c r="A26" s="6" t="s">
        <v>56</v>
      </c>
      <c r="B26" s="13">
        <f>C11/$B$18</f>
        <v>0</v>
      </c>
      <c r="C26" s="13">
        <f>D11/$B$19</f>
        <v>0.29199999999999998</v>
      </c>
      <c r="D26" s="13">
        <f>E11/$B$20</f>
        <v>0.24266666666666667</v>
      </c>
      <c r="E26" s="13">
        <f>$D$4</f>
        <v>0.4</v>
      </c>
      <c r="F26" s="18" t="str">
        <f>IF(B26&lt;=$E$26+0.0001,"OK","OVER")</f>
        <v>OK</v>
      </c>
      <c r="G26" s="18" t="str">
        <f>IF(C26&lt;=$E$26+0.0001,"OK","OVER")</f>
        <v>OK</v>
      </c>
      <c r="H26" s="18" t="str">
        <f>IF(D26&lt;=$E$26+0.0001,"OK","OVER")</f>
        <v>OK</v>
      </c>
    </row>
    <row r="27" spans="1:8" ht="15" customHeight="1" x14ac:dyDescent="0.3">
      <c r="A27" s="6" t="s">
        <v>57</v>
      </c>
      <c r="B27" s="13">
        <f>C12/$B$18</f>
        <v>0.4</v>
      </c>
      <c r="C27" s="13">
        <f>D12/$B$19</f>
        <v>0.308</v>
      </c>
      <c r="D27" s="13">
        <f>E12/$B$20</f>
        <v>0</v>
      </c>
      <c r="E27" s="13">
        <f>$D$4</f>
        <v>0.4</v>
      </c>
      <c r="F27" s="18" t="str">
        <f>IF(B27&lt;=$E$27+0.0001,"OK","OVER")</f>
        <v>OK</v>
      </c>
      <c r="G27" s="18" t="str">
        <f>IF(C27&lt;=$E$27+0.0001,"OK","OVER")</f>
        <v>OK</v>
      </c>
      <c r="H27" s="18" t="str">
        <f>IF(D27&lt;=$E$27+0.0001,"OK","OVER")</f>
        <v>OK</v>
      </c>
    </row>
    <row r="28" spans="1:8" ht="15" customHeight="1" x14ac:dyDescent="0.3">
      <c r="A28" s="6" t="s">
        <v>58</v>
      </c>
      <c r="B28" s="13">
        <f>C13/$B$18</f>
        <v>0</v>
      </c>
      <c r="C28" s="13">
        <f>D13/$B$19</f>
        <v>0</v>
      </c>
      <c r="D28" s="13">
        <f>E13/$B$20</f>
        <v>0</v>
      </c>
      <c r="E28" s="13">
        <f>$D$4</f>
        <v>0.4</v>
      </c>
      <c r="F28" s="18" t="str">
        <f>IF(B28&lt;=$E$28+0.0001,"OK","OVER")</f>
        <v>OK</v>
      </c>
      <c r="G28" s="18" t="str">
        <f>IF(C28&lt;=$E$28+0.0001,"OK","OVER")</f>
        <v>OK</v>
      </c>
      <c r="H28" s="18" t="str">
        <f>IF(D28&lt;=$E$28+0.0001,"OK","OVER")</f>
        <v>OK</v>
      </c>
    </row>
    <row r="30" spans="1:8" ht="15" customHeight="1" x14ac:dyDescent="0.3">
      <c r="A30" s="49" t="s">
        <v>126</v>
      </c>
      <c r="B30" s="49"/>
      <c r="C30" s="49"/>
      <c r="D30" s="49"/>
      <c r="E30" s="49"/>
      <c r="F30" s="49"/>
      <c r="G30" s="49"/>
      <c r="H30" s="49"/>
    </row>
    <row r="31" spans="1:8" ht="15" customHeight="1" x14ac:dyDescent="0.3">
      <c r="A31" s="12" t="s">
        <v>127</v>
      </c>
      <c r="F31" s="23">
        <f>COUNTIF(C9:C13,"&gt;0")</f>
        <v>3</v>
      </c>
      <c r="G31" s="18" t="str">
        <f>IF(F31&gt;=2,"OK","RISK")</f>
        <v>OK</v>
      </c>
    </row>
    <row r="32" spans="1:8" ht="15" customHeight="1" x14ac:dyDescent="0.3">
      <c r="A32" s="12" t="s">
        <v>128</v>
      </c>
      <c r="F32" s="23">
        <f>COUNTIF(E9:E13,"&gt;0")</f>
        <v>3</v>
      </c>
      <c r="G32" s="18" t="str">
        <f>IF(F32&gt;=2,"OK","RISK")</f>
        <v>OK</v>
      </c>
    </row>
    <row r="34" spans="1:8" ht="15" customHeight="1" x14ac:dyDescent="0.3">
      <c r="A34" s="49" t="s">
        <v>129</v>
      </c>
      <c r="B34" s="49"/>
      <c r="C34" s="49"/>
      <c r="D34" s="49"/>
      <c r="E34" s="49"/>
      <c r="F34" s="49"/>
      <c r="G34" s="49"/>
      <c r="H34" s="49"/>
    </row>
    <row r="35" spans="1:8" ht="45.75" customHeight="1" x14ac:dyDescent="0.3">
      <c r="A35" s="5" t="s">
        <v>49</v>
      </c>
      <c r="B35" s="5" t="s">
        <v>130</v>
      </c>
      <c r="C35" s="5" t="s">
        <v>131</v>
      </c>
      <c r="D35" s="5" t="s">
        <v>132</v>
      </c>
      <c r="E35" s="5" t="s">
        <v>133</v>
      </c>
      <c r="F35" s="5" t="s">
        <v>134</v>
      </c>
      <c r="G35" s="5" t="s">
        <v>135</v>
      </c>
      <c r="H35" s="5" t="s">
        <v>136</v>
      </c>
    </row>
    <row r="36" spans="1:8" ht="15" customHeight="1" x14ac:dyDescent="0.3">
      <c r="A36" s="6" t="s">
        <v>54</v>
      </c>
      <c r="B36" s="24">
        <f>(Inputs!$C$12+Inputs!$B$20)/Inputs!$B$28</f>
        <v>1077.9352226720648</v>
      </c>
      <c r="C36" s="24">
        <f>(Inputs!$C$12+Inputs!$C$20)/Inputs!$B$28</f>
        <v>1103.2388663967611</v>
      </c>
      <c r="D36" s="24">
        <f>(Inputs!$C$12+Inputs!$D$20)/Inputs!$B$28</f>
        <v>1093.1174089068827</v>
      </c>
      <c r="E36" s="16">
        <f t="shared" ref="E36:G40" si="1">C9*B36</f>
        <v>7761133.6032388667</v>
      </c>
      <c r="F36" s="16">
        <f t="shared" si="1"/>
        <v>0</v>
      </c>
      <c r="G36" s="16">
        <f t="shared" si="1"/>
        <v>5246963.5627530366</v>
      </c>
      <c r="H36" s="16">
        <f>SUM(E36:G36)</f>
        <v>13008097.165991902</v>
      </c>
    </row>
    <row r="37" spans="1:8" ht="15" customHeight="1" x14ac:dyDescent="0.3">
      <c r="A37" s="6" t="s">
        <v>55</v>
      </c>
      <c r="B37" s="24">
        <f>(Inputs!$C$13+Inputs!$B$21)/Inputs!$B$29</f>
        <v>1043.3467741935483</v>
      </c>
      <c r="C37" s="24">
        <f>(Inputs!$C$13+Inputs!$C$21)/Inputs!$B$29</f>
        <v>1028.2258064516129</v>
      </c>
      <c r="D37" s="24">
        <f>(Inputs!$C$13+Inputs!$D$21)/Inputs!$B$29</f>
        <v>1073.5887096774193</v>
      </c>
      <c r="E37" s="16">
        <f t="shared" si="1"/>
        <v>3756048.3870967738</v>
      </c>
      <c r="F37" s="16">
        <f t="shared" si="1"/>
        <v>6169354.8387096776</v>
      </c>
      <c r="G37" s="16">
        <f t="shared" si="1"/>
        <v>4603548.3870967738</v>
      </c>
      <c r="H37" s="16">
        <f>SUM(E37:G37)</f>
        <v>14528951.612903226</v>
      </c>
    </row>
    <row r="38" spans="1:8" ht="15" customHeight="1" x14ac:dyDescent="0.3">
      <c r="A38" s="6" t="s">
        <v>56</v>
      </c>
      <c r="B38" s="24">
        <f>(Inputs!$C$14+Inputs!$B$22)/Inputs!$B$30</f>
        <v>1125.6281407035176</v>
      </c>
      <c r="C38" s="24">
        <f>(Inputs!$C$14+Inputs!$C$22)/Inputs!$B$30</f>
        <v>1105.5276381909548</v>
      </c>
      <c r="D38" s="24">
        <f>(Inputs!$C$14+Inputs!$D$22)/Inputs!$B$30</f>
        <v>1130.6532663316582</v>
      </c>
      <c r="E38" s="16">
        <f t="shared" si="1"/>
        <v>0</v>
      </c>
      <c r="F38" s="16">
        <f t="shared" si="1"/>
        <v>4842211.0552763818</v>
      </c>
      <c r="G38" s="16">
        <f t="shared" si="1"/>
        <v>3292462.3115577889</v>
      </c>
      <c r="H38" s="16">
        <f>SUM(E38:G38)</f>
        <v>8134673.3668341711</v>
      </c>
    </row>
    <row r="39" spans="1:8" ht="15" customHeight="1" x14ac:dyDescent="0.3">
      <c r="A39" s="6" t="s">
        <v>57</v>
      </c>
      <c r="B39" s="24">
        <f>(Inputs!$C$15+Inputs!$B$23)/Inputs!$B$31</f>
        <v>1000</v>
      </c>
      <c r="C39" s="24">
        <f>(Inputs!$C$15+Inputs!$C$23)/Inputs!$B$31</f>
        <v>1030.4568527918782</v>
      </c>
      <c r="D39" s="24">
        <f>(Inputs!$C$15+Inputs!$D$23)/Inputs!$B$31</f>
        <v>1055.8375634517768</v>
      </c>
      <c r="E39" s="16">
        <f t="shared" si="1"/>
        <v>7200000</v>
      </c>
      <c r="F39" s="16">
        <f t="shared" si="1"/>
        <v>4760710.6598984776</v>
      </c>
      <c r="G39" s="16">
        <f t="shared" si="1"/>
        <v>0</v>
      </c>
      <c r="H39" s="16">
        <f>SUM(E39:G39)</f>
        <v>11960710.659898479</v>
      </c>
    </row>
    <row r="40" spans="1:8" ht="15" customHeight="1" x14ac:dyDescent="0.3">
      <c r="A40" s="6" t="s">
        <v>58</v>
      </c>
      <c r="B40" s="24">
        <f>(Inputs!$C$16+Inputs!$B$24)/Inputs!$B$32</f>
        <v>1177.0623742454729</v>
      </c>
      <c r="C40" s="24">
        <f>(Inputs!$C$16+Inputs!$C$24)/Inputs!$B$32</f>
        <v>1172.0321931589538</v>
      </c>
      <c r="D40" s="24">
        <f>(Inputs!$C$16+Inputs!$D$24)/Inputs!$B$32</f>
        <v>1136.82092555332</v>
      </c>
      <c r="E40" s="16">
        <f t="shared" si="1"/>
        <v>0</v>
      </c>
      <c r="F40" s="16">
        <f t="shared" si="1"/>
        <v>0</v>
      </c>
      <c r="G40" s="16">
        <f t="shared" si="1"/>
        <v>0</v>
      </c>
      <c r="H40" s="16">
        <f>SUM(E40:G40)</f>
        <v>0</v>
      </c>
    </row>
    <row r="41" spans="1:8" ht="15" customHeight="1" x14ac:dyDescent="0.3">
      <c r="A41" s="19" t="s">
        <v>137</v>
      </c>
      <c r="B41" s="22"/>
      <c r="C41" s="22"/>
      <c r="D41" s="22"/>
      <c r="E41" s="25">
        <f>SUM(E36:E40)</f>
        <v>18717181.99033564</v>
      </c>
      <c r="F41" s="25">
        <f>SUM(F36:F40)</f>
        <v>15772276.553884536</v>
      </c>
      <c r="G41" s="25">
        <f>SUM(G36:G40)</f>
        <v>13142974.261407599</v>
      </c>
      <c r="H41" s="25">
        <f>SUM(H36:H40)</f>
        <v>47632432.805627778</v>
      </c>
    </row>
    <row r="43" spans="1:8" ht="15" customHeight="1" x14ac:dyDescent="0.3">
      <c r="A43" s="12" t="s">
        <v>138</v>
      </c>
      <c r="F43" s="16">
        <f>SUM(D18:D20)*Inputs!$B$35</f>
        <v>0</v>
      </c>
    </row>
    <row r="44" spans="1:8" ht="15" customHeight="1" x14ac:dyDescent="0.3">
      <c r="A44" s="12" t="s">
        <v>139</v>
      </c>
      <c r="F44" s="16">
        <f>SUMPRODUCT(E18:E20,H18:H20)</f>
        <v>0</v>
      </c>
    </row>
    <row r="45" spans="1:8" ht="15" customHeight="1" x14ac:dyDescent="0.3">
      <c r="A45" s="12" t="s">
        <v>140</v>
      </c>
      <c r="F45" s="16">
        <f>SUMPRODUCT(B9:B13,Inputs!$D$12:$D$16)</f>
        <v>1210000</v>
      </c>
    </row>
    <row r="47" spans="1:8" ht="15" customHeight="1" x14ac:dyDescent="0.3">
      <c r="A47" s="54" t="s">
        <v>141</v>
      </c>
      <c r="B47" s="54"/>
      <c r="C47" s="54"/>
      <c r="D47" s="54"/>
      <c r="E47" s="54"/>
      <c r="F47" s="26">
        <f>H41+F43+F44+F45</f>
        <v>48842432.805627778</v>
      </c>
    </row>
    <row r="49" spans="1:6" ht="15" customHeight="1" x14ac:dyDescent="0.3">
      <c r="A49" s="12" t="s">
        <v>142</v>
      </c>
      <c r="F49" s="18" t="str">
        <f>IF(F45&lt;=Inputs!$B$60,"Within ₹9L preference","Exceeds ₹9L preference (see Sensitivity)")</f>
        <v>Exceeds ₹9L preference (see Sensitivity)</v>
      </c>
    </row>
    <row r="50" spans="1:6" ht="15" customHeight="1" x14ac:dyDescent="0.3">
      <c r="A50" s="12" t="s">
        <v>143</v>
      </c>
      <c r="F50" s="23">
        <f>SUM(B9:B13)</f>
        <v>5</v>
      </c>
    </row>
  </sheetData>
  <mergeCells count="8">
    <mergeCell ref="A30:H30"/>
    <mergeCell ref="A34:H34"/>
    <mergeCell ref="A47:E47"/>
    <mergeCell ref="A1:H1"/>
    <mergeCell ref="A2:I2"/>
    <mergeCell ref="A7:I7"/>
    <mergeCell ref="A16:H16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6" customWidth="1"/>
    <col min="2" max="7" width="20" customWidth="1"/>
  </cols>
  <sheetData>
    <row r="1" spans="1:7" ht="21.75" customHeight="1" x14ac:dyDescent="0.3">
      <c r="A1" s="47" t="s">
        <v>146</v>
      </c>
      <c r="B1" s="47"/>
      <c r="C1" s="47"/>
      <c r="D1" s="47"/>
      <c r="E1" s="47"/>
      <c r="F1" s="47"/>
      <c r="G1" s="47"/>
    </row>
    <row r="3" spans="1:7" ht="23.25" customHeight="1" x14ac:dyDescent="0.3">
      <c r="A3" s="5" t="s">
        <v>147</v>
      </c>
      <c r="B3" s="5" t="s">
        <v>148</v>
      </c>
      <c r="C3" s="5" t="s">
        <v>149</v>
      </c>
      <c r="D3" s="5" t="s">
        <v>150</v>
      </c>
    </row>
    <row r="4" spans="1:7" ht="15" customHeight="1" x14ac:dyDescent="0.3">
      <c r="A4" s="27" t="s">
        <v>151</v>
      </c>
      <c r="B4" s="28" t="str">
        <f>ILP_A_CostFocused!F49</f>
        <v>Exceeds ₹9L preference (see Sensitivity)</v>
      </c>
      <c r="C4" s="28" t="str">
        <f>ILP_B_Moderate!F49</f>
        <v>Exceeds ₹9L preference (see Sensitivity)</v>
      </c>
      <c r="D4" s="28" t="str">
        <f>ILP_C_HighResilience!F49</f>
        <v>Exceeds ₹9L preference (see Sensitivity)</v>
      </c>
    </row>
    <row r="5" spans="1:7" ht="15" customHeight="1" x14ac:dyDescent="0.3">
      <c r="A5" s="27" t="s">
        <v>152</v>
      </c>
      <c r="B5" s="29">
        <f>ILP_A_CostFocused!D4</f>
        <v>0.6</v>
      </c>
      <c r="C5" s="29">
        <f>ILP_B_Moderate!D4</f>
        <v>0.5</v>
      </c>
      <c r="D5" s="29">
        <f>ILP_C_HighResilience!D4</f>
        <v>0.4</v>
      </c>
    </row>
    <row r="6" spans="1:7" ht="15" customHeight="1" x14ac:dyDescent="0.3">
      <c r="A6" s="27" t="s">
        <v>153</v>
      </c>
      <c r="B6" s="30">
        <f>ILP_A_CostFocused!H41</f>
        <v>47392386.856457114</v>
      </c>
      <c r="C6" s="30">
        <f>ILP_B_Moderate!H41</f>
        <v>47568768.051154256</v>
      </c>
      <c r="D6" s="30">
        <f>ILP_C_HighResilience!H41</f>
        <v>47632432.805627778</v>
      </c>
    </row>
    <row r="7" spans="1:7" ht="15" customHeight="1" x14ac:dyDescent="0.3">
      <c r="A7" s="27" t="s">
        <v>154</v>
      </c>
      <c r="B7" s="30">
        <f>ILP_A_CostFocused!F45</f>
        <v>1030000</v>
      </c>
      <c r="C7" s="30">
        <f>ILP_B_Moderate!F45</f>
        <v>1010000</v>
      </c>
      <c r="D7" s="30">
        <f>ILP_C_HighResilience!F45</f>
        <v>1210000</v>
      </c>
    </row>
    <row r="8" spans="1:7" ht="15" customHeight="1" x14ac:dyDescent="0.3">
      <c r="A8" s="27" t="s">
        <v>155</v>
      </c>
      <c r="B8" s="30">
        <f>ILP_A_CostFocused!F47</f>
        <v>48422386.856457114</v>
      </c>
      <c r="C8" s="30">
        <f>ILP_B_Moderate!F47</f>
        <v>48578768.051154256</v>
      </c>
      <c r="D8" s="30">
        <f>ILP_C_HighResilience!F47</f>
        <v>48842432.805627778</v>
      </c>
    </row>
    <row r="10" spans="1:7" ht="15" customHeight="1" x14ac:dyDescent="0.3">
      <c r="A10" s="27" t="s">
        <v>156</v>
      </c>
      <c r="B10" s="30">
        <f>B8-MIN($B$8:$D$8)</f>
        <v>0</v>
      </c>
      <c r="C10" s="30">
        <f>C8-MIN($B$8:$D$8)</f>
        <v>156381.19469714165</v>
      </c>
      <c r="D10" s="30">
        <f>D8-MIN($B$8:$D$8)</f>
        <v>420045.94917066395</v>
      </c>
    </row>
    <row r="12" spans="1:7" ht="15" customHeight="1" x14ac:dyDescent="0.3">
      <c r="A12" s="49" t="s">
        <v>157</v>
      </c>
      <c r="B12" s="49"/>
      <c r="C12" s="49"/>
      <c r="D12" s="49"/>
    </row>
    <row r="13" spans="1:7" ht="23.25" customHeight="1" x14ac:dyDescent="0.3">
      <c r="A13" s="5" t="s">
        <v>147</v>
      </c>
      <c r="B13" s="5" t="s">
        <v>148</v>
      </c>
      <c r="C13" s="5" t="s">
        <v>149</v>
      </c>
      <c r="D13" s="5" t="s">
        <v>150</v>
      </c>
    </row>
    <row r="14" spans="1:7" ht="15" customHeight="1" x14ac:dyDescent="0.3">
      <c r="A14" s="27" t="s">
        <v>158</v>
      </c>
      <c r="B14" s="31">
        <f ca="1">Sim_A_CostFocused!A6</f>
        <v>0</v>
      </c>
      <c r="C14" s="31">
        <f ca="1">Sim_B_Moderate!A6</f>
        <v>0</v>
      </c>
      <c r="D14" s="31">
        <f ca="1">Sim_C_HighResilience!A6</f>
        <v>0</v>
      </c>
    </row>
    <row r="15" spans="1:7" ht="15" customHeight="1" x14ac:dyDescent="0.3">
      <c r="A15" s="27" t="s">
        <v>159</v>
      </c>
      <c r="B15" s="32">
        <f ca="1">Sim_A_CostFocused!B6</f>
        <v>16.090778977501145</v>
      </c>
      <c r="C15" s="32">
        <f ca="1">Sim_B_Moderate!B6</f>
        <v>28.293753797359727</v>
      </c>
      <c r="D15" s="32">
        <f ca="1">Sim_C_HighResilience!B6</f>
        <v>0</v>
      </c>
    </row>
    <row r="16" spans="1:7" ht="15" customHeight="1" x14ac:dyDescent="0.3">
      <c r="A16" s="27" t="s">
        <v>160</v>
      </c>
      <c r="B16" s="32">
        <f ca="1">Sim_A_CostFocused!C6</f>
        <v>0</v>
      </c>
      <c r="C16" s="32">
        <f ca="1">Sim_B_Moderate!C6</f>
        <v>0</v>
      </c>
      <c r="D16" s="32">
        <f ca="1">Sim_C_HighResilience!C6</f>
        <v>0</v>
      </c>
    </row>
    <row r="17" spans="1:7" ht="15" customHeight="1" x14ac:dyDescent="0.3">
      <c r="A17" s="27" t="s">
        <v>161</v>
      </c>
      <c r="B17" s="33">
        <f ca="1">Sim_A_CostFocused!G6</f>
        <v>24940.707415126781</v>
      </c>
      <c r="C17" s="33">
        <f ca="1">Sim_B_Moderate!G6</f>
        <v>43855.318385907573</v>
      </c>
      <c r="D17" s="33">
        <f ca="1">Sim_C_HighResilience!G6</f>
        <v>0</v>
      </c>
    </row>
    <row r="18" spans="1:7" ht="15" customHeight="1" x14ac:dyDescent="0.3">
      <c r="A18" s="27" t="s">
        <v>162</v>
      </c>
      <c r="B18" s="31">
        <f ca="1">Sim_A_CostFocused!H6</f>
        <v>1</v>
      </c>
      <c r="C18" s="31">
        <f ca="1">Sim_B_Moderate!H6</f>
        <v>1</v>
      </c>
      <c r="D18" s="31">
        <f ca="1">Sim_C_HighResilience!H6</f>
        <v>1</v>
      </c>
    </row>
    <row r="19" spans="1:7" ht="15" customHeight="1" x14ac:dyDescent="0.3">
      <c r="A19" s="27" t="s">
        <v>163</v>
      </c>
      <c r="B19" s="31">
        <f ca="1">Sim_A_CostFocused!I6</f>
        <v>1</v>
      </c>
      <c r="C19" s="31">
        <f ca="1">Sim_B_Moderate!I6</f>
        <v>1</v>
      </c>
      <c r="D19" s="31">
        <f ca="1">Sim_C_HighResilience!I6</f>
        <v>1</v>
      </c>
    </row>
    <row r="20" spans="1:7" ht="15" customHeight="1" x14ac:dyDescent="0.3">
      <c r="A20" s="27" t="s">
        <v>164</v>
      </c>
      <c r="B20" s="31">
        <f ca="1">Sim_A_CostFocused!J6</f>
        <v>1</v>
      </c>
      <c r="C20" s="31">
        <f ca="1">Sim_B_Moderate!J6</f>
        <v>1</v>
      </c>
      <c r="D20" s="31">
        <f ca="1">Sim_C_HighResilience!J6</f>
        <v>1</v>
      </c>
    </row>
    <row r="22" spans="1:7" ht="15" customHeight="1" x14ac:dyDescent="0.3">
      <c r="A22" s="55" t="s">
        <v>165</v>
      </c>
      <c r="B22" s="55"/>
      <c r="C22" s="55"/>
      <c r="D22" s="55"/>
      <c r="E22" s="55"/>
      <c r="F22" s="55"/>
      <c r="G22" s="55"/>
    </row>
    <row r="23" spans="1:7" ht="15" customHeight="1" x14ac:dyDescent="0.3">
      <c r="A23" s="55"/>
      <c r="B23" s="55"/>
      <c r="C23" s="55"/>
      <c r="D23" s="55"/>
      <c r="E23" s="55"/>
      <c r="F23" s="55"/>
      <c r="G23" s="55"/>
    </row>
    <row r="24" spans="1:7" ht="15" customHeight="1" x14ac:dyDescent="0.3">
      <c r="A24" s="55"/>
      <c r="B24" s="55"/>
      <c r="C24" s="55"/>
      <c r="D24" s="55"/>
      <c r="E24" s="55"/>
      <c r="F24" s="55"/>
      <c r="G24" s="55"/>
    </row>
    <row r="25" spans="1:7" ht="15" customHeight="1" x14ac:dyDescent="0.3">
      <c r="A25" s="55"/>
      <c r="B25" s="55"/>
      <c r="C25" s="55"/>
      <c r="D25" s="55"/>
      <c r="E25" s="55"/>
      <c r="F25" s="55"/>
      <c r="G25" s="55"/>
    </row>
    <row r="26" spans="1:7" ht="15" customHeight="1" x14ac:dyDescent="0.3">
      <c r="A26" s="55"/>
      <c r="B26" s="55"/>
      <c r="C26" s="55"/>
      <c r="D26" s="55"/>
      <c r="E26" s="55"/>
      <c r="F26" s="55"/>
      <c r="G26" s="55"/>
    </row>
    <row r="27" spans="1:7" ht="15" customHeight="1" x14ac:dyDescent="0.3">
      <c r="A27" s="55"/>
      <c r="B27" s="55"/>
      <c r="C27" s="55"/>
      <c r="D27" s="55"/>
      <c r="E27" s="55"/>
      <c r="F27" s="55"/>
      <c r="G27" s="55"/>
    </row>
  </sheetData>
  <mergeCells count="3">
    <mergeCell ref="A1:G1"/>
    <mergeCell ref="A12:D12"/>
    <mergeCell ref="A22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57"/>
  <sheetViews>
    <sheetView showGridLines="0" zoomScaleNormal="100" workbookViewId="0">
      <pane ySplit="7" topLeftCell="A8" activePane="bottomLeft" state="frozen"/>
      <selection pane="bottomLeft" activeCell="A2" sqref="A2:T2"/>
    </sheetView>
  </sheetViews>
  <sheetFormatPr defaultColWidth="8.6640625" defaultRowHeight="14.4" outlineLevelCol="1" x14ac:dyDescent="0.3"/>
  <cols>
    <col min="1" max="3" width="7" customWidth="1"/>
    <col min="4" max="25" width="9" customWidth="1" outlineLevel="1"/>
    <col min="26" max="56" width="9" customWidth="1"/>
  </cols>
  <sheetData>
    <row r="1" spans="1:82" ht="21.75" customHeight="1" x14ac:dyDescent="0.3">
      <c r="A1" s="47" t="s">
        <v>166</v>
      </c>
      <c r="B1" s="47"/>
      <c r="C1" s="47"/>
      <c r="D1" s="47"/>
      <c r="E1" s="47"/>
      <c r="F1" s="47"/>
      <c r="G1" s="47"/>
      <c r="H1" s="47"/>
      <c r="I1" s="47"/>
      <c r="J1" s="47"/>
    </row>
    <row r="2" spans="1:82" ht="45.75" customHeight="1" x14ac:dyDescent="0.3">
      <c r="A2" s="48" t="s">
        <v>167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82" ht="15" customHeight="1" x14ac:dyDescent="0.3">
      <c r="BZ3" s="34" t="s">
        <v>168</v>
      </c>
      <c r="CA3" s="35" t="s">
        <v>169</v>
      </c>
      <c r="CB3" s="35" t="s">
        <v>170</v>
      </c>
      <c r="CC3" s="35" t="s">
        <v>171</v>
      </c>
      <c r="CD3" s="35" t="s">
        <v>172</v>
      </c>
    </row>
    <row r="4" spans="1:82" ht="15" customHeight="1" x14ac:dyDescent="0.3">
      <c r="A4" s="56" t="s">
        <v>173</v>
      </c>
      <c r="B4" s="56"/>
      <c r="C4" s="56"/>
      <c r="D4" s="56"/>
      <c r="E4" s="56"/>
      <c r="F4" s="56"/>
      <c r="G4" s="56"/>
      <c r="H4" s="56"/>
      <c r="I4" s="56"/>
      <c r="J4" s="56"/>
      <c r="CA4" s="36">
        <f>IFERROR(SUMPRODUCT(ILP_A_CostFocused!$C$9:$C$13,ILP_A_CostFocused!$B$36:$B$40)/SUM(ILP_A_CostFocused!$C$9:$C$13),0)</f>
        <v>1031.0049899873754</v>
      </c>
      <c r="CB4" s="36">
        <f>IFERROR(SUMPRODUCT(ILP_A_CostFocused!$D$9:$D$13,ILP_A_CostFocused!$C$36:$C$40)/SUM(ILP_A_CostFocused!$D$9:$D$13),0)</f>
        <v>1054.0417257402125</v>
      </c>
      <c r="CC4" s="36">
        <f>IFERROR(SUMPRODUCT(ILP_A_CostFocused!$E$9:$E$13,ILP_A_CostFocused!$D$36:$D$40)/SUM(ILP_A_CostFocused!$E$9:$E$13),0)</f>
        <v>1085.3059292150974</v>
      </c>
      <c r="CD4" s="36">
        <f>(SUMPRODUCT(ILP_A_CostFocused!$C$9:$C$13,Inputs!$B$20:$B$24))+(SUMPRODUCT(ILP_A_CostFocused!$D$9:$D$13,Inputs!$C$20:$C$24))+(SUMPRODUCT(ILP_A_CostFocused!$E$9:$E$13,Inputs!$D$20:$D$24))</f>
        <v>2218180</v>
      </c>
    </row>
    <row r="5" spans="1:82" ht="30" customHeight="1" x14ac:dyDescent="0.3">
      <c r="A5" s="37" t="s">
        <v>174</v>
      </c>
      <c r="B5" s="37" t="s">
        <v>175</v>
      </c>
      <c r="C5" s="37" t="s">
        <v>176</v>
      </c>
      <c r="D5" s="37" t="s">
        <v>177</v>
      </c>
      <c r="E5" s="37" t="s">
        <v>178</v>
      </c>
      <c r="F5" s="37" t="s">
        <v>179</v>
      </c>
      <c r="G5" s="37" t="s">
        <v>180</v>
      </c>
      <c r="H5" s="37" t="s">
        <v>181</v>
      </c>
      <c r="I5" s="37" t="s">
        <v>182</v>
      </c>
      <c r="J5" s="37" t="s">
        <v>183</v>
      </c>
    </row>
    <row r="6" spans="1:82" ht="3.75" customHeight="1" x14ac:dyDescent="0.3">
      <c r="A6" s="38">
        <f ca="1">AVERAGE(BA8:BA157)</f>
        <v>0</v>
      </c>
      <c r="B6" s="39">
        <f ca="1">AVERAGE(AU8:AU157)</f>
        <v>16.090778977501145</v>
      </c>
      <c r="C6" s="39">
        <f ca="1">AVERAGE(AR8:AR157)+AVERAGE(AT8:AT157)+AVERAGE(AS8:AS157)</f>
        <v>0</v>
      </c>
      <c r="D6" s="40">
        <f ca="1">AVERAGE(AV8:AV157)</f>
        <v>24940.707415126781</v>
      </c>
      <c r="E6" s="40">
        <f ca="1">AVERAGE(AW8:AW157)</f>
        <v>0</v>
      </c>
      <c r="F6" s="40">
        <f ca="1">AVERAGE(AX8:AX157)+AVERAGE(AY8:AY157)</f>
        <v>44544932.422345087</v>
      </c>
      <c r="G6" s="40">
        <f ca="1">AVERAGE(AZ8:AZ157)</f>
        <v>24940.707415126781</v>
      </c>
      <c r="H6" s="38">
        <f ca="1">AVERAGE(BB8:BB157)</f>
        <v>1</v>
      </c>
      <c r="I6" s="38">
        <f ca="1">AVERAGE(BC8:BC157)</f>
        <v>1</v>
      </c>
      <c r="J6" s="38">
        <f ca="1">AVERAGE(BD8:BD157)</f>
        <v>1</v>
      </c>
    </row>
    <row r="7" spans="1:82" ht="33.75" customHeight="1" x14ac:dyDescent="0.3">
      <c r="A7" s="37" t="s">
        <v>184</v>
      </c>
      <c r="B7" s="37" t="s">
        <v>185</v>
      </c>
      <c r="C7" s="37" t="s">
        <v>186</v>
      </c>
      <c r="D7" s="37" t="s">
        <v>187</v>
      </c>
      <c r="E7" s="37" t="s">
        <v>188</v>
      </c>
      <c r="F7" s="37" t="s">
        <v>189</v>
      </c>
      <c r="G7" s="37" t="s">
        <v>190</v>
      </c>
      <c r="H7" s="37" t="s">
        <v>191</v>
      </c>
      <c r="I7" s="37" t="s">
        <v>192</v>
      </c>
      <c r="J7" s="37" t="s">
        <v>193</v>
      </c>
      <c r="K7" s="37" t="s">
        <v>194</v>
      </c>
      <c r="L7" s="37" t="s">
        <v>195</v>
      </c>
      <c r="M7" s="37" t="s">
        <v>196</v>
      </c>
      <c r="N7" s="37" t="s">
        <v>197</v>
      </c>
      <c r="O7" s="37" t="s">
        <v>198</v>
      </c>
      <c r="P7" s="37" t="s">
        <v>199</v>
      </c>
      <c r="Q7" s="37" t="s">
        <v>200</v>
      </c>
      <c r="R7" s="37" t="s">
        <v>201</v>
      </c>
      <c r="S7" s="37" t="s">
        <v>202</v>
      </c>
      <c r="T7" s="37" t="s">
        <v>203</v>
      </c>
      <c r="U7" s="37" t="s">
        <v>204</v>
      </c>
      <c r="V7" s="37" t="s">
        <v>205</v>
      </c>
      <c r="W7" s="37" t="s">
        <v>206</v>
      </c>
      <c r="X7" s="37" t="s">
        <v>207</v>
      </c>
      <c r="Y7" s="37" t="s">
        <v>208</v>
      </c>
      <c r="Z7" s="37" t="s">
        <v>209</v>
      </c>
      <c r="AA7" s="37" t="s">
        <v>210</v>
      </c>
      <c r="AB7" s="37" t="s">
        <v>211</v>
      </c>
      <c r="AC7" s="37" t="s">
        <v>212</v>
      </c>
      <c r="AD7" s="37" t="s">
        <v>213</v>
      </c>
      <c r="AE7" s="37" t="s">
        <v>214</v>
      </c>
      <c r="AF7" s="37" t="s">
        <v>215</v>
      </c>
      <c r="AG7" s="37" t="s">
        <v>216</v>
      </c>
      <c r="AH7" s="37" t="s">
        <v>217</v>
      </c>
      <c r="AI7" s="37" t="s">
        <v>218</v>
      </c>
      <c r="AJ7" s="37" t="s">
        <v>219</v>
      </c>
      <c r="AK7" s="37" t="s">
        <v>220</v>
      </c>
      <c r="AL7" s="37" t="s">
        <v>221</v>
      </c>
      <c r="AM7" s="37" t="s">
        <v>222</v>
      </c>
      <c r="AN7" s="37" t="s">
        <v>223</v>
      </c>
      <c r="AO7" s="37" t="s">
        <v>224</v>
      </c>
      <c r="AP7" s="37" t="s">
        <v>225</v>
      </c>
      <c r="AQ7" s="37" t="s">
        <v>226</v>
      </c>
      <c r="AR7" s="37" t="s">
        <v>227</v>
      </c>
      <c r="AS7" s="37" t="s">
        <v>228</v>
      </c>
      <c r="AT7" s="37" t="s">
        <v>229</v>
      </c>
      <c r="AU7" s="37" t="s">
        <v>230</v>
      </c>
      <c r="AV7" s="37" t="s">
        <v>231</v>
      </c>
      <c r="AW7" s="37" t="s">
        <v>232</v>
      </c>
      <c r="AX7" s="37" t="s">
        <v>233</v>
      </c>
      <c r="AY7" s="37" t="s">
        <v>234</v>
      </c>
      <c r="AZ7" s="37" t="s">
        <v>235</v>
      </c>
      <c r="BA7" s="37" t="s">
        <v>236</v>
      </c>
      <c r="BB7" s="37" t="s">
        <v>237</v>
      </c>
      <c r="BC7" s="37" t="s">
        <v>238</v>
      </c>
      <c r="BD7" s="37" t="s">
        <v>239</v>
      </c>
    </row>
    <row r="8" spans="1:82" ht="15" customHeight="1" x14ac:dyDescent="0.3">
      <c r="A8" s="41">
        <v>1</v>
      </c>
      <c r="B8" s="42">
        <f t="shared" ref="B8:B39" ca="1" si="0">RAND()</f>
        <v>3.347190869888228E-2</v>
      </c>
      <c r="C8" s="43">
        <f ca="1">IF(B8&lt;=Inputs!$C$40,Inputs!$D$40,IF(B8&lt;=Inputs!$C$41,Inputs!$D$41,Inputs!$D$42))</f>
        <v>0.9</v>
      </c>
      <c r="D8" s="42">
        <f t="shared" ref="D8:I17" ca="1" si="1">RAND()</f>
        <v>0.97251302384370975</v>
      </c>
      <c r="E8" s="42">
        <f t="shared" ca="1" si="1"/>
        <v>0.98992691195635674</v>
      </c>
      <c r="F8" s="42">
        <f t="shared" ca="1" si="1"/>
        <v>0.8336354848943992</v>
      </c>
      <c r="G8" s="42">
        <f t="shared" ca="1" si="1"/>
        <v>1.3101136304057737E-2</v>
      </c>
      <c r="H8" s="42">
        <f t="shared" ca="1" si="1"/>
        <v>1.7586614283536472E-2</v>
      </c>
      <c r="I8" s="42">
        <f t="shared" ca="1" si="1"/>
        <v>0.44139556056237006</v>
      </c>
      <c r="J8" s="43">
        <f ca="1">IF(I8&lt;Inputs!$B$54,1+Inputs!$B$55,1)</f>
        <v>1</v>
      </c>
      <c r="K8" s="42">
        <f t="shared" ref="K8:T17" ca="1" si="2">RAND()</f>
        <v>0.1204029669521276</v>
      </c>
      <c r="L8" s="42">
        <f t="shared" ca="1" si="2"/>
        <v>0.4629040235757419</v>
      </c>
      <c r="M8" s="42">
        <f t="shared" ca="1" si="2"/>
        <v>0.87282377557530877</v>
      </c>
      <c r="N8" s="42">
        <f t="shared" ca="1" si="2"/>
        <v>0.24102501615176197</v>
      </c>
      <c r="O8" s="42">
        <f t="shared" ca="1" si="2"/>
        <v>0.45820367612610791</v>
      </c>
      <c r="P8" s="42">
        <f t="shared" ca="1" si="2"/>
        <v>0.50972150693203866</v>
      </c>
      <c r="Q8" s="42">
        <f t="shared" ca="1" si="2"/>
        <v>3.0927972490608635E-2</v>
      </c>
      <c r="R8" s="42">
        <f t="shared" ca="1" si="2"/>
        <v>0.64095570466986651</v>
      </c>
      <c r="S8" s="42">
        <f t="shared" ca="1" si="2"/>
        <v>0.87538697814807631</v>
      </c>
      <c r="T8" s="42">
        <f t="shared" ca="1" si="2"/>
        <v>0.45597021364087764</v>
      </c>
      <c r="U8" s="44">
        <f ca="1">(IF(D8&gt;=Inputs!$E$12,1,IF(K8&lt;=Inputs!$C$46,Inputs!$D$46,IF(K8&lt;=Inputs!$C$47,Inputs!$D$47,Inputs!$D$48))))*((Inputs!$B$28+(P8-0.5)*2*Inputs!$B$53)/Inputs!$B$28)</f>
        <v>1.0000983958191503</v>
      </c>
      <c r="V8" s="44">
        <f ca="1">(IF(E8&gt;=Inputs!$E$13,1,IF(L8&lt;=Inputs!$C$46,Inputs!$D$46,IF(L8&lt;=Inputs!$C$47,Inputs!$D$47,Inputs!$D$48))))*((Inputs!$B$29+(Q8-0.5)*2*Inputs!$B$53)/Inputs!$B$29)</f>
        <v>0.99527145133559081</v>
      </c>
      <c r="W8" s="44">
        <f ca="1">(IF(F8&gt;=Inputs!$E$14,1,IF(M8&lt;=Inputs!$C$46,Inputs!$D$46,IF(M8&lt;=Inputs!$C$47,Inputs!$D$47,Inputs!$D$48))))*((Inputs!$B$30+(R8-0.5)*2*Inputs!$B$53)/Inputs!$B$30)</f>
        <v>1.0014166402479383</v>
      </c>
      <c r="X8" s="44">
        <f ca="1">(IF(G8&gt;=Inputs!$E$15,1,IF(N8&lt;=Inputs!$C$46,Inputs!$D$46,IF(N8&lt;=Inputs!$C$47,Inputs!$D$47,Inputs!$D$48))))*((Inputs!$B$31+(S8-0.5)*2*Inputs!$B$53)/Inputs!$B$31)</f>
        <v>0.60228662118668874</v>
      </c>
      <c r="Y8" s="44">
        <f ca="1">(IF(H8&gt;=Inputs!$E$16,1,IF(O8&lt;=Inputs!$C$46,Inputs!$D$46,IF(O8&lt;=Inputs!$C$47,Inputs!$D$47,Inputs!$D$48))))*((Inputs!$B$32+(T8-0.5)*2*Inputs!$B$53)/Inputs!$B$32)</f>
        <v>0.2998671133208477</v>
      </c>
      <c r="Z8" s="45">
        <f ca="1">ILP_A_CostFocused!$C$9*U8+ILP_A_CostFocused!$C$10*V8+ILP_A_CostFocused!$C$11*W8+ILP_A_CostFocused!$C$12*X8+ILP_A_CostFocused!$C$13*Y8</f>
        <v>13704.979187599567</v>
      </c>
      <c r="AA8" s="45">
        <f ca="1">ILP_A_CostFocused!$D$9*U8+ILP_A_CostFocused!$D$10*V8+ILP_A_CostFocused!$D$11*W8+ILP_A_CostFocused!$D$12*X8+ILP_A_CostFocused!$D$13*Y8</f>
        <v>14558.830284065472</v>
      </c>
      <c r="AB8" s="45">
        <f ca="1">ILP_A_CostFocused!$E$9*U8+ILP_A_CostFocused!$E$10*V8+ILP_A_CostFocused!$E$11*W8+ILP_A_CostFocused!$E$12*X8+ILP_A_CostFocused!$E$13*Y8</f>
        <v>11978.011416308718</v>
      </c>
      <c r="AC8" s="45">
        <f ca="1">Inputs!$B$6*$C8</f>
        <v>16200</v>
      </c>
      <c r="AD8" s="45">
        <f ca="1">Inputs!$B$7*$C8</f>
        <v>13500</v>
      </c>
      <c r="AE8" s="45">
        <f ca="1">Inputs!$B$8*$C8</f>
        <v>10800</v>
      </c>
      <c r="AF8" s="45">
        <f t="shared" ref="AF8:AF39" ca="1" si="3">MAX(0,AC8-Z8)</f>
        <v>2495.020812400433</v>
      </c>
      <c r="AG8" s="45">
        <f t="shared" ref="AG8:AG39" ca="1" si="4">MAX(0,AD8-AA8)</f>
        <v>0</v>
      </c>
      <c r="AH8" s="45">
        <f t="shared" ref="AH8:AH39" ca="1" si="5">MAX(0,AE8-AB8)</f>
        <v>0</v>
      </c>
      <c r="AI8" s="45">
        <f t="shared" ref="AI8:AI39" ca="1" si="6">SUM(AF8:AH8)</f>
        <v>2495.020812400433</v>
      </c>
      <c r="AJ8" s="45">
        <f ca="1">U8*(Inputs!$B$12-ILP_A_CostFocused!$F$9)+V8*(Inputs!$B$13-ILP_A_CostFocused!$F$10)+W8*(Inputs!$B$14-ILP_A_CostFocused!$F$11)+X8*(Inputs!$B$15-ILP_A_CostFocused!$F$12)+Y8*(Inputs!$B$16-ILP_A_CostFocused!$F$13)</f>
        <v>14437.416241107097</v>
      </c>
      <c r="AK8" s="45">
        <f t="shared" ref="AK8:AK39" ca="1" si="7">MIN(AI8,MAX(0,AJ8))</f>
        <v>2495.020812400433</v>
      </c>
      <c r="AL8" s="45">
        <f t="shared" ref="AL8:AL39" ca="1" si="8">AF8*(1-(IF(AI8&gt;0,AK8/AI8,0)))</f>
        <v>0</v>
      </c>
      <c r="AM8" s="45">
        <f t="shared" ref="AM8:AM39" ca="1" si="9">AG8*(1-(IF(AI8&gt;0,AK8/AI8,0)))</f>
        <v>0</v>
      </c>
      <c r="AN8" s="45">
        <f t="shared" ref="AN8:AN39" ca="1" si="10">AH8*(1-(IF(AI8&gt;0,AK8/AI8,0)))</f>
        <v>0</v>
      </c>
      <c r="AO8" s="45">
        <f ca="1">MIN(AL8,Inputs!$B$36)</f>
        <v>0</v>
      </c>
      <c r="AP8" s="45">
        <f ca="1">MIN(AN8,Inputs!$B$36-AO8)</f>
        <v>0</v>
      </c>
      <c r="AQ8" s="45">
        <f ca="1">MIN(AM8,Inputs!$B$36-AO8-AP8)</f>
        <v>0</v>
      </c>
      <c r="AR8" s="45">
        <f t="shared" ref="AR8:AR39" ca="1" si="11">AL8-AO8</f>
        <v>0</v>
      </c>
      <c r="AS8" s="45">
        <f t="shared" ref="AS8:AS39" ca="1" si="12">AN8-AP8</f>
        <v>0</v>
      </c>
      <c r="AT8" s="45">
        <f t="shared" ref="AT8:AT39" ca="1" si="13">AM8-AQ8</f>
        <v>0</v>
      </c>
      <c r="AU8" s="45">
        <f t="shared" ref="AU8:AU39" ca="1" si="14">AO8+AP8+AQ8</f>
        <v>0</v>
      </c>
      <c r="AV8" s="46">
        <f ca="1">AU8*Inputs!$B$35</f>
        <v>0</v>
      </c>
      <c r="AW8" s="46">
        <f ca="1">AR8*Inputs!$C$6+AT8*Inputs!$C$7+AS8*Inputs!$C$8</f>
        <v>0</v>
      </c>
      <c r="AX8" s="46">
        <f t="shared" ref="AX8:AX39" ca="1" si="15">Z8*$CA$4+AA8*$CB$4+AB8*$CC$4</f>
        <v>42475323.337789498</v>
      </c>
      <c r="AY8" s="46">
        <f ca="1">IF(J8&gt;1,($CD$4)*Inputs!$B$55*((Z8+AA8+AB8)/(SUM(ILP_A_CostFocused!$C$9:$E$13))),0)</f>
        <v>0</v>
      </c>
      <c r="AZ8" s="46">
        <f t="shared" ref="AZ8:AZ39" ca="1" si="16">AV8+AW8</f>
        <v>0</v>
      </c>
      <c r="BA8" s="41">
        <f t="shared" ref="BA8:BA39" ca="1" si="17">IF(AR8+AT8+AS8&gt;0,1,0)</f>
        <v>0</v>
      </c>
      <c r="BB8" s="41">
        <f t="shared" ref="BB8:BB39" ca="1" si="18">IF(AR8=0,1,0)</f>
        <v>1</v>
      </c>
      <c r="BC8" s="41">
        <f t="shared" ref="BC8:BC39" ca="1" si="19">IF(AT8=0,1,0)</f>
        <v>1</v>
      </c>
      <c r="BD8" s="41">
        <f t="shared" ref="BD8:BD39" ca="1" si="20">IF(AS8=0,1,0)</f>
        <v>1</v>
      </c>
    </row>
    <row r="9" spans="1:82" ht="15" customHeight="1" x14ac:dyDescent="0.3">
      <c r="A9" s="41">
        <v>2</v>
      </c>
      <c r="B9" s="42">
        <f t="shared" ca="1" si="0"/>
        <v>0.78390227748301455</v>
      </c>
      <c r="C9" s="43">
        <f ca="1">IF(B9&lt;=Inputs!$C$40,Inputs!$D$40,IF(B9&lt;=Inputs!$C$41,Inputs!$D$41,Inputs!$D$42))</f>
        <v>1.1499999999999999</v>
      </c>
      <c r="D9" s="42">
        <f t="shared" ca="1" si="1"/>
        <v>0.96827388076304677</v>
      </c>
      <c r="E9" s="42">
        <f t="shared" ca="1" si="1"/>
        <v>5.277735671592898E-2</v>
      </c>
      <c r="F9" s="42">
        <f t="shared" ca="1" si="1"/>
        <v>0.78327808685452616</v>
      </c>
      <c r="G9" s="42">
        <f t="shared" ca="1" si="1"/>
        <v>0.53229921132255342</v>
      </c>
      <c r="H9" s="42">
        <f t="shared" ca="1" si="1"/>
        <v>0.46612499976150923</v>
      </c>
      <c r="I9" s="42">
        <f t="shared" ca="1" si="1"/>
        <v>0.92790982252397503</v>
      </c>
      <c r="J9" s="43">
        <f ca="1">IF(I9&lt;Inputs!$B$54,1+Inputs!$B$55,1)</f>
        <v>1</v>
      </c>
      <c r="K9" s="42">
        <f t="shared" ca="1" si="2"/>
        <v>0.23274586660170671</v>
      </c>
      <c r="L9" s="42">
        <f t="shared" ca="1" si="2"/>
        <v>0.14188327112721644</v>
      </c>
      <c r="M9" s="42">
        <f t="shared" ca="1" si="2"/>
        <v>0.45752034656457652</v>
      </c>
      <c r="N9" s="42">
        <f t="shared" ca="1" si="2"/>
        <v>0.56004080454148342</v>
      </c>
      <c r="O9" s="42">
        <f t="shared" ca="1" si="2"/>
        <v>0.291131191929483</v>
      </c>
      <c r="P9" s="42">
        <f t="shared" ca="1" si="2"/>
        <v>0.60822117356977645</v>
      </c>
      <c r="Q9" s="42">
        <f t="shared" ca="1" si="2"/>
        <v>0.84339389875551252</v>
      </c>
      <c r="R9" s="42">
        <f t="shared" ca="1" si="2"/>
        <v>0.58969810737679162</v>
      </c>
      <c r="S9" s="42">
        <f t="shared" ca="1" si="2"/>
        <v>0.93886127719480628</v>
      </c>
      <c r="T9" s="42">
        <f t="shared" ca="1" si="2"/>
        <v>0.71114679448647256</v>
      </c>
      <c r="U9" s="44">
        <f ca="1">(IF(D9&gt;=Inputs!$E$12,1,IF(K9&lt;=Inputs!$C$46,Inputs!$D$46,IF(K9&lt;=Inputs!$C$47,Inputs!$D$47,Inputs!$D$48))))*((Inputs!$B$28+(P9-0.5)*2*Inputs!$B$53)/Inputs!$B$28)</f>
        <v>1.0010953560077913</v>
      </c>
      <c r="V9" s="44">
        <f ca="1">(IF(E9&gt;=Inputs!$E$13,1,IF(L9&lt;=Inputs!$C$46,Inputs!$D$46,IF(L9&lt;=Inputs!$C$47,Inputs!$D$47,Inputs!$D$48))))*((Inputs!$B$29+(Q9-0.5)*2*Inputs!$B$53)/Inputs!$B$29)</f>
        <v>0.60207697922634384</v>
      </c>
      <c r="W9" s="44">
        <f ca="1">(IF(F9&gt;=Inputs!$E$14,1,IF(M9&lt;=Inputs!$C$46,Inputs!$D$46,IF(M9&lt;=Inputs!$C$47,Inputs!$D$47,Inputs!$D$48))))*((Inputs!$B$30+(R9-0.5)*2*Inputs!$B$53)/Inputs!$B$30)</f>
        <v>1.0009014885163496</v>
      </c>
      <c r="X9" s="44">
        <f ca="1">(IF(G9&gt;=Inputs!$E$15,1,IF(N9&lt;=Inputs!$C$46,Inputs!$D$46,IF(N9&lt;=Inputs!$C$47,Inputs!$D$47,Inputs!$D$48))))*((Inputs!$B$31+(S9-0.5)*2*Inputs!$B$53)/Inputs!$B$31)</f>
        <v>1.0044554444385259</v>
      </c>
      <c r="Y9" s="44">
        <f ca="1">(IF(H9&gt;=Inputs!$E$16,1,IF(O9&lt;=Inputs!$C$46,Inputs!$D$46,IF(O9&lt;=Inputs!$C$47,Inputs!$D$47,Inputs!$D$48))))*((Inputs!$B$32+(T9-0.5)*2*Inputs!$B$53)/Inputs!$B$32)</f>
        <v>1.0021242132242101</v>
      </c>
      <c r="Z9" s="45">
        <f ca="1">ILP_A_CostFocused!$C$9*U9+ILP_A_CostFocused!$C$10*V9+ILP_A_CostFocused!$C$11*W9+ILP_A_CostFocused!$C$12*X9+ILP_A_CostFocused!$C$13*Y9</f>
        <v>18020.89174603541</v>
      </c>
      <c r="AA9" s="45">
        <f ca="1">ILP_A_CostFocused!$D$9*U9+ILP_A_CostFocused!$D$10*V9+ILP_A_CostFocused!$D$11*W9+ILP_A_CostFocused!$D$12*X9+ILP_A_CostFocused!$D$13*Y9</f>
        <v>11427.726779175811</v>
      </c>
      <c r="AB9" s="45">
        <f ca="1">ILP_A_CostFocused!$E$9*U9+ILP_A_CostFocused!$E$10*V9+ILP_A_CostFocused!$E$11*W9+ILP_A_CostFocused!$E$12*X9+ILP_A_CostFocused!$E$13*Y9</f>
        <v>10097.856063542547</v>
      </c>
      <c r="AC9" s="45">
        <f ca="1">Inputs!$B$6*$C9</f>
        <v>20700</v>
      </c>
      <c r="AD9" s="45">
        <f ca="1">Inputs!$B$7*$C9</f>
        <v>17250</v>
      </c>
      <c r="AE9" s="45">
        <f ca="1">Inputs!$B$8*$C9</f>
        <v>13799.999999999998</v>
      </c>
      <c r="AF9" s="45">
        <f t="shared" ca="1" si="3"/>
        <v>2679.1082539645904</v>
      </c>
      <c r="AG9" s="45">
        <f t="shared" ca="1" si="4"/>
        <v>5822.2732208241887</v>
      </c>
      <c r="AH9" s="45">
        <f t="shared" ca="1" si="5"/>
        <v>3702.1439364574508</v>
      </c>
      <c r="AI9" s="45">
        <f t="shared" ca="1" si="6"/>
        <v>12203.52541124623</v>
      </c>
      <c r="AJ9" s="45">
        <f ca="1">U9*(Inputs!$B$12-ILP_A_CostFocused!$F$9)+V9*(Inputs!$B$13-ILP_A_CostFocused!$F$10)+W9*(Inputs!$B$14-ILP_A_CostFocused!$F$11)+X9*(Inputs!$B$15-ILP_A_CostFocused!$F$12)+Y9*(Inputs!$B$16-ILP_A_CostFocused!$F$13)</f>
        <v>24997.176698877709</v>
      </c>
      <c r="AK9" s="45">
        <f t="shared" ca="1" si="7"/>
        <v>12203.52541124623</v>
      </c>
      <c r="AL9" s="45">
        <f t="shared" ca="1" si="8"/>
        <v>0</v>
      </c>
      <c r="AM9" s="45">
        <f t="shared" ca="1" si="9"/>
        <v>0</v>
      </c>
      <c r="AN9" s="45">
        <f t="shared" ca="1" si="10"/>
        <v>0</v>
      </c>
      <c r="AO9" s="45">
        <f ca="1">MIN(AL9,Inputs!$B$36)</f>
        <v>0</v>
      </c>
      <c r="AP9" s="45">
        <f ca="1">MIN(AN9,Inputs!$B$36-AO9)</f>
        <v>0</v>
      </c>
      <c r="AQ9" s="45">
        <f ca="1">MIN(AM9,Inputs!$B$36-AO9-AP9)</f>
        <v>0</v>
      </c>
      <c r="AR9" s="45">
        <f t="shared" ca="1" si="11"/>
        <v>0</v>
      </c>
      <c r="AS9" s="45">
        <f t="shared" ca="1" si="12"/>
        <v>0</v>
      </c>
      <c r="AT9" s="45">
        <f t="shared" ca="1" si="13"/>
        <v>0</v>
      </c>
      <c r="AU9" s="45">
        <f t="shared" ca="1" si="14"/>
        <v>0</v>
      </c>
      <c r="AV9" s="46">
        <f ca="1">AU9*Inputs!$B$35</f>
        <v>0</v>
      </c>
      <c r="AW9" s="46">
        <f ca="1">AR9*Inputs!$C$6+AT9*Inputs!$C$7+AS9*Inputs!$C$8</f>
        <v>0</v>
      </c>
      <c r="AX9" s="46">
        <f t="shared" ca="1" si="15"/>
        <v>41584193.227918282</v>
      </c>
      <c r="AY9" s="46">
        <f ca="1">IF(J9&gt;1,($CD$4)*Inputs!$B$55*((Z9+AA9+AB9)/(SUM(ILP_A_CostFocused!$C$9:$E$13))),0)</f>
        <v>0</v>
      </c>
      <c r="AZ9" s="46">
        <f t="shared" ca="1" si="16"/>
        <v>0</v>
      </c>
      <c r="BA9" s="41">
        <f t="shared" ca="1" si="17"/>
        <v>0</v>
      </c>
      <c r="BB9" s="41">
        <f t="shared" ca="1" si="18"/>
        <v>1</v>
      </c>
      <c r="BC9" s="41">
        <f t="shared" ca="1" si="19"/>
        <v>1</v>
      </c>
      <c r="BD9" s="41">
        <f t="shared" ca="1" si="20"/>
        <v>1</v>
      </c>
    </row>
    <row r="10" spans="1:82" ht="15" customHeight="1" x14ac:dyDescent="0.3">
      <c r="A10" s="41">
        <v>3</v>
      </c>
      <c r="B10" s="42">
        <f t="shared" ca="1" si="0"/>
        <v>0.62356389621041575</v>
      </c>
      <c r="C10" s="43">
        <f ca="1">IF(B10&lt;=Inputs!$C$40,Inputs!$D$40,IF(B10&lt;=Inputs!$C$41,Inputs!$D$41,Inputs!$D$42))</f>
        <v>1</v>
      </c>
      <c r="D10" s="42">
        <f t="shared" ca="1" si="1"/>
        <v>0.32923502144113703</v>
      </c>
      <c r="E10" s="42">
        <f t="shared" ca="1" si="1"/>
        <v>0.27812783085342319</v>
      </c>
      <c r="F10" s="42">
        <f t="shared" ca="1" si="1"/>
        <v>0.18646713767276724</v>
      </c>
      <c r="G10" s="42">
        <f t="shared" ca="1" si="1"/>
        <v>0.43086669640400532</v>
      </c>
      <c r="H10" s="42">
        <f t="shared" ca="1" si="1"/>
        <v>0.15908355421919906</v>
      </c>
      <c r="I10" s="42">
        <f t="shared" ca="1" si="1"/>
        <v>0.51645781131867874</v>
      </c>
      <c r="J10" s="43">
        <f ca="1">IF(I10&lt;Inputs!$B$54,1+Inputs!$B$55,1)</f>
        <v>1</v>
      </c>
      <c r="K10" s="42">
        <f t="shared" ca="1" si="2"/>
        <v>0.81353958694920991</v>
      </c>
      <c r="L10" s="42">
        <f t="shared" ca="1" si="2"/>
        <v>1.8189571400591409E-2</v>
      </c>
      <c r="M10" s="42">
        <f t="shared" ca="1" si="2"/>
        <v>0.5044604669613918</v>
      </c>
      <c r="N10" s="42">
        <f t="shared" ca="1" si="2"/>
        <v>0.43064344673321542</v>
      </c>
      <c r="O10" s="42">
        <f t="shared" ca="1" si="2"/>
        <v>0.70983306169951754</v>
      </c>
      <c r="P10" s="42">
        <f t="shared" ca="1" si="2"/>
        <v>0.34817534336978495</v>
      </c>
      <c r="Q10" s="42">
        <f t="shared" ca="1" si="2"/>
        <v>0.95855356589503837</v>
      </c>
      <c r="R10" s="42">
        <f t="shared" ca="1" si="2"/>
        <v>0.90036398042955046</v>
      </c>
      <c r="S10" s="42">
        <f t="shared" ca="1" si="2"/>
        <v>0.19935742149613511</v>
      </c>
      <c r="T10" s="42">
        <f t="shared" ca="1" si="2"/>
        <v>0.80885370818234203</v>
      </c>
      <c r="U10" s="44">
        <f ca="1">(IF(D10&gt;=Inputs!$E$12,1,IF(K10&lt;=Inputs!$C$46,Inputs!$D$46,IF(K10&lt;=Inputs!$C$47,Inputs!$D$47,Inputs!$D$48))))*((Inputs!$B$28+(P10-0.5)*2*Inputs!$B$53)/Inputs!$B$28)</f>
        <v>0.99846331319200188</v>
      </c>
      <c r="V10" s="44">
        <f ca="1">(IF(E10&gt;=Inputs!$E$13,1,IF(L10&lt;=Inputs!$C$46,Inputs!$D$46,IF(L10&lt;=Inputs!$C$47,Inputs!$D$47,Inputs!$D$48))))*((Inputs!$B$29+(Q10-0.5)*2*Inputs!$B$53)/Inputs!$B$29)</f>
        <v>1.0046225157852322</v>
      </c>
      <c r="W10" s="44">
        <f ca="1">(IF(F10&gt;=Inputs!$E$14,1,IF(M10&lt;=Inputs!$C$46,Inputs!$D$46,IF(M10&lt;=Inputs!$C$47,Inputs!$D$47,Inputs!$D$48))))*((Inputs!$B$30+(R10-0.5)*2*Inputs!$B$53)/Inputs!$B$30)</f>
        <v>1.004023758597282</v>
      </c>
      <c r="X10" s="44">
        <f ca="1">(IF(G10&gt;=Inputs!$E$15,1,IF(N10&lt;=Inputs!$C$46,Inputs!$D$46,IF(N10&lt;=Inputs!$C$47,Inputs!$D$47,Inputs!$D$48))))*((Inputs!$B$31+(S10-0.5)*2*Inputs!$B$53)/Inputs!$B$31)</f>
        <v>0.99694779108117904</v>
      </c>
      <c r="Y10" s="44">
        <f ca="1">(IF(H10&gt;=Inputs!$E$16,1,IF(O10&lt;=Inputs!$C$46,Inputs!$D$46,IF(O10&lt;=Inputs!$C$47,Inputs!$D$47,Inputs!$D$48))))*((Inputs!$B$32+(T10-0.5)*2*Inputs!$B$53)/Inputs!$B$32)</f>
        <v>1.0031071801628002</v>
      </c>
      <c r="Z10" s="45">
        <f ca="1">ILP_A_CostFocused!$C$9*U10+ILP_A_CostFocused!$C$10*V10+ILP_A_CostFocused!$C$11*W10+ILP_A_CostFocused!$C$12*X10+ILP_A_CostFocused!$C$13*Y10</f>
        <v>17956.514008487353</v>
      </c>
      <c r="AA10" s="45">
        <f ca="1">ILP_A_CostFocused!$D$9*U10+ILP_A_CostFocused!$D$10*V10+ILP_A_CostFocused!$D$11*W10+ILP_A_CostFocused!$D$12*X10+ILP_A_CostFocused!$D$13*Y10</f>
        <v>15058.527706784356</v>
      </c>
      <c r="AB10" s="45">
        <f ca="1">ILP_A_CostFocused!$E$9*U10+ILP_A_CostFocused!$E$10*V10+ILP_A_CostFocused!$E$11*W10+ILP_A_CostFocused!$E$12*X10+ILP_A_CostFocused!$E$13*Y10</f>
        <v>12011.123930751528</v>
      </c>
      <c r="AC10" s="45">
        <f ca="1">Inputs!$B$6*$C10</f>
        <v>18000</v>
      </c>
      <c r="AD10" s="45">
        <f ca="1">Inputs!$B$7*$C10</f>
        <v>15000</v>
      </c>
      <c r="AE10" s="45">
        <f ca="1">Inputs!$B$8*$C10</f>
        <v>12000</v>
      </c>
      <c r="AF10" s="45">
        <f t="shared" ca="1" si="3"/>
        <v>43.485991512647161</v>
      </c>
      <c r="AG10" s="45">
        <f t="shared" ca="1" si="4"/>
        <v>0</v>
      </c>
      <c r="AH10" s="45">
        <f t="shared" ca="1" si="5"/>
        <v>0</v>
      </c>
      <c r="AI10" s="45">
        <f t="shared" ca="1" si="6"/>
        <v>43.485991512647161</v>
      </c>
      <c r="AJ10" s="45">
        <f ca="1">U10*(Inputs!$B$12-ILP_A_CostFocused!$F$9)+V10*(Inputs!$B$13-ILP_A_CostFocused!$F$10)+W10*(Inputs!$B$14-ILP_A_CostFocused!$F$11)+X10*(Inputs!$B$15-ILP_A_CostFocused!$F$12)+Y10*(Inputs!$B$16-ILP_A_CostFocused!$F$13)</f>
        <v>25076.252643222862</v>
      </c>
      <c r="AK10" s="45">
        <f t="shared" ca="1" si="7"/>
        <v>43.485991512647161</v>
      </c>
      <c r="AL10" s="45">
        <f t="shared" ca="1" si="8"/>
        <v>0</v>
      </c>
      <c r="AM10" s="45">
        <f t="shared" ca="1" si="9"/>
        <v>0</v>
      </c>
      <c r="AN10" s="45">
        <f t="shared" ca="1" si="10"/>
        <v>0</v>
      </c>
      <c r="AO10" s="45">
        <f ca="1">MIN(AL10,Inputs!$B$36)</f>
        <v>0</v>
      </c>
      <c r="AP10" s="45">
        <f ca="1">MIN(AN10,Inputs!$B$36-AO10)</f>
        <v>0</v>
      </c>
      <c r="AQ10" s="45">
        <f ca="1">MIN(AM10,Inputs!$B$36-AO10-AP10)</f>
        <v>0</v>
      </c>
      <c r="AR10" s="45">
        <f t="shared" ca="1" si="11"/>
        <v>0</v>
      </c>
      <c r="AS10" s="45">
        <f t="shared" ca="1" si="12"/>
        <v>0</v>
      </c>
      <c r="AT10" s="45">
        <f t="shared" ca="1" si="13"/>
        <v>0</v>
      </c>
      <c r="AU10" s="45">
        <f t="shared" ca="1" si="14"/>
        <v>0</v>
      </c>
      <c r="AV10" s="46">
        <f ca="1">AU10*Inputs!$B$35</f>
        <v>0</v>
      </c>
      <c r="AW10" s="46">
        <f ca="1">AR10*Inputs!$C$6+AT10*Inputs!$C$7+AS10*Inputs!$C$8</f>
        <v>0</v>
      </c>
      <c r="AX10" s="46">
        <f t="shared" ca="1" si="15"/>
        <v>47421316.095276438</v>
      </c>
      <c r="AY10" s="46">
        <f ca="1">IF(J10&gt;1,($CD$4)*Inputs!$B$55*((Z10+AA10+AB10)/(SUM(ILP_A_CostFocused!$C$9:$E$13))),0)</f>
        <v>0</v>
      </c>
      <c r="AZ10" s="46">
        <f t="shared" ca="1" si="16"/>
        <v>0</v>
      </c>
      <c r="BA10" s="41">
        <f t="shared" ca="1" si="17"/>
        <v>0</v>
      </c>
      <c r="BB10" s="41">
        <f t="shared" ca="1" si="18"/>
        <v>1</v>
      </c>
      <c r="BC10" s="41">
        <f t="shared" ca="1" si="19"/>
        <v>1</v>
      </c>
      <c r="BD10" s="41">
        <f t="shared" ca="1" si="20"/>
        <v>1</v>
      </c>
    </row>
    <row r="11" spans="1:82" ht="15" customHeight="1" x14ac:dyDescent="0.3">
      <c r="A11" s="41">
        <v>4</v>
      </c>
      <c r="B11" s="42">
        <f t="shared" ca="1" si="0"/>
        <v>0.56238362525268448</v>
      </c>
      <c r="C11" s="43">
        <f ca="1">IF(B11&lt;=Inputs!$C$40,Inputs!$D$40,IF(B11&lt;=Inputs!$C$41,Inputs!$D$41,Inputs!$D$42))</f>
        <v>1</v>
      </c>
      <c r="D11" s="42">
        <f t="shared" ca="1" si="1"/>
        <v>0.6015457856093156</v>
      </c>
      <c r="E11" s="42">
        <f t="shared" ca="1" si="1"/>
        <v>0.17586783411074058</v>
      </c>
      <c r="F11" s="42">
        <f t="shared" ca="1" si="1"/>
        <v>0.6447373804665818</v>
      </c>
      <c r="G11" s="42">
        <f t="shared" ca="1" si="1"/>
        <v>0.39659773951908073</v>
      </c>
      <c r="H11" s="42">
        <f t="shared" ca="1" si="1"/>
        <v>0.52052880411563685</v>
      </c>
      <c r="I11" s="42">
        <f t="shared" ca="1" si="1"/>
        <v>0.27858428115747902</v>
      </c>
      <c r="J11" s="43">
        <f ca="1">IF(I11&lt;Inputs!$B$54,1+Inputs!$B$55,1)</f>
        <v>1</v>
      </c>
      <c r="K11" s="42">
        <f t="shared" ca="1" si="2"/>
        <v>0.98043146567367878</v>
      </c>
      <c r="L11" s="42">
        <f t="shared" ca="1" si="2"/>
        <v>0.21829612246957819</v>
      </c>
      <c r="M11" s="42">
        <f t="shared" ca="1" si="2"/>
        <v>0.46208726053106897</v>
      </c>
      <c r="N11" s="42">
        <f t="shared" ca="1" si="2"/>
        <v>0.40819891951022891</v>
      </c>
      <c r="O11" s="42">
        <f t="shared" ca="1" si="2"/>
        <v>8.2775083513461967E-2</v>
      </c>
      <c r="P11" s="42">
        <f t="shared" ca="1" si="2"/>
        <v>0.34771854280536829</v>
      </c>
      <c r="Q11" s="42">
        <f t="shared" ca="1" si="2"/>
        <v>0.60694239600143918</v>
      </c>
      <c r="R11" s="42">
        <f t="shared" ca="1" si="2"/>
        <v>0.62274385757818396</v>
      </c>
      <c r="S11" s="42">
        <f t="shared" ca="1" si="2"/>
        <v>0.72988202372032607</v>
      </c>
      <c r="T11" s="42">
        <f t="shared" ca="1" si="2"/>
        <v>0.93154719244209994</v>
      </c>
      <c r="U11" s="44">
        <f ca="1">(IF(D11&gt;=Inputs!$E$12,1,IF(K11&lt;=Inputs!$C$46,Inputs!$D$46,IF(K11&lt;=Inputs!$C$47,Inputs!$D$47,Inputs!$D$48))))*((Inputs!$B$28+(P11-0.5)*2*Inputs!$B$53)/Inputs!$B$28)</f>
        <v>0.99845868970450768</v>
      </c>
      <c r="V11" s="44">
        <f ca="1">(IF(E11&gt;=Inputs!$E$13,1,IF(L11&lt;=Inputs!$C$46,Inputs!$D$46,IF(L11&lt;=Inputs!$C$47,Inputs!$D$47,Inputs!$D$48))))*((Inputs!$B$29+(Q11-0.5)*2*Inputs!$B$53)/Inputs!$B$29)</f>
        <v>1.0010780483467887</v>
      </c>
      <c r="W11" s="44">
        <f ca="1">(IF(F11&gt;=Inputs!$E$14,1,IF(M11&lt;=Inputs!$C$46,Inputs!$D$46,IF(M11&lt;=Inputs!$C$47,Inputs!$D$47,Inputs!$D$48))))*((Inputs!$B$30+(R11-0.5)*2*Inputs!$B$53)/Inputs!$B$30)</f>
        <v>1.0012336066088261</v>
      </c>
      <c r="X11" s="44">
        <f ca="1">(IF(G11&gt;=Inputs!$E$15,1,IF(N11&lt;=Inputs!$C$46,Inputs!$D$46,IF(N11&lt;=Inputs!$C$47,Inputs!$D$47,Inputs!$D$48))))*((Inputs!$B$31+(S11-0.5)*2*Inputs!$B$53)/Inputs!$B$31)</f>
        <v>1.0023338276519831</v>
      </c>
      <c r="Y11" s="44">
        <f ca="1">(IF(H11&gt;=Inputs!$E$16,1,IF(O11&lt;=Inputs!$C$46,Inputs!$D$46,IF(O11&lt;=Inputs!$C$47,Inputs!$D$47,Inputs!$D$48))))*((Inputs!$B$32+(T11-0.5)*2*Inputs!$B$53)/Inputs!$B$32)</f>
        <v>1.0043415210507254</v>
      </c>
      <c r="Z11" s="45">
        <f ca="1">ILP_A_CostFocused!$C$9*U11+ILP_A_CostFocused!$C$10*V11+ILP_A_CostFocused!$C$11*W11+ILP_A_CostFocused!$C$12*X11+ILP_A_CostFocused!$C$13*Y11</f>
        <v>18014.338408074393</v>
      </c>
      <c r="AA11" s="45">
        <f ca="1">ILP_A_CostFocused!$D$9*U11+ILP_A_CostFocused!$D$10*V11+ILP_A_CostFocused!$D$11*W11+ILP_A_CostFocused!$D$12*X11+ILP_A_CostFocused!$D$13*Y11</f>
        <v>15018.226300238075</v>
      </c>
      <c r="AB11" s="45">
        <f ca="1">ILP_A_CostFocused!$E$9*U11+ILP_A_CostFocused!$E$10*V11+ILP_A_CostFocused!$E$11*W11+ILP_A_CostFocused!$E$12*X11+ILP_A_CostFocused!$E$13*Y11</f>
        <v>11994.07719793704</v>
      </c>
      <c r="AC11" s="45">
        <f ca="1">Inputs!$B$6*$C11</f>
        <v>18000</v>
      </c>
      <c r="AD11" s="45">
        <f ca="1">Inputs!$B$7*$C11</f>
        <v>15000</v>
      </c>
      <c r="AE11" s="45">
        <f ca="1">Inputs!$B$8*$C11</f>
        <v>12000</v>
      </c>
      <c r="AF11" s="45">
        <f t="shared" ca="1" si="3"/>
        <v>0</v>
      </c>
      <c r="AG11" s="45">
        <f t="shared" ca="1" si="4"/>
        <v>0</v>
      </c>
      <c r="AH11" s="45">
        <f t="shared" ca="1" si="5"/>
        <v>5.9228020629598177</v>
      </c>
      <c r="AI11" s="45">
        <f t="shared" ca="1" si="6"/>
        <v>5.9228020629598177</v>
      </c>
      <c r="AJ11" s="45">
        <f ca="1">U11*(Inputs!$B$12-ILP_A_CostFocused!$F$9)+V11*(Inputs!$B$13-ILP_A_CostFocused!$F$10)+W11*(Inputs!$B$14-ILP_A_CostFocused!$F$11)+X11*(Inputs!$B$15-ILP_A_CostFocused!$F$12)+Y11*(Inputs!$B$16-ILP_A_CostFocused!$F$13)</f>
        <v>25072.955439377074</v>
      </c>
      <c r="AK11" s="45">
        <f t="shared" ca="1" si="7"/>
        <v>5.9228020629598177</v>
      </c>
      <c r="AL11" s="45">
        <f t="shared" ca="1" si="8"/>
        <v>0</v>
      </c>
      <c r="AM11" s="45">
        <f t="shared" ca="1" si="9"/>
        <v>0</v>
      </c>
      <c r="AN11" s="45">
        <f t="shared" ca="1" si="10"/>
        <v>0</v>
      </c>
      <c r="AO11" s="45">
        <f ca="1">MIN(AL11,Inputs!$B$36)</f>
        <v>0</v>
      </c>
      <c r="AP11" s="45">
        <f ca="1">MIN(AN11,Inputs!$B$36-AO11)</f>
        <v>0</v>
      </c>
      <c r="AQ11" s="45">
        <f ca="1">MIN(AM11,Inputs!$B$36-AO11-AP11)</f>
        <v>0</v>
      </c>
      <c r="AR11" s="45">
        <f t="shared" ca="1" si="11"/>
        <v>0</v>
      </c>
      <c r="AS11" s="45">
        <f t="shared" ca="1" si="12"/>
        <v>0</v>
      </c>
      <c r="AT11" s="45">
        <f t="shared" ca="1" si="13"/>
        <v>0</v>
      </c>
      <c r="AU11" s="45">
        <f t="shared" ca="1" si="14"/>
        <v>0</v>
      </c>
      <c r="AV11" s="46">
        <f ca="1">AU11*Inputs!$B$35</f>
        <v>0</v>
      </c>
      <c r="AW11" s="46">
        <f ca="1">AR11*Inputs!$C$6+AT11*Inputs!$C$7+AS11*Inputs!$C$8</f>
        <v>0</v>
      </c>
      <c r="AX11" s="46">
        <f t="shared" ca="1" si="15"/>
        <v>47419953.055490591</v>
      </c>
      <c r="AY11" s="46">
        <f ca="1">IF(J11&gt;1,($CD$4)*Inputs!$B$55*((Z11+AA11+AB11)/(SUM(ILP_A_CostFocused!$C$9:$E$13))),0)</f>
        <v>0</v>
      </c>
      <c r="AZ11" s="46">
        <f t="shared" ca="1" si="16"/>
        <v>0</v>
      </c>
      <c r="BA11" s="41">
        <f t="shared" ca="1" si="17"/>
        <v>0</v>
      </c>
      <c r="BB11" s="41">
        <f t="shared" ca="1" si="18"/>
        <v>1</v>
      </c>
      <c r="BC11" s="41">
        <f t="shared" ca="1" si="19"/>
        <v>1</v>
      </c>
      <c r="BD11" s="41">
        <f t="shared" ca="1" si="20"/>
        <v>1</v>
      </c>
    </row>
    <row r="12" spans="1:82" ht="15" customHeight="1" x14ac:dyDescent="0.3">
      <c r="A12" s="41">
        <v>5</v>
      </c>
      <c r="B12" s="42">
        <f t="shared" ca="1" si="0"/>
        <v>0.27306211308612871</v>
      </c>
      <c r="C12" s="43">
        <f ca="1">IF(B12&lt;=Inputs!$C$40,Inputs!$D$40,IF(B12&lt;=Inputs!$C$41,Inputs!$D$41,Inputs!$D$42))</f>
        <v>1</v>
      </c>
      <c r="D12" s="42">
        <f t="shared" ca="1" si="1"/>
        <v>0.13836153876760549</v>
      </c>
      <c r="E12" s="42">
        <f t="shared" ca="1" si="1"/>
        <v>0.35367836997265922</v>
      </c>
      <c r="F12" s="42">
        <f t="shared" ca="1" si="1"/>
        <v>0.58666540754322793</v>
      </c>
      <c r="G12" s="42">
        <f t="shared" ca="1" si="1"/>
        <v>0.80685571186138139</v>
      </c>
      <c r="H12" s="42">
        <f t="shared" ca="1" si="1"/>
        <v>0.47863622775130077</v>
      </c>
      <c r="I12" s="42">
        <f t="shared" ca="1" si="1"/>
        <v>0.62261024610337634</v>
      </c>
      <c r="J12" s="43">
        <f ca="1">IF(I12&lt;Inputs!$B$54,1+Inputs!$B$55,1)</f>
        <v>1</v>
      </c>
      <c r="K12" s="42">
        <f t="shared" ca="1" si="2"/>
        <v>9.518567005814571E-2</v>
      </c>
      <c r="L12" s="42">
        <f t="shared" ca="1" si="2"/>
        <v>0.88906642669398894</v>
      </c>
      <c r="M12" s="42">
        <f t="shared" ca="1" si="2"/>
        <v>0.30585567386768941</v>
      </c>
      <c r="N12" s="42">
        <f t="shared" ca="1" si="2"/>
        <v>0.28736546040287958</v>
      </c>
      <c r="O12" s="42">
        <f t="shared" ca="1" si="2"/>
        <v>0.51565440248686534</v>
      </c>
      <c r="P12" s="42">
        <f t="shared" ca="1" si="2"/>
        <v>2.6020906308387604E-2</v>
      </c>
      <c r="Q12" s="42">
        <f t="shared" ca="1" si="2"/>
        <v>0.77502534453377248</v>
      </c>
      <c r="R12" s="42">
        <f t="shared" ca="1" si="2"/>
        <v>4.190922075241299E-2</v>
      </c>
      <c r="S12" s="42">
        <f t="shared" ca="1" si="2"/>
        <v>0.6497869587337618</v>
      </c>
      <c r="T12" s="42">
        <f t="shared" ca="1" si="2"/>
        <v>9.5191414224353621E-2</v>
      </c>
      <c r="U12" s="44">
        <f ca="1">(IF(D12&gt;=Inputs!$E$12,1,IF(K12&lt;=Inputs!$C$46,Inputs!$D$46,IF(K12&lt;=Inputs!$C$47,Inputs!$D$47,Inputs!$D$48))))*((Inputs!$B$28+(P12-0.5)*2*Inputs!$B$53)/Inputs!$B$28)</f>
        <v>0.99520264075210918</v>
      </c>
      <c r="V12" s="44">
        <f ca="1">(IF(E12&gt;=Inputs!$E$13,1,IF(L12&lt;=Inputs!$C$46,Inputs!$D$46,IF(L12&lt;=Inputs!$C$47,Inputs!$D$47,Inputs!$D$48))))*((Inputs!$B$29+(Q12-0.5)*2*Inputs!$B$53)/Inputs!$B$29)</f>
        <v>1.0027724329086065</v>
      </c>
      <c r="W12" s="44">
        <f ca="1">(IF(F12&gt;=Inputs!$E$14,1,IF(M12&lt;=Inputs!$C$46,Inputs!$D$46,IF(M12&lt;=Inputs!$C$47,Inputs!$D$47,Inputs!$D$48))))*((Inputs!$B$30+(R12-0.5)*2*Inputs!$B$53)/Inputs!$B$30)</f>
        <v>0.99539607257037599</v>
      </c>
      <c r="X12" s="44">
        <f ca="1">(IF(G12&gt;=Inputs!$E$15,1,IF(N12&lt;=Inputs!$C$46,Inputs!$D$46,IF(N12&lt;=Inputs!$C$47,Inputs!$D$47,Inputs!$D$48))))*((Inputs!$B$31+(S12-0.5)*2*Inputs!$B$53)/Inputs!$B$31)</f>
        <v>1.0015206797840992</v>
      </c>
      <c r="Y12" s="44">
        <f ca="1">(IF(H12&gt;=Inputs!$E$16,1,IF(O12&lt;=Inputs!$C$46,Inputs!$D$46,IF(O12&lt;=Inputs!$C$47,Inputs!$D$47,Inputs!$D$48))))*((Inputs!$B$32+(T12-0.5)*2*Inputs!$B$53)/Inputs!$B$32)</f>
        <v>0.99592747901634149</v>
      </c>
      <c r="Z12" s="45">
        <f ca="1">ILP_A_CostFocused!$C$9*U12+ILP_A_CostFocused!$C$10*V12+ILP_A_CostFocused!$C$11*W12+ILP_A_CostFocused!$C$12*X12+ILP_A_CostFocused!$C$13*Y12</f>
        <v>17982.548496793228</v>
      </c>
      <c r="AA12" s="45">
        <f ca="1">ILP_A_CostFocused!$D$9*U12+ILP_A_CostFocused!$D$10*V12+ILP_A_CostFocused!$D$11*W12+ILP_A_CostFocused!$D$12*X12+ILP_A_CostFocused!$D$13*Y12</f>
        <v>15003.575430957713</v>
      </c>
      <c r="AB12" s="45">
        <f ca="1">ILP_A_CostFocused!$E$9*U12+ILP_A_CostFocused!$E$10*V12+ILP_A_CostFocused!$E$11*W12+ILP_A_CostFocused!$E$12*X12+ILP_A_CostFocused!$E$13*Y12</f>
        <v>11978.766691376497</v>
      </c>
      <c r="AC12" s="45">
        <f ca="1">Inputs!$B$6*$C12</f>
        <v>18000</v>
      </c>
      <c r="AD12" s="45">
        <f ca="1">Inputs!$B$7*$C12</f>
        <v>15000</v>
      </c>
      <c r="AE12" s="45">
        <f ca="1">Inputs!$B$8*$C12</f>
        <v>12000</v>
      </c>
      <c r="AF12" s="45">
        <f t="shared" ca="1" si="3"/>
        <v>17.451503206772031</v>
      </c>
      <c r="AG12" s="45">
        <f t="shared" ca="1" si="4"/>
        <v>0</v>
      </c>
      <c r="AH12" s="45">
        <f t="shared" ca="1" si="5"/>
        <v>21.233308623503035</v>
      </c>
      <c r="AI12" s="45">
        <f t="shared" ca="1" si="6"/>
        <v>38.684811830275066</v>
      </c>
      <c r="AJ12" s="45">
        <f ca="1">U12*(Inputs!$B$12-ILP_A_CostFocused!$F$9)+V12*(Inputs!$B$13-ILP_A_CostFocused!$F$10)+W12*(Inputs!$B$14-ILP_A_CostFocused!$F$11)+X12*(Inputs!$B$15-ILP_A_CostFocused!$F$12)+Y12*(Inputs!$B$16-ILP_A_CostFocused!$F$13)</f>
        <v>24894.474979696002</v>
      </c>
      <c r="AK12" s="45">
        <f t="shared" ca="1" si="7"/>
        <v>38.684811830275066</v>
      </c>
      <c r="AL12" s="45">
        <f t="shared" ca="1" si="8"/>
        <v>0</v>
      </c>
      <c r="AM12" s="45">
        <f t="shared" ca="1" si="9"/>
        <v>0</v>
      </c>
      <c r="AN12" s="45">
        <f t="shared" ca="1" si="10"/>
        <v>0</v>
      </c>
      <c r="AO12" s="45">
        <f ca="1">MIN(AL12,Inputs!$B$36)</f>
        <v>0</v>
      </c>
      <c r="AP12" s="45">
        <f ca="1">MIN(AN12,Inputs!$B$36-AO12)</f>
        <v>0</v>
      </c>
      <c r="AQ12" s="45">
        <f ca="1">MIN(AM12,Inputs!$B$36-AO12-AP12)</f>
        <v>0</v>
      </c>
      <c r="AR12" s="45">
        <f t="shared" ca="1" si="11"/>
        <v>0</v>
      </c>
      <c r="AS12" s="45">
        <f t="shared" ca="1" si="12"/>
        <v>0</v>
      </c>
      <c r="AT12" s="45">
        <f t="shared" ca="1" si="13"/>
        <v>0</v>
      </c>
      <c r="AU12" s="45">
        <f t="shared" ca="1" si="14"/>
        <v>0</v>
      </c>
      <c r="AV12" s="46">
        <f ca="1">AU12*Inputs!$B$35</f>
        <v>0</v>
      </c>
      <c r="AW12" s="46">
        <f ca="1">AR12*Inputs!$C$6+AT12*Inputs!$C$7+AS12*Inputs!$C$8</f>
        <v>0</v>
      </c>
      <c r="AX12" s="46">
        <f t="shared" ca="1" si="15"/>
        <v>47355118.287239149</v>
      </c>
      <c r="AY12" s="46">
        <f ca="1">IF(J12&gt;1,($CD$4)*Inputs!$B$55*((Z12+AA12+AB12)/(SUM(ILP_A_CostFocused!$C$9:$E$13))),0)</f>
        <v>0</v>
      </c>
      <c r="AZ12" s="46">
        <f t="shared" ca="1" si="16"/>
        <v>0</v>
      </c>
      <c r="BA12" s="41">
        <f t="shared" ca="1" si="17"/>
        <v>0</v>
      </c>
      <c r="BB12" s="41">
        <f t="shared" ca="1" si="18"/>
        <v>1</v>
      </c>
      <c r="BC12" s="41">
        <f t="shared" ca="1" si="19"/>
        <v>1</v>
      </c>
      <c r="BD12" s="41">
        <f t="shared" ca="1" si="20"/>
        <v>1</v>
      </c>
    </row>
    <row r="13" spans="1:82" ht="15" customHeight="1" x14ac:dyDescent="0.3">
      <c r="A13" s="41">
        <v>6</v>
      </c>
      <c r="B13" s="42">
        <f t="shared" ca="1" si="0"/>
        <v>0.74459153709037096</v>
      </c>
      <c r="C13" s="43">
        <f ca="1">IF(B13&lt;=Inputs!$C$40,Inputs!$D$40,IF(B13&lt;=Inputs!$C$41,Inputs!$D$41,Inputs!$D$42))</f>
        <v>1</v>
      </c>
      <c r="D13" s="42">
        <f t="shared" ca="1" si="1"/>
        <v>0.12032963537417674</v>
      </c>
      <c r="E13" s="42">
        <f t="shared" ca="1" si="1"/>
        <v>0.69191537107271373</v>
      </c>
      <c r="F13" s="42">
        <f t="shared" ca="1" si="1"/>
        <v>0.58243387360655452</v>
      </c>
      <c r="G13" s="42">
        <f t="shared" ca="1" si="1"/>
        <v>0.65957125215169321</v>
      </c>
      <c r="H13" s="42">
        <f t="shared" ca="1" si="1"/>
        <v>0.7049596621390154</v>
      </c>
      <c r="I13" s="42">
        <f t="shared" ca="1" si="1"/>
        <v>2.5456823020113428E-2</v>
      </c>
      <c r="J13" s="43">
        <f ca="1">IF(I13&lt;Inputs!$B$54,1+Inputs!$B$55,1)</f>
        <v>1.25</v>
      </c>
      <c r="K13" s="42">
        <f t="shared" ca="1" si="2"/>
        <v>0.83648196360264004</v>
      </c>
      <c r="L13" s="42">
        <f t="shared" ca="1" si="2"/>
        <v>0.490161385839467</v>
      </c>
      <c r="M13" s="42">
        <f t="shared" ca="1" si="2"/>
        <v>0.37095319630982004</v>
      </c>
      <c r="N13" s="42">
        <f t="shared" ca="1" si="2"/>
        <v>0.53191722820072151</v>
      </c>
      <c r="O13" s="42">
        <f t="shared" ca="1" si="2"/>
        <v>0.51911194678516293</v>
      </c>
      <c r="P13" s="42">
        <f t="shared" ca="1" si="2"/>
        <v>5.7955424100851194E-2</v>
      </c>
      <c r="Q13" s="42">
        <f t="shared" ca="1" si="2"/>
        <v>0.96480061284953855</v>
      </c>
      <c r="R13" s="42">
        <f t="shared" ca="1" si="2"/>
        <v>0.6423089486721798</v>
      </c>
      <c r="S13" s="42">
        <f t="shared" ca="1" si="2"/>
        <v>0.7375303397649271</v>
      </c>
      <c r="T13" s="42">
        <f t="shared" ca="1" si="2"/>
        <v>0.24566329328282621</v>
      </c>
      <c r="U13" s="44">
        <f ca="1">(IF(D13&gt;=Inputs!$E$12,1,IF(K13&lt;=Inputs!$C$46,Inputs!$D$46,IF(K13&lt;=Inputs!$C$47,Inputs!$D$47,Inputs!$D$48))))*((Inputs!$B$28+(P13-0.5)*2*Inputs!$B$53)/Inputs!$B$28)</f>
        <v>0.99552586461640535</v>
      </c>
      <c r="V13" s="44">
        <f ca="1">(IF(E13&gt;=Inputs!$E$13,1,IF(L13&lt;=Inputs!$C$46,Inputs!$D$46,IF(L13&lt;=Inputs!$C$47,Inputs!$D$47,Inputs!$D$48))))*((Inputs!$B$29+(Q13-0.5)*2*Inputs!$B$53)/Inputs!$B$29)</f>
        <v>1.0046854900488864</v>
      </c>
      <c r="W13" s="44">
        <f ca="1">(IF(F13&gt;=Inputs!$E$14,1,IF(M13&lt;=Inputs!$C$46,Inputs!$D$46,IF(M13&lt;=Inputs!$C$47,Inputs!$D$47,Inputs!$D$48))))*((Inputs!$B$30+(R13-0.5)*2*Inputs!$B$53)/Inputs!$B$30)</f>
        <v>1.0014302406901727</v>
      </c>
      <c r="X13" s="44">
        <f ca="1">(IF(G13&gt;=Inputs!$E$15,1,IF(N13&lt;=Inputs!$C$46,Inputs!$D$46,IF(N13&lt;=Inputs!$C$47,Inputs!$D$47,Inputs!$D$48))))*((Inputs!$B$31+(S13-0.5)*2*Inputs!$B$53)/Inputs!$B$31)</f>
        <v>1.0024114755306084</v>
      </c>
      <c r="Y13" s="44">
        <f ca="1">(IF(H13&gt;=Inputs!$E$16,1,IF(O13&lt;=Inputs!$C$46,Inputs!$D$46,IF(O13&lt;=Inputs!$C$47,Inputs!$D$47,Inputs!$D$48))))*((Inputs!$B$32+(T13-0.5)*2*Inputs!$B$53)/Inputs!$B$32)</f>
        <v>0.99744128061652748</v>
      </c>
      <c r="Z13" s="45">
        <f ca="1">ILP_A_CostFocused!$C$9*U13+ILP_A_CostFocused!$C$10*V13+ILP_A_CostFocused!$C$11*W13+ILP_A_CostFocused!$C$12*X13+ILP_A_CostFocused!$C$13*Y13</f>
        <v>17994.636208006748</v>
      </c>
      <c r="AA13" s="45">
        <f ca="1">ILP_A_CostFocused!$D$9*U13+ILP_A_CostFocused!$D$10*V13+ILP_A_CostFocused!$D$11*W13+ILP_A_CostFocused!$D$12*X13+ILP_A_CostFocused!$D$13*Y13</f>
        <v>15051.75171411826</v>
      </c>
      <c r="AB13" s="45">
        <f ca="1">ILP_A_CostFocused!$E$9*U13+ILP_A_CostFocused!$E$10*V13+ILP_A_CostFocused!$E$11*W13+ILP_A_CostFocused!$E$12*X13+ILP_A_CostFocused!$E$13*Y13</f>
        <v>11990.276577472774</v>
      </c>
      <c r="AC13" s="45">
        <f ca="1">Inputs!$B$6*$C13</f>
        <v>18000</v>
      </c>
      <c r="AD13" s="45">
        <f ca="1">Inputs!$B$7*$C13</f>
        <v>15000</v>
      </c>
      <c r="AE13" s="45">
        <f ca="1">Inputs!$B$8*$C13</f>
        <v>12000</v>
      </c>
      <c r="AF13" s="45">
        <f t="shared" ca="1" si="3"/>
        <v>5.3637919932516525</v>
      </c>
      <c r="AG13" s="45">
        <f t="shared" ca="1" si="4"/>
        <v>0</v>
      </c>
      <c r="AH13" s="45">
        <f t="shared" ca="1" si="5"/>
        <v>9.7234225272259209</v>
      </c>
      <c r="AI13" s="45">
        <f t="shared" ca="1" si="6"/>
        <v>15.087214520477573</v>
      </c>
      <c r="AJ13" s="45">
        <f ca="1">U13*(Inputs!$B$12-ILP_A_CostFocused!$F$9)+V13*(Inputs!$B$13-ILP_A_CostFocused!$F$10)+W13*(Inputs!$B$14-ILP_A_CostFocused!$F$11)+X13*(Inputs!$B$15-ILP_A_CostFocused!$F$12)+Y13*(Inputs!$B$16-ILP_A_CostFocused!$F$13)</f>
        <v>24966.496239536573</v>
      </c>
      <c r="AK13" s="45">
        <f t="shared" ca="1" si="7"/>
        <v>15.087214520477573</v>
      </c>
      <c r="AL13" s="45">
        <f t="shared" ca="1" si="8"/>
        <v>0</v>
      </c>
      <c r="AM13" s="45">
        <f t="shared" ca="1" si="9"/>
        <v>0</v>
      </c>
      <c r="AN13" s="45">
        <f t="shared" ca="1" si="10"/>
        <v>0</v>
      </c>
      <c r="AO13" s="45">
        <f ca="1">MIN(AL13,Inputs!$B$36)</f>
        <v>0</v>
      </c>
      <c r="AP13" s="45">
        <f ca="1">MIN(AN13,Inputs!$B$36-AO13)</f>
        <v>0</v>
      </c>
      <c r="AQ13" s="45">
        <f ca="1">MIN(AM13,Inputs!$B$36-AO13-AP13)</f>
        <v>0</v>
      </c>
      <c r="AR13" s="45">
        <f t="shared" ca="1" si="11"/>
        <v>0</v>
      </c>
      <c r="AS13" s="45">
        <f t="shared" ca="1" si="12"/>
        <v>0</v>
      </c>
      <c r="AT13" s="45">
        <f t="shared" ca="1" si="13"/>
        <v>0</v>
      </c>
      <c r="AU13" s="45">
        <f t="shared" ca="1" si="14"/>
        <v>0</v>
      </c>
      <c r="AV13" s="46">
        <f ca="1">AU13*Inputs!$B$35</f>
        <v>0</v>
      </c>
      <c r="AW13" s="46">
        <f ca="1">AR13*Inputs!$C$6+AT13*Inputs!$C$7+AS13*Inputs!$C$8</f>
        <v>0</v>
      </c>
      <c r="AX13" s="46">
        <f t="shared" ca="1" si="15"/>
        <v>47430852.338084981</v>
      </c>
      <c r="AY13" s="46">
        <f ca="1">IF(J13&gt;1,($CD$4)*Inputs!$B$55*((Z13+AA13+AB13)/(SUM(ILP_A_CostFocused!$C$9:$E$13))),0)</f>
        <v>554996.82477621001</v>
      </c>
      <c r="AZ13" s="46">
        <f t="shared" ca="1" si="16"/>
        <v>0</v>
      </c>
      <c r="BA13" s="41">
        <f t="shared" ca="1" si="17"/>
        <v>0</v>
      </c>
      <c r="BB13" s="41">
        <f t="shared" ca="1" si="18"/>
        <v>1</v>
      </c>
      <c r="BC13" s="41">
        <f t="shared" ca="1" si="19"/>
        <v>1</v>
      </c>
      <c r="BD13" s="41">
        <f t="shared" ca="1" si="20"/>
        <v>1</v>
      </c>
    </row>
    <row r="14" spans="1:82" ht="15" customHeight="1" x14ac:dyDescent="0.3">
      <c r="A14" s="41">
        <v>7</v>
      </c>
      <c r="B14" s="42">
        <f t="shared" ca="1" si="0"/>
        <v>0.98037985728027421</v>
      </c>
      <c r="C14" s="43">
        <f ca="1">IF(B14&lt;=Inputs!$C$40,Inputs!$D$40,IF(B14&lt;=Inputs!$C$41,Inputs!$D$41,Inputs!$D$42))</f>
        <v>1.1499999999999999</v>
      </c>
      <c r="D14" s="42">
        <f t="shared" ca="1" si="1"/>
        <v>0.66728002824552612</v>
      </c>
      <c r="E14" s="42">
        <f t="shared" ca="1" si="1"/>
        <v>0.68654330877537739</v>
      </c>
      <c r="F14" s="42">
        <f t="shared" ca="1" si="1"/>
        <v>6.4286940960521788E-2</v>
      </c>
      <c r="G14" s="42">
        <f t="shared" ca="1" si="1"/>
        <v>0.21441576254566486</v>
      </c>
      <c r="H14" s="42">
        <f t="shared" ca="1" si="1"/>
        <v>0.93161277127763642</v>
      </c>
      <c r="I14" s="42">
        <f t="shared" ca="1" si="1"/>
        <v>0.53613748973975761</v>
      </c>
      <c r="J14" s="43">
        <f ca="1">IF(I14&lt;Inputs!$B$54,1+Inputs!$B$55,1)</f>
        <v>1</v>
      </c>
      <c r="K14" s="42">
        <f t="shared" ca="1" si="2"/>
        <v>0.77283896933865093</v>
      </c>
      <c r="L14" s="42">
        <f t="shared" ca="1" si="2"/>
        <v>6.9422385932197184E-2</v>
      </c>
      <c r="M14" s="42">
        <f t="shared" ca="1" si="2"/>
        <v>4.1772366251052739E-3</v>
      </c>
      <c r="N14" s="42">
        <f t="shared" ca="1" si="2"/>
        <v>0.47701311121964018</v>
      </c>
      <c r="O14" s="42">
        <f t="shared" ca="1" si="2"/>
        <v>0.4801777927401627</v>
      </c>
      <c r="P14" s="42">
        <f t="shared" ca="1" si="2"/>
        <v>8.133572460854166E-2</v>
      </c>
      <c r="Q14" s="42">
        <f t="shared" ca="1" si="2"/>
        <v>0.72664780554437514</v>
      </c>
      <c r="R14" s="42">
        <f t="shared" ca="1" si="2"/>
        <v>0.81522731728797282</v>
      </c>
      <c r="S14" s="42">
        <f t="shared" ca="1" si="2"/>
        <v>0.57829594522831573</v>
      </c>
      <c r="T14" s="42">
        <f t="shared" ca="1" si="2"/>
        <v>0.33052909369750716</v>
      </c>
      <c r="U14" s="44">
        <f ca="1">(IF(D14&gt;=Inputs!$E$12,1,IF(K14&lt;=Inputs!$C$46,Inputs!$D$46,IF(K14&lt;=Inputs!$C$47,Inputs!$D$47,Inputs!$D$48))))*((Inputs!$B$28+(P14-0.5)*2*Inputs!$B$53)/Inputs!$B$28)</f>
        <v>0.99576250733409455</v>
      </c>
      <c r="V14" s="44">
        <f ca="1">(IF(E14&gt;=Inputs!$E$13,1,IF(L14&lt;=Inputs!$C$46,Inputs!$D$46,IF(L14&lt;=Inputs!$C$47,Inputs!$D$47,Inputs!$D$48))))*((Inputs!$B$29+(Q14-0.5)*2*Inputs!$B$53)/Inputs!$B$29)</f>
        <v>1.002284756104278</v>
      </c>
      <c r="W14" s="44">
        <f ca="1">(IF(F14&gt;=Inputs!$E$14,1,IF(M14&lt;=Inputs!$C$46,Inputs!$D$46,IF(M14&lt;=Inputs!$C$47,Inputs!$D$47,Inputs!$D$48))))*((Inputs!$B$30+(R14-0.5)*2*Inputs!$B$53)/Inputs!$B$30)</f>
        <v>1.0031681137415875</v>
      </c>
      <c r="X14" s="44">
        <f ca="1">(IF(G14&gt;=Inputs!$E$15,1,IF(N14&lt;=Inputs!$C$46,Inputs!$D$46,IF(N14&lt;=Inputs!$C$47,Inputs!$D$47,Inputs!$D$48))))*((Inputs!$B$31+(S14-0.5)*2*Inputs!$B$53)/Inputs!$B$31)</f>
        <v>1.0007948826926731</v>
      </c>
      <c r="Y14" s="44">
        <f ca="1">(IF(H14&gt;=Inputs!$E$16,1,IF(O14&lt;=Inputs!$C$46,Inputs!$D$46,IF(O14&lt;=Inputs!$C$47,Inputs!$D$47,Inputs!$D$48))))*((Inputs!$B$32+(T14-0.5)*2*Inputs!$B$53)/Inputs!$B$32)</f>
        <v>0.99829506130480394</v>
      </c>
      <c r="Z14" s="45">
        <f ca="1">ILP_A_CostFocused!$C$9*U14+ILP_A_CostFocused!$C$10*V14+ILP_A_CostFocused!$C$11*W14+ILP_A_CostFocused!$C$12*X14+ILP_A_CostFocused!$C$13*Y14</f>
        <v>17978.648743778125</v>
      </c>
      <c r="AA14" s="45">
        <f ca="1">ILP_A_CostFocused!$D$9*U14+ILP_A_CostFocused!$D$10*V14+ILP_A_CostFocused!$D$11*W14+ILP_A_CostFocused!$D$12*X14+ILP_A_CostFocused!$D$13*Y14</f>
        <v>15037.150791718133</v>
      </c>
      <c r="AB14" s="45">
        <f ca="1">ILP_A_CostFocused!$E$9*U14+ILP_A_CostFocused!$E$10*V14+ILP_A_CostFocused!$E$11*W14+ILP_A_CostFocused!$E$12*X14+ILP_A_CostFocused!$E$13*Y14</f>
        <v>11980.456882106015</v>
      </c>
      <c r="AC14" s="45">
        <f ca="1">Inputs!$B$6*$C14</f>
        <v>20700</v>
      </c>
      <c r="AD14" s="45">
        <f ca="1">Inputs!$B$7*$C14</f>
        <v>17250</v>
      </c>
      <c r="AE14" s="45">
        <f ca="1">Inputs!$B$8*$C14</f>
        <v>13799.999999999998</v>
      </c>
      <c r="AF14" s="45">
        <f t="shared" ca="1" si="3"/>
        <v>2721.3512562218748</v>
      </c>
      <c r="AG14" s="45">
        <f t="shared" ca="1" si="4"/>
        <v>2212.8492082818666</v>
      </c>
      <c r="AH14" s="45">
        <f t="shared" ca="1" si="5"/>
        <v>1819.5431178939834</v>
      </c>
      <c r="AI14" s="45">
        <f t="shared" ca="1" si="6"/>
        <v>6753.7435823977248</v>
      </c>
      <c r="AJ14" s="45">
        <f ca="1">U14*(Inputs!$B$12-ILP_A_CostFocused!$F$9)+V14*(Inputs!$B$13-ILP_A_CostFocused!$F$10)+W14*(Inputs!$B$14-ILP_A_CostFocused!$F$11)+X14*(Inputs!$B$15-ILP_A_CostFocused!$F$12)+Y14*(Inputs!$B$16-ILP_A_CostFocused!$F$13)</f>
        <v>24993.080275727902</v>
      </c>
      <c r="AK14" s="45">
        <f t="shared" ca="1" si="7"/>
        <v>6753.7435823977248</v>
      </c>
      <c r="AL14" s="45">
        <f t="shared" ca="1" si="8"/>
        <v>0</v>
      </c>
      <c r="AM14" s="45">
        <f t="shared" ca="1" si="9"/>
        <v>0</v>
      </c>
      <c r="AN14" s="45">
        <f t="shared" ca="1" si="10"/>
        <v>0</v>
      </c>
      <c r="AO14" s="45">
        <f ca="1">MIN(AL14,Inputs!$B$36)</f>
        <v>0</v>
      </c>
      <c r="AP14" s="45">
        <f ca="1">MIN(AN14,Inputs!$B$36-AO14)</f>
        <v>0</v>
      </c>
      <c r="AQ14" s="45">
        <f ca="1">MIN(AM14,Inputs!$B$36-AO14-AP14)</f>
        <v>0</v>
      </c>
      <c r="AR14" s="45">
        <f t="shared" ca="1" si="11"/>
        <v>0</v>
      </c>
      <c r="AS14" s="45">
        <f t="shared" ca="1" si="12"/>
        <v>0</v>
      </c>
      <c r="AT14" s="45">
        <f t="shared" ca="1" si="13"/>
        <v>0</v>
      </c>
      <c r="AU14" s="45">
        <f t="shared" ca="1" si="14"/>
        <v>0</v>
      </c>
      <c r="AV14" s="46">
        <f ca="1">AU14*Inputs!$B$35</f>
        <v>0</v>
      </c>
      <c r="AW14" s="46">
        <f ca="1">AR14*Inputs!$C$6+AT14*Inputs!$C$7+AS14*Inputs!$C$8</f>
        <v>0</v>
      </c>
      <c r="AX14" s="46">
        <f t="shared" ca="1" si="15"/>
        <v>47388321.827639371</v>
      </c>
      <c r="AY14" s="46">
        <f ca="1">IF(J14&gt;1,($CD$4)*Inputs!$B$55*((Z14+AA14+AB14)/(SUM(ILP_A_CostFocused!$C$9:$E$13))),0)</f>
        <v>0</v>
      </c>
      <c r="AZ14" s="46">
        <f t="shared" ca="1" si="16"/>
        <v>0</v>
      </c>
      <c r="BA14" s="41">
        <f t="shared" ca="1" si="17"/>
        <v>0</v>
      </c>
      <c r="BB14" s="41">
        <f t="shared" ca="1" si="18"/>
        <v>1</v>
      </c>
      <c r="BC14" s="41">
        <f t="shared" ca="1" si="19"/>
        <v>1</v>
      </c>
      <c r="BD14" s="41">
        <f t="shared" ca="1" si="20"/>
        <v>1</v>
      </c>
    </row>
    <row r="15" spans="1:82" ht="15" customHeight="1" x14ac:dyDescent="0.3">
      <c r="A15" s="41">
        <v>8</v>
      </c>
      <c r="B15" s="42">
        <f t="shared" ca="1" si="0"/>
        <v>0.4024580525879754</v>
      </c>
      <c r="C15" s="43">
        <f ca="1">IF(B15&lt;=Inputs!$C$40,Inputs!$D$40,IF(B15&lt;=Inputs!$C$41,Inputs!$D$41,Inputs!$D$42))</f>
        <v>1</v>
      </c>
      <c r="D15" s="42">
        <f t="shared" ca="1" si="1"/>
        <v>0.92708307735326756</v>
      </c>
      <c r="E15" s="42">
        <f t="shared" ca="1" si="1"/>
        <v>4.7589421989636227E-2</v>
      </c>
      <c r="F15" s="42">
        <f t="shared" ca="1" si="1"/>
        <v>0.50885059189083437</v>
      </c>
      <c r="G15" s="42">
        <f t="shared" ca="1" si="1"/>
        <v>0.27976017313036661</v>
      </c>
      <c r="H15" s="42">
        <f t="shared" ca="1" si="1"/>
        <v>0.6194193848943238</v>
      </c>
      <c r="I15" s="42">
        <f t="shared" ca="1" si="1"/>
        <v>0.20796390835787371</v>
      </c>
      <c r="J15" s="43">
        <f ca="1">IF(I15&lt;Inputs!$B$54,1+Inputs!$B$55,1)</f>
        <v>1</v>
      </c>
      <c r="K15" s="42">
        <f t="shared" ca="1" si="2"/>
        <v>0.92699659067841078</v>
      </c>
      <c r="L15" s="42">
        <f t="shared" ca="1" si="2"/>
        <v>0.20687416002887038</v>
      </c>
      <c r="M15" s="42">
        <f t="shared" ca="1" si="2"/>
        <v>0.31873273544397362</v>
      </c>
      <c r="N15" s="42">
        <f t="shared" ca="1" si="2"/>
        <v>0.4094319782388316</v>
      </c>
      <c r="O15" s="42">
        <f t="shared" ca="1" si="2"/>
        <v>0.41693487991405864</v>
      </c>
      <c r="P15" s="42">
        <f t="shared" ca="1" si="2"/>
        <v>0.80103348497221438</v>
      </c>
      <c r="Q15" s="42">
        <f t="shared" ca="1" si="2"/>
        <v>0.18468137332163337</v>
      </c>
      <c r="R15" s="42">
        <f t="shared" ca="1" si="2"/>
        <v>0.21864338101232683</v>
      </c>
      <c r="S15" s="42">
        <f t="shared" ca="1" si="2"/>
        <v>0.28812348572903379</v>
      </c>
      <c r="T15" s="42">
        <f t="shared" ca="1" si="2"/>
        <v>0.22367099040283533</v>
      </c>
      <c r="U15" s="44">
        <f ca="1">(IF(D15&gt;=Inputs!$E$12,1,IF(K15&lt;=Inputs!$C$46,Inputs!$D$46,IF(K15&lt;=Inputs!$C$47,Inputs!$D$47,Inputs!$D$48))))*((Inputs!$B$28+(P15-0.5)*2*Inputs!$B$53)/Inputs!$B$28)</f>
        <v>1.0030468976211762</v>
      </c>
      <c r="V15" s="44">
        <f ca="1">(IF(E15&gt;=Inputs!$E$13,1,IF(L15&lt;=Inputs!$C$46,Inputs!$D$46,IF(L15&lt;=Inputs!$C$47,Inputs!$D$47,Inputs!$D$48))))*((Inputs!$B$29+(Q15-0.5)*2*Inputs!$B$53)/Inputs!$B$29)</f>
        <v>0.59809283088702603</v>
      </c>
      <c r="W15" s="44">
        <f ca="1">(IF(F15&gt;=Inputs!$E$14,1,IF(M15&lt;=Inputs!$C$46,Inputs!$D$46,IF(M15&lt;=Inputs!$C$47,Inputs!$D$47,Inputs!$D$48))))*((Inputs!$B$30+(R15-0.5)*2*Inputs!$B$53)/Inputs!$B$30)</f>
        <v>0.99717229528655604</v>
      </c>
      <c r="X15" s="44">
        <f ca="1">(IF(G15&gt;=Inputs!$E$15,1,IF(N15&lt;=Inputs!$C$46,Inputs!$D$46,IF(N15&lt;=Inputs!$C$47,Inputs!$D$47,Inputs!$D$48))))*((Inputs!$B$31+(S15-0.5)*2*Inputs!$B$53)/Inputs!$B$31)</f>
        <v>0.99784896939826428</v>
      </c>
      <c r="Y15" s="44">
        <f ca="1">(IF(H15&gt;=Inputs!$E$16,1,IF(O15&lt;=Inputs!$C$46,Inputs!$D$46,IF(O15&lt;=Inputs!$C$47,Inputs!$D$47,Inputs!$D$48))))*((Inputs!$B$32+(T15-0.5)*2*Inputs!$B$53)/Inputs!$B$32)</f>
        <v>0.99722003008453552</v>
      </c>
      <c r="Z15" s="45">
        <f ca="1">ILP_A_CostFocused!$C$9*U15+ILP_A_CostFocused!$C$10*V15+ILP_A_CostFocused!$C$11*W15+ILP_A_CostFocused!$C$12*X15+ILP_A_CostFocused!$C$13*Y15</f>
        <v>17963.070574501118</v>
      </c>
      <c r="AA15" s="45">
        <f ca="1">ILP_A_CostFocused!$D$9*U15+ILP_A_CostFocused!$D$10*V15+ILP_A_CostFocused!$D$11*W15+ILP_A_CostFocused!$D$12*X15+ILP_A_CostFocused!$D$13*Y15</f>
        <v>11366.559457296513</v>
      </c>
      <c r="AB15" s="45">
        <f ca="1">ILP_A_CostFocused!$E$9*U15+ILP_A_CostFocused!$E$10*V15+ILP_A_CostFocused!$E$11*W15+ILP_A_CostFocused!$E$12*X15+ILP_A_CostFocused!$E$13*Y15</f>
        <v>10092.783251130193</v>
      </c>
      <c r="AC15" s="45">
        <f ca="1">Inputs!$B$6*$C15</f>
        <v>18000</v>
      </c>
      <c r="AD15" s="45">
        <f ca="1">Inputs!$B$7*$C15</f>
        <v>15000</v>
      </c>
      <c r="AE15" s="45">
        <f ca="1">Inputs!$B$8*$C15</f>
        <v>12000</v>
      </c>
      <c r="AF15" s="45">
        <f t="shared" ca="1" si="3"/>
        <v>36.929425498881756</v>
      </c>
      <c r="AG15" s="45">
        <f t="shared" ca="1" si="4"/>
        <v>3633.4405427034872</v>
      </c>
      <c r="AH15" s="45">
        <f t="shared" ca="1" si="5"/>
        <v>1907.2167488698069</v>
      </c>
      <c r="AI15" s="45">
        <f t="shared" ca="1" si="6"/>
        <v>5577.5867170721758</v>
      </c>
      <c r="AJ15" s="45">
        <f ca="1">U15*(Inputs!$B$12-ILP_A_CostFocused!$F$9)+V15*(Inputs!$B$13-ILP_A_CostFocused!$F$10)+W15*(Inputs!$B$14-ILP_A_CostFocused!$F$11)+X15*(Inputs!$B$15-ILP_A_CostFocused!$F$12)+Y15*(Inputs!$B$16-ILP_A_CostFocused!$F$13)</f>
        <v>24895.364634201789</v>
      </c>
      <c r="AK15" s="45">
        <f t="shared" ca="1" si="7"/>
        <v>5577.5867170721758</v>
      </c>
      <c r="AL15" s="45">
        <f t="shared" ca="1" si="8"/>
        <v>0</v>
      </c>
      <c r="AM15" s="45">
        <f t="shared" ca="1" si="9"/>
        <v>0</v>
      </c>
      <c r="AN15" s="45">
        <f t="shared" ca="1" si="10"/>
        <v>0</v>
      </c>
      <c r="AO15" s="45">
        <f ca="1">MIN(AL15,Inputs!$B$36)</f>
        <v>0</v>
      </c>
      <c r="AP15" s="45">
        <f ca="1">MIN(AN15,Inputs!$B$36-AO15)</f>
        <v>0</v>
      </c>
      <c r="AQ15" s="45">
        <f ca="1">MIN(AM15,Inputs!$B$36-AO15-AP15)</f>
        <v>0</v>
      </c>
      <c r="AR15" s="45">
        <f t="shared" ca="1" si="11"/>
        <v>0</v>
      </c>
      <c r="AS15" s="45">
        <f t="shared" ca="1" si="12"/>
        <v>0</v>
      </c>
      <c r="AT15" s="45">
        <f t="shared" ca="1" si="13"/>
        <v>0</v>
      </c>
      <c r="AU15" s="45">
        <f t="shared" ca="1" si="14"/>
        <v>0</v>
      </c>
      <c r="AV15" s="46">
        <f ca="1">AU15*Inputs!$B$35</f>
        <v>0</v>
      </c>
      <c r="AW15" s="46">
        <f ca="1">AR15*Inputs!$C$6+AT15*Inputs!$C$7+AS15*Inputs!$C$8</f>
        <v>0</v>
      </c>
      <c r="AX15" s="46">
        <f t="shared" ca="1" si="15"/>
        <v>41454600.84863802</v>
      </c>
      <c r="AY15" s="46">
        <f ca="1">IF(J15&gt;1,($CD$4)*Inputs!$B$55*((Z15+AA15+AB15)/(SUM(ILP_A_CostFocused!$C$9:$E$13))),0)</f>
        <v>0</v>
      </c>
      <c r="AZ15" s="46">
        <f t="shared" ca="1" si="16"/>
        <v>0</v>
      </c>
      <c r="BA15" s="41">
        <f t="shared" ca="1" si="17"/>
        <v>0</v>
      </c>
      <c r="BB15" s="41">
        <f t="shared" ca="1" si="18"/>
        <v>1</v>
      </c>
      <c r="BC15" s="41">
        <f t="shared" ca="1" si="19"/>
        <v>1</v>
      </c>
      <c r="BD15" s="41">
        <f t="shared" ca="1" si="20"/>
        <v>1</v>
      </c>
    </row>
    <row r="16" spans="1:82" ht="15" customHeight="1" x14ac:dyDescent="0.3">
      <c r="A16" s="41">
        <v>9</v>
      </c>
      <c r="B16" s="42">
        <f t="shared" ca="1" si="0"/>
        <v>0.54111267205324531</v>
      </c>
      <c r="C16" s="43">
        <f ca="1">IF(B16&lt;=Inputs!$C$40,Inputs!$D$40,IF(B16&lt;=Inputs!$C$41,Inputs!$D$41,Inputs!$D$42))</f>
        <v>1</v>
      </c>
      <c r="D16" s="42">
        <f t="shared" ca="1" si="1"/>
        <v>1.6588819969352131E-2</v>
      </c>
      <c r="E16" s="42">
        <f t="shared" ca="1" si="1"/>
        <v>0.14906210751562776</v>
      </c>
      <c r="F16" s="42">
        <f t="shared" ca="1" si="1"/>
        <v>0.63946267649444954</v>
      </c>
      <c r="G16" s="42">
        <f t="shared" ca="1" si="1"/>
        <v>0.74051269724823809</v>
      </c>
      <c r="H16" s="42">
        <f t="shared" ca="1" si="1"/>
        <v>0.38787879654117763</v>
      </c>
      <c r="I16" s="42">
        <f t="shared" ca="1" si="1"/>
        <v>5.0029240330462521E-3</v>
      </c>
      <c r="J16" s="43">
        <f ca="1">IF(I16&lt;Inputs!$B$54,1+Inputs!$B$55,1)</f>
        <v>1.25</v>
      </c>
      <c r="K16" s="42">
        <f t="shared" ca="1" si="2"/>
        <v>0.6706116231123872</v>
      </c>
      <c r="L16" s="42">
        <f t="shared" ca="1" si="2"/>
        <v>0.70693771158867047</v>
      </c>
      <c r="M16" s="42">
        <f t="shared" ca="1" si="2"/>
        <v>0.23026683095059819</v>
      </c>
      <c r="N16" s="42">
        <f t="shared" ca="1" si="2"/>
        <v>0.50401898928649358</v>
      </c>
      <c r="O16" s="42">
        <f t="shared" ca="1" si="2"/>
        <v>0.85809213159587638</v>
      </c>
      <c r="P16" s="42">
        <f t="shared" ca="1" si="2"/>
        <v>0.96651590474996751</v>
      </c>
      <c r="Q16" s="42">
        <f t="shared" ca="1" si="2"/>
        <v>0.60552504786203809</v>
      </c>
      <c r="R16" s="42">
        <f t="shared" ca="1" si="2"/>
        <v>0.67058841199984642</v>
      </c>
      <c r="S16" s="42">
        <f t="shared" ca="1" si="2"/>
        <v>0.65683571233868576</v>
      </c>
      <c r="T16" s="42">
        <f t="shared" ca="1" si="2"/>
        <v>0.51977339421585678</v>
      </c>
      <c r="U16" s="44">
        <f ca="1">(IF(D16&gt;=Inputs!$E$12,1,IF(K16&lt;=Inputs!$C$46,Inputs!$D$46,IF(K16&lt;=Inputs!$C$47,Inputs!$D$47,Inputs!$D$48))))*((Inputs!$B$28+(P16-0.5)*2*Inputs!$B$53)/Inputs!$B$28)</f>
        <v>0.30141654626948367</v>
      </c>
      <c r="V16" s="44">
        <f ca="1">(IF(E16&gt;=Inputs!$E$13,1,IF(L16&lt;=Inputs!$C$46,Inputs!$D$46,IF(L16&lt;=Inputs!$C$47,Inputs!$D$47,Inputs!$D$48))))*((Inputs!$B$29+(Q16-0.5)*2*Inputs!$B$53)/Inputs!$B$29)</f>
        <v>1.0010637605631254</v>
      </c>
      <c r="W16" s="44">
        <f ca="1">(IF(F16&gt;=Inputs!$E$14,1,IF(M16&lt;=Inputs!$C$46,Inputs!$D$46,IF(M16&lt;=Inputs!$C$47,Inputs!$D$47,Inputs!$D$48))))*((Inputs!$B$30+(R16-0.5)*2*Inputs!$B$53)/Inputs!$B$30)</f>
        <v>1.0017144564020086</v>
      </c>
      <c r="X16" s="44">
        <f ca="1">(IF(G16&gt;=Inputs!$E$15,1,IF(N16&lt;=Inputs!$C$46,Inputs!$D$46,IF(N16&lt;=Inputs!$C$47,Inputs!$D$47,Inputs!$D$48))))*((Inputs!$B$31+(S16-0.5)*2*Inputs!$B$53)/Inputs!$B$31)</f>
        <v>1.0015922407344029</v>
      </c>
      <c r="Y16" s="44">
        <f ca="1">(IF(H16&gt;=Inputs!$E$16,1,IF(O16&lt;=Inputs!$C$46,Inputs!$D$46,IF(O16&lt;=Inputs!$C$47,Inputs!$D$47,Inputs!$D$48))))*((Inputs!$B$32+(T16-0.5)*2*Inputs!$B$53)/Inputs!$B$32)</f>
        <v>1.0001989275072019</v>
      </c>
      <c r="Z16" s="45">
        <f ca="1">ILP_A_CostFocused!$C$9*U16+ILP_A_CostFocused!$C$10*V16+ILP_A_CostFocused!$C$11*W16+ILP_A_CostFocused!$C$12*X16+ILP_A_CostFocused!$C$13*Y16</f>
        <v>13048.964287929673</v>
      </c>
      <c r="AA16" s="45">
        <f ca="1">ILP_A_CostFocused!$D$9*U16+ILP_A_CostFocused!$D$10*V16+ILP_A_CostFocused!$D$11*W16+ILP_A_CostFocused!$D$12*X16+ILP_A_CostFocused!$D$13*Y16</f>
        <v>15019.735923499222</v>
      </c>
      <c r="AB16" s="45">
        <f ca="1">ILP_A_CostFocused!$E$9*U16+ILP_A_CostFocused!$E$10*V16+ILP_A_CostFocused!$E$11*W16+ILP_A_CostFocused!$E$12*X16+ILP_A_CostFocused!$E$13*Y16</f>
        <v>6975.3051838432839</v>
      </c>
      <c r="AC16" s="45">
        <f ca="1">Inputs!$B$6*$C16</f>
        <v>18000</v>
      </c>
      <c r="AD16" s="45">
        <f ca="1">Inputs!$B$7*$C16</f>
        <v>15000</v>
      </c>
      <c r="AE16" s="45">
        <f ca="1">Inputs!$B$8*$C16</f>
        <v>12000</v>
      </c>
      <c r="AF16" s="45">
        <f t="shared" ca="1" si="3"/>
        <v>4951.0357120703266</v>
      </c>
      <c r="AG16" s="45">
        <f t="shared" ca="1" si="4"/>
        <v>0</v>
      </c>
      <c r="AH16" s="45">
        <f t="shared" ca="1" si="5"/>
        <v>5024.6948161567161</v>
      </c>
      <c r="AI16" s="45">
        <f t="shared" ca="1" si="6"/>
        <v>9975.7305282270427</v>
      </c>
      <c r="AJ16" s="45">
        <f ca="1">U16*(Inputs!$B$12-ILP_A_CostFocused!$F$9)+V16*(Inputs!$B$13-ILP_A_CostFocused!$F$10)+W16*(Inputs!$B$14-ILP_A_CostFocused!$F$11)+X16*(Inputs!$B$15-ILP_A_CostFocused!$F$12)+Y16*(Inputs!$B$16-ILP_A_CostFocused!$F$13)</f>
        <v>23837.930727570289</v>
      </c>
      <c r="AK16" s="45">
        <f t="shared" ca="1" si="7"/>
        <v>9975.7305282270427</v>
      </c>
      <c r="AL16" s="45">
        <f t="shared" ca="1" si="8"/>
        <v>0</v>
      </c>
      <c r="AM16" s="45">
        <f t="shared" ca="1" si="9"/>
        <v>0</v>
      </c>
      <c r="AN16" s="45">
        <f t="shared" ca="1" si="10"/>
        <v>0</v>
      </c>
      <c r="AO16" s="45">
        <f ca="1">MIN(AL16,Inputs!$B$36)</f>
        <v>0</v>
      </c>
      <c r="AP16" s="45">
        <f ca="1">MIN(AN16,Inputs!$B$36-AO16)</f>
        <v>0</v>
      </c>
      <c r="AQ16" s="45">
        <f ca="1">MIN(AM16,Inputs!$B$36-AO16-AP16)</f>
        <v>0</v>
      </c>
      <c r="AR16" s="45">
        <f t="shared" ca="1" si="11"/>
        <v>0</v>
      </c>
      <c r="AS16" s="45">
        <f t="shared" ca="1" si="12"/>
        <v>0</v>
      </c>
      <c r="AT16" s="45">
        <f t="shared" ca="1" si="13"/>
        <v>0</v>
      </c>
      <c r="AU16" s="45">
        <f t="shared" ca="1" si="14"/>
        <v>0</v>
      </c>
      <c r="AV16" s="46">
        <f ca="1">AU16*Inputs!$B$35</f>
        <v>0</v>
      </c>
      <c r="AW16" s="46">
        <f ca="1">AR16*Inputs!$C$6+AT16*Inputs!$C$7+AS16*Inputs!$C$8</f>
        <v>0</v>
      </c>
      <c r="AX16" s="46">
        <f t="shared" ca="1" si="15"/>
        <v>36855315.742099859</v>
      </c>
      <c r="AY16" s="46">
        <f ca="1">IF(J16&gt;1,($CD$4)*Inputs!$B$55*((Z16+AA16+AB16)/(SUM(ILP_A_CostFocused!$C$9:$E$13))),0)</f>
        <v>431855.06604269356</v>
      </c>
      <c r="AZ16" s="46">
        <f t="shared" ca="1" si="16"/>
        <v>0</v>
      </c>
      <c r="BA16" s="41">
        <f t="shared" ca="1" si="17"/>
        <v>0</v>
      </c>
      <c r="BB16" s="41">
        <f t="shared" ca="1" si="18"/>
        <v>1</v>
      </c>
      <c r="BC16" s="41">
        <f t="shared" ca="1" si="19"/>
        <v>1</v>
      </c>
      <c r="BD16" s="41">
        <f t="shared" ca="1" si="20"/>
        <v>1</v>
      </c>
    </row>
    <row r="17" spans="1:56" ht="15" customHeight="1" x14ac:dyDescent="0.3">
      <c r="A17" s="41">
        <v>10</v>
      </c>
      <c r="B17" s="42">
        <f t="shared" ca="1" si="0"/>
        <v>0.78694834163156646</v>
      </c>
      <c r="C17" s="43">
        <f ca="1">IF(B17&lt;=Inputs!$C$40,Inputs!$D$40,IF(B17&lt;=Inputs!$C$41,Inputs!$D$41,Inputs!$D$42))</f>
        <v>1.1499999999999999</v>
      </c>
      <c r="D17" s="42">
        <f t="shared" ca="1" si="1"/>
        <v>0.49942859395224015</v>
      </c>
      <c r="E17" s="42">
        <f t="shared" ca="1" si="1"/>
        <v>0.40147669715761658</v>
      </c>
      <c r="F17" s="42">
        <f t="shared" ca="1" si="1"/>
        <v>0.3901892452657344</v>
      </c>
      <c r="G17" s="42">
        <f t="shared" ca="1" si="1"/>
        <v>0.12244144185872907</v>
      </c>
      <c r="H17" s="42">
        <f t="shared" ca="1" si="1"/>
        <v>0.39089175510488394</v>
      </c>
      <c r="I17" s="42">
        <f t="shared" ca="1" si="1"/>
        <v>9.0608307092910678E-2</v>
      </c>
      <c r="J17" s="43">
        <f ca="1">IF(I17&lt;Inputs!$B$54,1+Inputs!$B$55,1)</f>
        <v>1</v>
      </c>
      <c r="K17" s="42">
        <f t="shared" ca="1" si="2"/>
        <v>0.75445847203738436</v>
      </c>
      <c r="L17" s="42">
        <f t="shared" ca="1" si="2"/>
        <v>2.4153843298416522E-2</v>
      </c>
      <c r="M17" s="42">
        <f t="shared" ca="1" si="2"/>
        <v>0.46416491079737876</v>
      </c>
      <c r="N17" s="42">
        <f t="shared" ca="1" si="2"/>
        <v>0.41593653203551995</v>
      </c>
      <c r="O17" s="42">
        <f t="shared" ca="1" si="2"/>
        <v>0.36365647303400961</v>
      </c>
      <c r="P17" s="42">
        <f t="shared" ca="1" si="2"/>
        <v>0.95864568659131855</v>
      </c>
      <c r="Q17" s="42">
        <f t="shared" ca="1" si="2"/>
        <v>0.7234598035751838</v>
      </c>
      <c r="R17" s="42">
        <f t="shared" ca="1" si="2"/>
        <v>0.61983329580382196</v>
      </c>
      <c r="S17" s="42">
        <f t="shared" ca="1" si="2"/>
        <v>0.80688622483381511</v>
      </c>
      <c r="T17" s="42">
        <f t="shared" ca="1" si="2"/>
        <v>0.22656127271317872</v>
      </c>
      <c r="U17" s="44">
        <f ca="1">(IF(D17&gt;=Inputs!$E$12,1,IF(K17&lt;=Inputs!$C$46,Inputs!$D$46,IF(K17&lt;=Inputs!$C$47,Inputs!$D$47,Inputs!$D$48))))*((Inputs!$B$28+(P17-0.5)*2*Inputs!$B$53)/Inputs!$B$28)</f>
        <v>1.0046421628197502</v>
      </c>
      <c r="V17" s="44">
        <f ca="1">(IF(E17&gt;=Inputs!$E$13,1,IF(L17&lt;=Inputs!$C$46,Inputs!$D$46,IF(L17&lt;=Inputs!$C$47,Inputs!$D$47,Inputs!$D$48))))*((Inputs!$B$29+(Q17-0.5)*2*Inputs!$B$53)/Inputs!$B$29)</f>
        <v>1.0022526189876531</v>
      </c>
      <c r="W17" s="44">
        <f ca="1">(IF(F17&gt;=Inputs!$E$14,1,IF(M17&lt;=Inputs!$C$46,Inputs!$D$46,IF(M17&lt;=Inputs!$C$47,Inputs!$D$47,Inputs!$D$48))))*((Inputs!$B$30+(R17-0.5)*2*Inputs!$B$53)/Inputs!$B$30)</f>
        <v>1.0012043547316967</v>
      </c>
      <c r="X17" s="44">
        <f ca="1">(IF(G17&gt;=Inputs!$E$15,1,IF(N17&lt;=Inputs!$C$46,Inputs!$D$46,IF(N17&lt;=Inputs!$C$47,Inputs!$D$47,Inputs!$D$48))))*((Inputs!$B$31+(S17-0.5)*2*Inputs!$B$53)/Inputs!$B$31)</f>
        <v>0.30093467885736186</v>
      </c>
      <c r="Y17" s="44">
        <f ca="1">(IF(H17&gt;=Inputs!$E$16,1,IF(O17&lt;=Inputs!$C$46,Inputs!$D$46,IF(O17&lt;=Inputs!$C$47,Inputs!$D$47,Inputs!$D$48))))*((Inputs!$B$32+(T17-0.5)*2*Inputs!$B$53)/Inputs!$B$32)</f>
        <v>0.99724910737135997</v>
      </c>
      <c r="Z17" s="45">
        <f ca="1">ILP_A_CostFocused!$C$9*U17+ILP_A_CostFocused!$C$10*V17+ILP_A_CostFocused!$C$11*W17+ILP_A_CostFocused!$C$12*X17+ILP_A_CostFocused!$C$13*Y17</f>
        <v>10483.307824104486</v>
      </c>
      <c r="AA17" s="45">
        <f ca="1">ILP_A_CostFocused!$D$9*U17+ILP_A_CostFocused!$D$10*V17+ILP_A_CostFocused!$D$11*W17+ILP_A_CostFocused!$D$12*X17+ILP_A_CostFocused!$D$13*Y17</f>
        <v>14313.224629887236</v>
      </c>
      <c r="AB17" s="45">
        <f ca="1">ILP_A_CostFocused!$E$9*U17+ILP_A_CostFocused!$E$10*V17+ILP_A_CostFocused!$E$11*W17+ILP_A_CostFocused!$E$12*X17+ILP_A_CostFocused!$E$13*Y17</f>
        <v>12044.236143442937</v>
      </c>
      <c r="AC17" s="45">
        <f ca="1">Inputs!$B$6*$C17</f>
        <v>20700</v>
      </c>
      <c r="AD17" s="45">
        <f ca="1">Inputs!$B$7*$C17</f>
        <v>17250</v>
      </c>
      <c r="AE17" s="45">
        <f ca="1">Inputs!$B$8*$C17</f>
        <v>13799.999999999998</v>
      </c>
      <c r="AF17" s="45">
        <f t="shared" ca="1" si="3"/>
        <v>10216.692175895514</v>
      </c>
      <c r="AG17" s="45">
        <f t="shared" ca="1" si="4"/>
        <v>2936.775370112764</v>
      </c>
      <c r="AH17" s="45">
        <f t="shared" ca="1" si="5"/>
        <v>1755.7638565570614</v>
      </c>
      <c r="AI17" s="45">
        <f t="shared" ca="1" si="6"/>
        <v>14909.23140256534</v>
      </c>
      <c r="AJ17" s="45">
        <f ca="1">U17*(Inputs!$B$12-ILP_A_CostFocused!$F$9)+V17*(Inputs!$B$13-ILP_A_CostFocused!$F$10)+W17*(Inputs!$B$14-ILP_A_CostFocused!$F$11)+X17*(Inputs!$B$15-ILP_A_CostFocused!$F$12)+Y17*(Inputs!$B$16-ILP_A_CostFocused!$F$13)</f>
        <v>24850.652041879286</v>
      </c>
      <c r="AK17" s="45">
        <f t="shared" ca="1" si="7"/>
        <v>14909.23140256534</v>
      </c>
      <c r="AL17" s="45">
        <f t="shared" ca="1" si="8"/>
        <v>0</v>
      </c>
      <c r="AM17" s="45">
        <f t="shared" ca="1" si="9"/>
        <v>0</v>
      </c>
      <c r="AN17" s="45">
        <f t="shared" ca="1" si="10"/>
        <v>0</v>
      </c>
      <c r="AO17" s="45">
        <f ca="1">MIN(AL17,Inputs!$B$36)</f>
        <v>0</v>
      </c>
      <c r="AP17" s="45">
        <f ca="1">MIN(AN17,Inputs!$B$36-AO17)</f>
        <v>0</v>
      </c>
      <c r="AQ17" s="45">
        <f ca="1">MIN(AM17,Inputs!$B$36-AO17-AP17)</f>
        <v>0</v>
      </c>
      <c r="AR17" s="45">
        <f t="shared" ca="1" si="11"/>
        <v>0</v>
      </c>
      <c r="AS17" s="45">
        <f t="shared" ca="1" si="12"/>
        <v>0</v>
      </c>
      <c r="AT17" s="45">
        <f t="shared" ca="1" si="13"/>
        <v>0</v>
      </c>
      <c r="AU17" s="45">
        <f t="shared" ca="1" si="14"/>
        <v>0</v>
      </c>
      <c r="AV17" s="46">
        <f ca="1">AU17*Inputs!$B$35</f>
        <v>0</v>
      </c>
      <c r="AW17" s="46">
        <f ca="1">AR17*Inputs!$C$6+AT17*Inputs!$C$7+AS17*Inputs!$C$8</f>
        <v>0</v>
      </c>
      <c r="AX17" s="46">
        <f t="shared" ca="1" si="15"/>
        <v>38966759.567364477</v>
      </c>
      <c r="AY17" s="46">
        <f ca="1">IF(J17&gt;1,($CD$4)*Inputs!$B$55*((Z17+AA17+AB17)/(SUM(ILP_A_CostFocused!$C$9:$E$13))),0)</f>
        <v>0</v>
      </c>
      <c r="AZ17" s="46">
        <f t="shared" ca="1" si="16"/>
        <v>0</v>
      </c>
      <c r="BA17" s="41">
        <f t="shared" ca="1" si="17"/>
        <v>0</v>
      </c>
      <c r="BB17" s="41">
        <f t="shared" ca="1" si="18"/>
        <v>1</v>
      </c>
      <c r="BC17" s="41">
        <f t="shared" ca="1" si="19"/>
        <v>1</v>
      </c>
      <c r="BD17" s="41">
        <f t="shared" ca="1" si="20"/>
        <v>1</v>
      </c>
    </row>
    <row r="18" spans="1:56" ht="15" customHeight="1" x14ac:dyDescent="0.3">
      <c r="A18" s="41">
        <v>11</v>
      </c>
      <c r="B18" s="42">
        <f t="shared" ca="1" si="0"/>
        <v>0.11862999685819142</v>
      </c>
      <c r="C18" s="43">
        <f ca="1">IF(B18&lt;=Inputs!$C$40,Inputs!$D$40,IF(B18&lt;=Inputs!$C$41,Inputs!$D$41,Inputs!$D$42))</f>
        <v>0.9</v>
      </c>
      <c r="D18" s="42">
        <f t="shared" ref="D18:I27" ca="1" si="21">RAND()</f>
        <v>0.12808121281230922</v>
      </c>
      <c r="E18" s="42">
        <f t="shared" ca="1" si="21"/>
        <v>0.27590738513894597</v>
      </c>
      <c r="F18" s="42">
        <f t="shared" ca="1" si="21"/>
        <v>0.52955894020792826</v>
      </c>
      <c r="G18" s="42">
        <f t="shared" ca="1" si="21"/>
        <v>0.48399119050270967</v>
      </c>
      <c r="H18" s="42">
        <f t="shared" ca="1" si="21"/>
        <v>0.2317991136470815</v>
      </c>
      <c r="I18" s="42">
        <f t="shared" ca="1" si="21"/>
        <v>8.9914329940585236E-2</v>
      </c>
      <c r="J18" s="43">
        <f ca="1">IF(I18&lt;Inputs!$B$54,1+Inputs!$B$55,1)</f>
        <v>1</v>
      </c>
      <c r="K18" s="42">
        <f t="shared" ref="K18:T27" ca="1" si="22">RAND()</f>
        <v>2.9487524279422805E-2</v>
      </c>
      <c r="L18" s="42">
        <f t="shared" ca="1" si="22"/>
        <v>0.58736521497231786</v>
      </c>
      <c r="M18" s="42">
        <f t="shared" ca="1" si="22"/>
        <v>0.57557278970226133</v>
      </c>
      <c r="N18" s="42">
        <f t="shared" ca="1" si="22"/>
        <v>0.86323246535279585</v>
      </c>
      <c r="O18" s="42">
        <f t="shared" ca="1" si="22"/>
        <v>0.17760660169310982</v>
      </c>
      <c r="P18" s="42">
        <f t="shared" ca="1" si="22"/>
        <v>0.99129791256642308</v>
      </c>
      <c r="Q18" s="42">
        <f t="shared" ca="1" si="22"/>
        <v>0.19460430653316918</v>
      </c>
      <c r="R18" s="42">
        <f t="shared" ca="1" si="22"/>
        <v>0.56087492948590023</v>
      </c>
      <c r="S18" s="42">
        <f t="shared" ca="1" si="22"/>
        <v>0.67060920897322307</v>
      </c>
      <c r="T18" s="42">
        <f t="shared" ca="1" si="22"/>
        <v>0.27025320941121078</v>
      </c>
      <c r="U18" s="44">
        <f ca="1">(IF(D18&gt;=Inputs!$E$12,1,IF(K18&lt;=Inputs!$C$46,Inputs!$D$46,IF(K18&lt;=Inputs!$C$47,Inputs!$D$47,Inputs!$D$48))))*((Inputs!$B$28+(P18-0.5)*2*Inputs!$B$53)/Inputs!$B$28)</f>
        <v>1.004972650936907</v>
      </c>
      <c r="V18" s="44">
        <f ca="1">(IF(E18&gt;=Inputs!$E$13,1,IF(L18&lt;=Inputs!$C$46,Inputs!$D$46,IF(L18&lt;=Inputs!$C$47,Inputs!$D$47,Inputs!$D$48))))*((Inputs!$B$29+(Q18-0.5)*2*Inputs!$B$53)/Inputs!$B$29)</f>
        <v>0.99692141438037474</v>
      </c>
      <c r="W18" s="44">
        <f ca="1">(IF(F18&gt;=Inputs!$E$14,1,IF(M18&lt;=Inputs!$C$46,Inputs!$D$46,IF(M18&lt;=Inputs!$C$47,Inputs!$D$47,Inputs!$D$48))))*((Inputs!$B$30+(R18-0.5)*2*Inputs!$B$53)/Inputs!$B$30)</f>
        <v>1.0006118083365416</v>
      </c>
      <c r="X18" s="44">
        <f ca="1">(IF(G18&gt;=Inputs!$E$15,1,IF(N18&lt;=Inputs!$C$46,Inputs!$D$46,IF(N18&lt;=Inputs!$C$47,Inputs!$D$47,Inputs!$D$48))))*((Inputs!$B$31+(S18-0.5)*2*Inputs!$B$53)/Inputs!$B$31)</f>
        <v>1.0017320731875454</v>
      </c>
      <c r="Y18" s="44">
        <f ca="1">(IF(H18&gt;=Inputs!$E$16,1,IF(O18&lt;=Inputs!$C$46,Inputs!$D$46,IF(O18&lt;=Inputs!$C$47,Inputs!$D$47,Inputs!$D$48))))*((Inputs!$B$32+(T18-0.5)*2*Inputs!$B$53)/Inputs!$B$32)</f>
        <v>0.99768866407858359</v>
      </c>
      <c r="Z18" s="45">
        <f ca="1">ILP_A_CostFocused!$C$9*U18+ILP_A_CostFocused!$C$10*V18+ILP_A_CostFocused!$C$11*W18+ILP_A_CostFocused!$C$12*X18+ILP_A_CostFocused!$C$13*Y18</f>
        <v>18053.800968354244</v>
      </c>
      <c r="AA18" s="45">
        <f ca="1">ILP_A_CostFocused!$D$9*U18+ILP_A_CostFocused!$D$10*V18+ILP_A_CostFocused!$D$11*W18+ILP_A_CostFocused!$D$12*X18+ILP_A_CostFocused!$D$13*Y18</f>
        <v>14977.106249590646</v>
      </c>
      <c r="AB18" s="45">
        <f ca="1">ILP_A_CostFocused!$E$9*U18+ILP_A_CostFocused!$E$10*V18+ILP_A_CostFocused!$E$11*W18+ILP_A_CostFocused!$E$12*X18+ILP_A_CostFocused!$E$13*Y18</f>
        <v>12021.025875771531</v>
      </c>
      <c r="AC18" s="45">
        <f ca="1">Inputs!$B$6*$C18</f>
        <v>16200</v>
      </c>
      <c r="AD18" s="45">
        <f ca="1">Inputs!$B$7*$C18</f>
        <v>13500</v>
      </c>
      <c r="AE18" s="45">
        <f ca="1">Inputs!$B$8*$C18</f>
        <v>10800</v>
      </c>
      <c r="AF18" s="45">
        <f t="shared" ca="1" si="3"/>
        <v>0</v>
      </c>
      <c r="AG18" s="45">
        <f t="shared" ca="1" si="4"/>
        <v>0</v>
      </c>
      <c r="AH18" s="45">
        <f t="shared" ca="1" si="5"/>
        <v>0</v>
      </c>
      <c r="AI18" s="45">
        <f t="shared" ca="1" si="6"/>
        <v>0</v>
      </c>
      <c r="AJ18" s="45">
        <f ca="1">U18*(Inputs!$B$12-ILP_A_CostFocused!$F$9)+V18*(Inputs!$B$13-ILP_A_CostFocused!$F$10)+W18*(Inputs!$B$14-ILP_A_CostFocused!$F$11)+X18*(Inputs!$B$15-ILP_A_CostFocused!$F$12)+Y18*(Inputs!$B$16-ILP_A_CostFocused!$F$13)</f>
        <v>24978.597470403678</v>
      </c>
      <c r="AK18" s="45">
        <f t="shared" ca="1" si="7"/>
        <v>0</v>
      </c>
      <c r="AL18" s="45">
        <f t="shared" ca="1" si="8"/>
        <v>0</v>
      </c>
      <c r="AM18" s="45">
        <f t="shared" ca="1" si="9"/>
        <v>0</v>
      </c>
      <c r="AN18" s="45">
        <f t="shared" ca="1" si="10"/>
        <v>0</v>
      </c>
      <c r="AO18" s="45">
        <f ca="1">MIN(AL18,Inputs!$B$36)</f>
        <v>0</v>
      </c>
      <c r="AP18" s="45">
        <f ca="1">MIN(AN18,Inputs!$B$36-AO18)</f>
        <v>0</v>
      </c>
      <c r="AQ18" s="45">
        <f ca="1">MIN(AM18,Inputs!$B$36-AO18-AP18)</f>
        <v>0</v>
      </c>
      <c r="AR18" s="45">
        <f t="shared" ca="1" si="11"/>
        <v>0</v>
      </c>
      <c r="AS18" s="45">
        <f t="shared" ca="1" si="12"/>
        <v>0</v>
      </c>
      <c r="AT18" s="45">
        <f t="shared" ca="1" si="13"/>
        <v>0</v>
      </c>
      <c r="AU18" s="45">
        <f t="shared" ca="1" si="14"/>
        <v>0</v>
      </c>
      <c r="AV18" s="46">
        <f ca="1">AU18*Inputs!$B$35</f>
        <v>0</v>
      </c>
      <c r="AW18" s="46">
        <f ca="1">AR18*Inputs!$C$6+AT18*Inputs!$C$7+AS18*Inputs!$C$8</f>
        <v>0</v>
      </c>
      <c r="AX18" s="46">
        <f t="shared" ca="1" si="15"/>
        <v>47446544.462748133</v>
      </c>
      <c r="AY18" s="46">
        <f ca="1">IF(J18&gt;1,($CD$4)*Inputs!$B$55*((Z18+AA18+AB18)/(SUM(ILP_A_CostFocused!$C$9:$E$13))),0)</f>
        <v>0</v>
      </c>
      <c r="AZ18" s="46">
        <f t="shared" ca="1" si="16"/>
        <v>0</v>
      </c>
      <c r="BA18" s="41">
        <f t="shared" ca="1" si="17"/>
        <v>0</v>
      </c>
      <c r="BB18" s="41">
        <f t="shared" ca="1" si="18"/>
        <v>1</v>
      </c>
      <c r="BC18" s="41">
        <f t="shared" ca="1" si="19"/>
        <v>1</v>
      </c>
      <c r="BD18" s="41">
        <f t="shared" ca="1" si="20"/>
        <v>1</v>
      </c>
    </row>
    <row r="19" spans="1:56" ht="15" customHeight="1" x14ac:dyDescent="0.3">
      <c r="A19" s="41">
        <v>12</v>
      </c>
      <c r="B19" s="42">
        <f t="shared" ca="1" si="0"/>
        <v>0.25292218811114631</v>
      </c>
      <c r="C19" s="43">
        <f ca="1">IF(B19&lt;=Inputs!$C$40,Inputs!$D$40,IF(B19&lt;=Inputs!$C$41,Inputs!$D$41,Inputs!$D$42))</f>
        <v>1</v>
      </c>
      <c r="D19" s="42">
        <f t="shared" ca="1" si="21"/>
        <v>0.83393757070850638</v>
      </c>
      <c r="E19" s="42">
        <f t="shared" ca="1" si="21"/>
        <v>0.36087007417409345</v>
      </c>
      <c r="F19" s="42">
        <f t="shared" ca="1" si="21"/>
        <v>0.94840110317052384</v>
      </c>
      <c r="G19" s="42">
        <f t="shared" ca="1" si="21"/>
        <v>0.90453089779338391</v>
      </c>
      <c r="H19" s="42">
        <f t="shared" ca="1" si="21"/>
        <v>0.61612922285205673</v>
      </c>
      <c r="I19" s="42">
        <f t="shared" ca="1" si="21"/>
        <v>0.38276028917769511</v>
      </c>
      <c r="J19" s="43">
        <f ca="1">IF(I19&lt;Inputs!$B$54,1+Inputs!$B$55,1)</f>
        <v>1</v>
      </c>
      <c r="K19" s="42">
        <f t="shared" ca="1" si="22"/>
        <v>0.34994213851469558</v>
      </c>
      <c r="L19" s="42">
        <f t="shared" ca="1" si="22"/>
        <v>0.71497945789569572</v>
      </c>
      <c r="M19" s="42">
        <f t="shared" ca="1" si="22"/>
        <v>0.70432945368017086</v>
      </c>
      <c r="N19" s="42">
        <f t="shared" ca="1" si="22"/>
        <v>2.6871561424708368E-3</v>
      </c>
      <c r="O19" s="42">
        <f t="shared" ca="1" si="22"/>
        <v>9.9981419066995314E-2</v>
      </c>
      <c r="P19" s="42">
        <f t="shared" ca="1" si="22"/>
        <v>0.34000042404023634</v>
      </c>
      <c r="Q19" s="42">
        <f t="shared" ca="1" si="22"/>
        <v>0.29282957240758356</v>
      </c>
      <c r="R19" s="42">
        <f t="shared" ca="1" si="22"/>
        <v>0.29055030960491912</v>
      </c>
      <c r="S19" s="42">
        <f t="shared" ca="1" si="22"/>
        <v>0.17511101559373377</v>
      </c>
      <c r="T19" s="42">
        <f t="shared" ca="1" si="22"/>
        <v>0.739794347352693</v>
      </c>
      <c r="U19" s="44">
        <f ca="1">(IF(D19&gt;=Inputs!$E$12,1,IF(K19&lt;=Inputs!$C$46,Inputs!$D$46,IF(K19&lt;=Inputs!$C$47,Inputs!$D$47,Inputs!$D$48))))*((Inputs!$B$28+(P19-0.5)*2*Inputs!$B$53)/Inputs!$B$28)</f>
        <v>0.99838057109352463</v>
      </c>
      <c r="V19" s="44">
        <f ca="1">(IF(E19&gt;=Inputs!$E$13,1,IF(L19&lt;=Inputs!$C$46,Inputs!$D$46,IF(L19&lt;=Inputs!$C$47,Inputs!$D$47,Inputs!$D$48))))*((Inputs!$B$29+(Q19-0.5)*2*Inputs!$B$53)/Inputs!$B$29)</f>
        <v>0.99791158843152805</v>
      </c>
      <c r="W19" s="44">
        <f ca="1">(IF(F19&gt;=Inputs!$E$14,1,IF(M19&lt;=Inputs!$C$46,Inputs!$D$46,IF(M19&lt;=Inputs!$C$47,Inputs!$D$47,Inputs!$D$48))))*((Inputs!$B$30+(R19-0.5)*2*Inputs!$B$53)/Inputs!$B$30)</f>
        <v>0.99789497798597904</v>
      </c>
      <c r="X19" s="44">
        <f ca="1">(IF(G19&gt;=Inputs!$E$15,1,IF(N19&lt;=Inputs!$C$46,Inputs!$D$46,IF(N19&lt;=Inputs!$C$47,Inputs!$D$47,Inputs!$D$48))))*((Inputs!$B$31+(S19-0.5)*2*Inputs!$B$53)/Inputs!$B$31)</f>
        <v>0.99670163467607853</v>
      </c>
      <c r="Y19" s="44">
        <f ca="1">(IF(H19&gt;=Inputs!$E$16,1,IF(O19&lt;=Inputs!$C$46,Inputs!$D$46,IF(O19&lt;=Inputs!$C$47,Inputs!$D$47,Inputs!$D$48))))*((Inputs!$B$32+(T19-0.5)*2*Inputs!$B$53)/Inputs!$B$32)</f>
        <v>1.0024124179814153</v>
      </c>
      <c r="Z19" s="45">
        <f ca="1">ILP_A_CostFocused!$C$9*U19+ILP_A_CostFocused!$C$10*V19+ILP_A_CostFocused!$C$11*W19+ILP_A_CostFocused!$C$12*X19+ILP_A_CostFocused!$C$13*Y19</f>
        <v>17952.676495900771</v>
      </c>
      <c r="AA19" s="45">
        <f ca="1">ILP_A_CostFocused!$D$9*U19+ILP_A_CostFocused!$D$10*V19+ILP_A_CostFocused!$D$11*W19+ILP_A_CostFocused!$D$12*X19+ILP_A_CostFocused!$D$13*Y19</f>
        <v>14967.356953623528</v>
      </c>
      <c r="AB19" s="45">
        <f ca="1">ILP_A_CostFocused!$E$9*U19+ILP_A_CostFocused!$E$10*V19+ILP_A_CostFocused!$E$11*W19+ILP_A_CostFocused!$E$12*X19+ILP_A_CostFocused!$E$13*Y19</f>
        <v>11978.315736344712</v>
      </c>
      <c r="AC19" s="45">
        <f ca="1">Inputs!$B$6*$C19</f>
        <v>18000</v>
      </c>
      <c r="AD19" s="45">
        <f ca="1">Inputs!$B$7*$C19</f>
        <v>15000</v>
      </c>
      <c r="AE19" s="45">
        <f ca="1">Inputs!$B$8*$C19</f>
        <v>12000</v>
      </c>
      <c r="AF19" s="45">
        <f t="shared" ca="1" si="3"/>
        <v>47.323504099229467</v>
      </c>
      <c r="AG19" s="45">
        <f t="shared" ca="1" si="4"/>
        <v>32.64304637647183</v>
      </c>
      <c r="AH19" s="45">
        <f t="shared" ca="1" si="5"/>
        <v>21.684263655288305</v>
      </c>
      <c r="AI19" s="45">
        <f t="shared" ca="1" si="6"/>
        <v>101.6508141309896</v>
      </c>
      <c r="AJ19" s="45">
        <f ca="1">U19*(Inputs!$B$12-ILP_A_CostFocused!$F$9)+V19*(Inputs!$B$13-ILP_A_CostFocused!$F$10)+W19*(Inputs!$B$14-ILP_A_CostFocused!$F$11)+X19*(Inputs!$B$15-ILP_A_CostFocused!$F$12)+Y19*(Inputs!$B$16-ILP_A_CostFocused!$F$13)</f>
        <v>25015.742789320677</v>
      </c>
      <c r="AK19" s="45">
        <f t="shared" ca="1" si="7"/>
        <v>101.6508141309896</v>
      </c>
      <c r="AL19" s="45">
        <f t="shared" ca="1" si="8"/>
        <v>0</v>
      </c>
      <c r="AM19" s="45">
        <f t="shared" ca="1" si="9"/>
        <v>0</v>
      </c>
      <c r="AN19" s="45">
        <f t="shared" ca="1" si="10"/>
        <v>0</v>
      </c>
      <c r="AO19" s="45">
        <f ca="1">MIN(AL19,Inputs!$B$36)</f>
        <v>0</v>
      </c>
      <c r="AP19" s="45">
        <f ca="1">MIN(AN19,Inputs!$B$36-AO19)</f>
        <v>0</v>
      </c>
      <c r="AQ19" s="45">
        <f ca="1">MIN(AM19,Inputs!$B$36-AO19-AP19)</f>
        <v>0</v>
      </c>
      <c r="AR19" s="45">
        <f t="shared" ca="1" si="11"/>
        <v>0</v>
      </c>
      <c r="AS19" s="45">
        <f t="shared" ca="1" si="12"/>
        <v>0</v>
      </c>
      <c r="AT19" s="45">
        <f t="shared" ca="1" si="13"/>
        <v>0</v>
      </c>
      <c r="AU19" s="45">
        <f t="shared" ca="1" si="14"/>
        <v>0</v>
      </c>
      <c r="AV19" s="46">
        <f ca="1">AU19*Inputs!$B$35</f>
        <v>0</v>
      </c>
      <c r="AW19" s="46">
        <f ca="1">AR19*Inputs!$C$6+AT19*Inputs!$C$7+AS19*Inputs!$C$8</f>
        <v>0</v>
      </c>
      <c r="AX19" s="46">
        <f t="shared" ca="1" si="15"/>
        <v>47285654.894735299</v>
      </c>
      <c r="AY19" s="46">
        <f ca="1">IF(J19&gt;1,($CD$4)*Inputs!$B$55*((Z19+AA19+AB19)/(SUM(ILP_A_CostFocused!$C$9:$E$13))),0)</f>
        <v>0</v>
      </c>
      <c r="AZ19" s="46">
        <f t="shared" ca="1" si="16"/>
        <v>0</v>
      </c>
      <c r="BA19" s="41">
        <f t="shared" ca="1" si="17"/>
        <v>0</v>
      </c>
      <c r="BB19" s="41">
        <f t="shared" ca="1" si="18"/>
        <v>1</v>
      </c>
      <c r="BC19" s="41">
        <f t="shared" ca="1" si="19"/>
        <v>1</v>
      </c>
      <c r="BD19" s="41">
        <f t="shared" ca="1" si="20"/>
        <v>1</v>
      </c>
    </row>
    <row r="20" spans="1:56" ht="15" customHeight="1" x14ac:dyDescent="0.3">
      <c r="A20" s="41">
        <v>13</v>
      </c>
      <c r="B20" s="42">
        <f t="shared" ca="1" si="0"/>
        <v>0.21592402944290001</v>
      </c>
      <c r="C20" s="43">
        <f ca="1">IF(B20&lt;=Inputs!$C$40,Inputs!$D$40,IF(B20&lt;=Inputs!$C$41,Inputs!$D$41,Inputs!$D$42))</f>
        <v>1</v>
      </c>
      <c r="D20" s="42">
        <f t="shared" ca="1" si="21"/>
        <v>0.39040271629086942</v>
      </c>
      <c r="E20" s="42">
        <f t="shared" ca="1" si="21"/>
        <v>0.72597275640842829</v>
      </c>
      <c r="F20" s="42">
        <f t="shared" ca="1" si="21"/>
        <v>0.97801148039455166</v>
      </c>
      <c r="G20" s="42">
        <f t="shared" ca="1" si="21"/>
        <v>0.78161473480589183</v>
      </c>
      <c r="H20" s="42">
        <f t="shared" ca="1" si="21"/>
        <v>0.41809634488722958</v>
      </c>
      <c r="I20" s="42">
        <f t="shared" ca="1" si="21"/>
        <v>0.87731695509488772</v>
      </c>
      <c r="J20" s="43">
        <f ca="1">IF(I20&lt;Inputs!$B$54,1+Inputs!$B$55,1)</f>
        <v>1</v>
      </c>
      <c r="K20" s="42">
        <f t="shared" ca="1" si="22"/>
        <v>0.7495039864872135</v>
      </c>
      <c r="L20" s="42">
        <f t="shared" ca="1" si="22"/>
        <v>0.38969371304104494</v>
      </c>
      <c r="M20" s="42">
        <f t="shared" ca="1" si="22"/>
        <v>5.1408693857318721E-2</v>
      </c>
      <c r="N20" s="42">
        <f t="shared" ca="1" si="22"/>
        <v>0.84884984170933098</v>
      </c>
      <c r="O20" s="42">
        <f t="shared" ca="1" si="22"/>
        <v>0.93479299656328907</v>
      </c>
      <c r="P20" s="42">
        <f t="shared" ca="1" si="22"/>
        <v>0.43296436866265287</v>
      </c>
      <c r="Q20" s="42">
        <f t="shared" ca="1" si="22"/>
        <v>0.69433756145839398</v>
      </c>
      <c r="R20" s="42">
        <f t="shared" ca="1" si="22"/>
        <v>0.9339896277073807</v>
      </c>
      <c r="S20" s="42">
        <f t="shared" ca="1" si="22"/>
        <v>0.37181348676177883</v>
      </c>
      <c r="T20" s="42">
        <f t="shared" ca="1" si="22"/>
        <v>0.98783978612803092</v>
      </c>
      <c r="U20" s="44">
        <f ca="1">(IF(D20&gt;=Inputs!$E$12,1,IF(K20&lt;=Inputs!$C$46,Inputs!$D$46,IF(K20&lt;=Inputs!$C$47,Inputs!$D$47,Inputs!$D$48))))*((Inputs!$B$28+(P20-0.5)*2*Inputs!$B$53)/Inputs!$B$28)</f>
        <v>0.99932150170711187</v>
      </c>
      <c r="V20" s="44">
        <f ca="1">(IF(E20&gt;=Inputs!$E$13,1,IF(L20&lt;=Inputs!$C$46,Inputs!$D$46,IF(L20&lt;=Inputs!$C$47,Inputs!$D$47,Inputs!$D$48))))*((Inputs!$B$29+(Q20-0.5)*2*Inputs!$B$53)/Inputs!$B$29)</f>
        <v>1.0019590479985725</v>
      </c>
      <c r="W20" s="44">
        <f ca="1">(IF(F20&gt;=Inputs!$E$14,1,IF(M20&lt;=Inputs!$C$46,Inputs!$D$46,IF(M20&lt;=Inputs!$C$47,Inputs!$D$47,Inputs!$D$48))))*((Inputs!$B$30+(R20-0.5)*2*Inputs!$B$53)/Inputs!$B$30)</f>
        <v>1.0043617048010791</v>
      </c>
      <c r="X20" s="44">
        <f ca="1">(IF(G20&gt;=Inputs!$E$15,1,IF(N20&lt;=Inputs!$C$46,Inputs!$D$46,IF(N20&lt;=Inputs!$C$47,Inputs!$D$47,Inputs!$D$48))))*((Inputs!$B$31+(S20-0.5)*2*Inputs!$B$53)/Inputs!$B$31)</f>
        <v>0.99869861407879978</v>
      </c>
      <c r="Y20" s="44">
        <f ca="1">(IF(H20&gt;=Inputs!$E$16,1,IF(O20&lt;=Inputs!$C$46,Inputs!$D$46,IF(O20&lt;=Inputs!$C$47,Inputs!$D$47,Inputs!$D$48))))*((Inputs!$B$32+(T20-0.5)*2*Inputs!$B$53)/Inputs!$B$32)</f>
        <v>1.0049078449308655</v>
      </c>
      <c r="Z20" s="45">
        <f ca="1">ILP_A_CostFocused!$C$9*U20+ILP_A_CostFocused!$C$10*V20+ILP_A_CostFocused!$C$11*W20+ILP_A_CostFocused!$C$12*X20+ILP_A_CostFocused!$C$13*Y20</f>
        <v>17981.291948415892</v>
      </c>
      <c r="AA20" s="45">
        <f ca="1">ILP_A_CostFocused!$D$9*U20+ILP_A_CostFocused!$D$10*V20+ILP_A_CostFocused!$D$11*W20+ILP_A_CostFocused!$D$12*X20+ILP_A_CostFocused!$D$13*Y20</f>
        <v>15038.025308256902</v>
      </c>
      <c r="AB20" s="45">
        <f ca="1">ILP_A_CostFocused!$E$9*U20+ILP_A_CostFocused!$E$10*V20+ILP_A_CostFocused!$E$11*W20+ILP_A_CostFocused!$E$12*X20+ILP_A_CostFocused!$E$13*Y20</f>
        <v>12004.518242684353</v>
      </c>
      <c r="AC20" s="45">
        <f ca="1">Inputs!$B$6*$C20</f>
        <v>18000</v>
      </c>
      <c r="AD20" s="45">
        <f ca="1">Inputs!$B$7*$C20</f>
        <v>15000</v>
      </c>
      <c r="AE20" s="45">
        <f ca="1">Inputs!$B$8*$C20</f>
        <v>12000</v>
      </c>
      <c r="AF20" s="45">
        <f t="shared" ca="1" si="3"/>
        <v>18.708051584108034</v>
      </c>
      <c r="AG20" s="45">
        <f t="shared" ca="1" si="4"/>
        <v>0</v>
      </c>
      <c r="AH20" s="45">
        <f t="shared" ca="1" si="5"/>
        <v>0</v>
      </c>
      <c r="AI20" s="45">
        <f t="shared" ca="1" si="6"/>
        <v>18.708051584108034</v>
      </c>
      <c r="AJ20" s="45">
        <f ca="1">U20*(Inputs!$B$12-ILP_A_CostFocused!$F$9)+V20*(Inputs!$B$13-ILP_A_CostFocused!$F$10)+W20*(Inputs!$B$14-ILP_A_CostFocused!$F$11)+X20*(Inputs!$B$15-ILP_A_CostFocused!$F$12)+Y20*(Inputs!$B$16-ILP_A_CostFocused!$F$13)</f>
        <v>25107.438405259265</v>
      </c>
      <c r="AK20" s="45">
        <f t="shared" ca="1" si="7"/>
        <v>18.708051584108034</v>
      </c>
      <c r="AL20" s="45">
        <f t="shared" ca="1" si="8"/>
        <v>0</v>
      </c>
      <c r="AM20" s="45">
        <f t="shared" ca="1" si="9"/>
        <v>0</v>
      </c>
      <c r="AN20" s="45">
        <f t="shared" ca="1" si="10"/>
        <v>0</v>
      </c>
      <c r="AO20" s="45">
        <f ca="1">MIN(AL20,Inputs!$B$36)</f>
        <v>0</v>
      </c>
      <c r="AP20" s="45">
        <f ca="1">MIN(AN20,Inputs!$B$36-AO20)</f>
        <v>0</v>
      </c>
      <c r="AQ20" s="45">
        <f ca="1">MIN(AM20,Inputs!$B$36-AO20-AP20)</f>
        <v>0</v>
      </c>
      <c r="AR20" s="45">
        <f t="shared" ca="1" si="11"/>
        <v>0</v>
      </c>
      <c r="AS20" s="45">
        <f t="shared" ca="1" si="12"/>
        <v>0</v>
      </c>
      <c r="AT20" s="45">
        <f t="shared" ca="1" si="13"/>
        <v>0</v>
      </c>
      <c r="AU20" s="45">
        <f t="shared" ca="1" si="14"/>
        <v>0</v>
      </c>
      <c r="AV20" s="46">
        <f ca="1">AU20*Inputs!$B$35</f>
        <v>0</v>
      </c>
      <c r="AW20" s="46">
        <f ca="1">AR20*Inputs!$C$6+AT20*Inputs!$C$7+AS20*Inputs!$C$8</f>
        <v>0</v>
      </c>
      <c r="AX20" s="46">
        <f t="shared" ca="1" si="15"/>
        <v>47418082.699032828</v>
      </c>
      <c r="AY20" s="46">
        <f ca="1">IF(J20&gt;1,($CD$4)*Inputs!$B$55*((Z20+AA20+AB20)/(SUM(ILP_A_CostFocused!$C$9:$E$13))),0)</f>
        <v>0</v>
      </c>
      <c r="AZ20" s="46">
        <f t="shared" ca="1" si="16"/>
        <v>0</v>
      </c>
      <c r="BA20" s="41">
        <f t="shared" ca="1" si="17"/>
        <v>0</v>
      </c>
      <c r="BB20" s="41">
        <f t="shared" ca="1" si="18"/>
        <v>1</v>
      </c>
      <c r="BC20" s="41">
        <f t="shared" ca="1" si="19"/>
        <v>1</v>
      </c>
      <c r="BD20" s="41">
        <f t="shared" ca="1" si="20"/>
        <v>1</v>
      </c>
    </row>
    <row r="21" spans="1:56" ht="15" customHeight="1" x14ac:dyDescent="0.3">
      <c r="A21" s="41">
        <v>14</v>
      </c>
      <c r="B21" s="42">
        <f t="shared" ca="1" si="0"/>
        <v>0.15696368153593432</v>
      </c>
      <c r="C21" s="43">
        <f ca="1">IF(B21&lt;=Inputs!$C$40,Inputs!$D$40,IF(B21&lt;=Inputs!$C$41,Inputs!$D$41,Inputs!$D$42))</f>
        <v>0.9</v>
      </c>
      <c r="D21" s="42">
        <f t="shared" ca="1" si="21"/>
        <v>5.5354149704067934E-2</v>
      </c>
      <c r="E21" s="42">
        <f t="shared" ca="1" si="21"/>
        <v>5.1751439535299482E-2</v>
      </c>
      <c r="F21" s="42">
        <f t="shared" ca="1" si="21"/>
        <v>0.1606051160716212</v>
      </c>
      <c r="G21" s="42">
        <f t="shared" ca="1" si="21"/>
        <v>0.19483168234230086</v>
      </c>
      <c r="H21" s="42">
        <f t="shared" ca="1" si="21"/>
        <v>0.52141811631684343</v>
      </c>
      <c r="I21" s="42">
        <f t="shared" ca="1" si="21"/>
        <v>0.10796319536882348</v>
      </c>
      <c r="J21" s="43">
        <f ca="1">IF(I21&lt;Inputs!$B$54,1+Inputs!$B$55,1)</f>
        <v>1</v>
      </c>
      <c r="K21" s="42">
        <f t="shared" ca="1" si="22"/>
        <v>0.93210229123067001</v>
      </c>
      <c r="L21" s="42">
        <f t="shared" ca="1" si="22"/>
        <v>0.86667881744592434</v>
      </c>
      <c r="M21" s="42">
        <f t="shared" ca="1" si="22"/>
        <v>7.7118750795249769E-3</v>
      </c>
      <c r="N21" s="42">
        <f t="shared" ca="1" si="22"/>
        <v>0.77155449243354568</v>
      </c>
      <c r="O21" s="42">
        <f t="shared" ca="1" si="22"/>
        <v>0.3170581752127074</v>
      </c>
      <c r="P21" s="42">
        <f t="shared" ca="1" si="22"/>
        <v>0.84949747761807859</v>
      </c>
      <c r="Q21" s="42">
        <f t="shared" ca="1" si="22"/>
        <v>0.73543851761630008</v>
      </c>
      <c r="R21" s="42">
        <f t="shared" ca="1" si="22"/>
        <v>0.37487568940620697</v>
      </c>
      <c r="S21" s="42">
        <f t="shared" ca="1" si="22"/>
        <v>0.32223677695520636</v>
      </c>
      <c r="T21" s="42">
        <f t="shared" ca="1" si="22"/>
        <v>0.93680592685206865</v>
      </c>
      <c r="U21" s="44">
        <f ca="1">(IF(D21&gt;=Inputs!$E$12,1,IF(K21&lt;=Inputs!$C$46,Inputs!$D$46,IF(K21&lt;=Inputs!$C$47,Inputs!$D$47,Inputs!$D$48))))*((Inputs!$B$28+(P21-0.5)*2*Inputs!$B$53)/Inputs!$B$28)</f>
        <v>0</v>
      </c>
      <c r="V21" s="44">
        <f ca="1">(IF(E21&gt;=Inputs!$E$13,1,IF(L21&lt;=Inputs!$C$46,Inputs!$D$46,IF(L21&lt;=Inputs!$C$47,Inputs!$D$47,Inputs!$D$48))))*((Inputs!$B$29+(Q21-0.5)*2*Inputs!$B$53)/Inputs!$B$29)</f>
        <v>0</v>
      </c>
      <c r="W21" s="44">
        <f ca="1">(IF(F21&gt;=Inputs!$E$14,1,IF(M21&lt;=Inputs!$C$46,Inputs!$D$46,IF(M21&lt;=Inputs!$C$47,Inputs!$D$47,Inputs!$D$48))))*((Inputs!$B$30+(R21-0.5)*2*Inputs!$B$53)/Inputs!$B$30)</f>
        <v>0.99874246924026333</v>
      </c>
      <c r="X21" s="44">
        <f ca="1">(IF(G21&gt;=Inputs!$E$15,1,IF(N21&lt;=Inputs!$C$46,Inputs!$D$46,IF(N21&lt;=Inputs!$C$47,Inputs!$D$47,Inputs!$D$48))))*((Inputs!$B$31+(S21-0.5)*2*Inputs!$B$53)/Inputs!$B$31)</f>
        <v>0.99819529722797162</v>
      </c>
      <c r="Y21" s="44">
        <f ca="1">(IF(H21&gt;=Inputs!$E$16,1,IF(O21&lt;=Inputs!$C$46,Inputs!$D$46,IF(O21&lt;=Inputs!$C$47,Inputs!$D$47,Inputs!$D$48))))*((Inputs!$B$32+(T21-0.5)*2*Inputs!$B$53)/Inputs!$B$32)</f>
        <v>1.0043944258234614</v>
      </c>
      <c r="Z21" s="45">
        <f ca="1">ILP_A_CostFocused!$C$9*U21+ILP_A_CostFocused!$C$10*V21+ILP_A_CostFocused!$C$11*W21+ILP_A_CostFocused!$C$12*X21+ILP_A_CostFocused!$C$13*Y21</f>
        <v>10780.509210062093</v>
      </c>
      <c r="AA21" s="45">
        <f ca="1">ILP_A_CostFocused!$D$9*U21+ILP_A_CostFocused!$D$10*V21+ILP_A_CostFocused!$D$11*W21+ILP_A_CostFocused!$D$12*X21+ILP_A_CostFocused!$D$13*Y21</f>
        <v>5991.8966999890426</v>
      </c>
      <c r="AB21" s="45">
        <f ca="1">ILP_A_CostFocused!$E$9*U21+ILP_A_CostFocused!$E$10*V21+ILP_A_CostFocused!$E$11*W21+ILP_A_CostFocused!$E$12*X21+ILP_A_CostFocused!$E$13*Y21</f>
        <v>0</v>
      </c>
      <c r="AC21" s="45">
        <f ca="1">Inputs!$B$6*$C21</f>
        <v>16200</v>
      </c>
      <c r="AD21" s="45">
        <f ca="1">Inputs!$B$7*$C21</f>
        <v>13500</v>
      </c>
      <c r="AE21" s="45">
        <f ca="1">Inputs!$B$8*$C21</f>
        <v>10800</v>
      </c>
      <c r="AF21" s="45">
        <f t="shared" ca="1" si="3"/>
        <v>5419.4907899379068</v>
      </c>
      <c r="AG21" s="45">
        <f t="shared" ca="1" si="4"/>
        <v>7508.1033000109574</v>
      </c>
      <c r="AH21" s="45">
        <f t="shared" ca="1" si="5"/>
        <v>10800</v>
      </c>
      <c r="AI21" s="45">
        <f t="shared" ca="1" si="6"/>
        <v>23727.594089948863</v>
      </c>
      <c r="AJ21" s="45">
        <f ca="1">U21*(Inputs!$B$12-ILP_A_CostFocused!$F$9)+V21*(Inputs!$B$13-ILP_A_CostFocused!$F$10)+W21*(Inputs!$B$14-ILP_A_CostFocused!$F$11)+X21*(Inputs!$B$15-ILP_A_CostFocused!$F$12)+Y21*(Inputs!$B$16-ILP_A_CostFocused!$F$13)</f>
        <v>23255.506144159866</v>
      </c>
      <c r="AK21" s="45">
        <f t="shared" ca="1" si="7"/>
        <v>23255.506144159866</v>
      </c>
      <c r="AL21" s="45">
        <f t="shared" ca="1" si="8"/>
        <v>107.82704156794215</v>
      </c>
      <c r="AM21" s="45">
        <f t="shared" ca="1" si="9"/>
        <v>149.38240473252299</v>
      </c>
      <c r="AN21" s="45">
        <f t="shared" ca="1" si="10"/>
        <v>214.87849948853176</v>
      </c>
      <c r="AO21" s="45">
        <f ca="1">MIN(AL21,Inputs!$B$36)</f>
        <v>107.82704156794215</v>
      </c>
      <c r="AP21" s="45">
        <f ca="1">MIN(AN21,Inputs!$B$36-AO21)</f>
        <v>214.87849948853176</v>
      </c>
      <c r="AQ21" s="45">
        <f ca="1">MIN(AM21,Inputs!$B$36-AO21-AP21)</f>
        <v>149.38240473252299</v>
      </c>
      <c r="AR21" s="45">
        <f t="shared" ca="1" si="11"/>
        <v>0</v>
      </c>
      <c r="AS21" s="45">
        <f t="shared" ca="1" si="12"/>
        <v>0</v>
      </c>
      <c r="AT21" s="45">
        <f t="shared" ca="1" si="13"/>
        <v>0</v>
      </c>
      <c r="AU21" s="45">
        <f t="shared" ca="1" si="14"/>
        <v>472.08794578899688</v>
      </c>
      <c r="AV21" s="46">
        <f ca="1">AU21*Inputs!$B$35</f>
        <v>731736.31597294519</v>
      </c>
      <c r="AW21" s="46">
        <f ca="1">AR21*Inputs!$C$6+AT21*Inputs!$C$7+AS21*Inputs!$C$8</f>
        <v>0</v>
      </c>
      <c r="AX21" s="46">
        <f t="shared" ca="1" si="15"/>
        <v>17430467.928292412</v>
      </c>
      <c r="AY21" s="46">
        <f ca="1">IF(J21&gt;1,($CD$4)*Inputs!$B$55*((Z21+AA21+AB21)/(SUM(ILP_A_CostFocused!$C$9:$E$13))),0)</f>
        <v>0</v>
      </c>
      <c r="AZ21" s="46">
        <f t="shared" ca="1" si="16"/>
        <v>731736.31597294519</v>
      </c>
      <c r="BA21" s="41">
        <f t="shared" ca="1" si="17"/>
        <v>0</v>
      </c>
      <c r="BB21" s="41">
        <f t="shared" ca="1" si="18"/>
        <v>1</v>
      </c>
      <c r="BC21" s="41">
        <f t="shared" ca="1" si="19"/>
        <v>1</v>
      </c>
      <c r="BD21" s="41">
        <f t="shared" ca="1" si="20"/>
        <v>1</v>
      </c>
    </row>
    <row r="22" spans="1:56" ht="15" customHeight="1" x14ac:dyDescent="0.3">
      <c r="A22" s="41">
        <v>15</v>
      </c>
      <c r="B22" s="42">
        <f t="shared" ca="1" si="0"/>
        <v>0.73258043370031001</v>
      </c>
      <c r="C22" s="43">
        <f ca="1">IF(B22&lt;=Inputs!$C$40,Inputs!$D$40,IF(B22&lt;=Inputs!$C$41,Inputs!$D$41,Inputs!$D$42))</f>
        <v>1</v>
      </c>
      <c r="D22" s="42">
        <f t="shared" ca="1" si="21"/>
        <v>0.79177221940537035</v>
      </c>
      <c r="E22" s="42">
        <f t="shared" ca="1" si="21"/>
        <v>0.29534492119367217</v>
      </c>
      <c r="F22" s="42">
        <f t="shared" ca="1" si="21"/>
        <v>0.41863254545259942</v>
      </c>
      <c r="G22" s="42">
        <f t="shared" ca="1" si="21"/>
        <v>0.59646303373681464</v>
      </c>
      <c r="H22" s="42">
        <f t="shared" ca="1" si="21"/>
        <v>0.88291575731530558</v>
      </c>
      <c r="I22" s="42">
        <f t="shared" ca="1" si="21"/>
        <v>0.84076845526222432</v>
      </c>
      <c r="J22" s="43">
        <f ca="1">IF(I22&lt;Inputs!$B$54,1+Inputs!$B$55,1)</f>
        <v>1</v>
      </c>
      <c r="K22" s="42">
        <f t="shared" ca="1" si="22"/>
        <v>0.57056507374891163</v>
      </c>
      <c r="L22" s="42">
        <f t="shared" ca="1" si="22"/>
        <v>0.10905368441968943</v>
      </c>
      <c r="M22" s="42">
        <f t="shared" ca="1" si="22"/>
        <v>3.1100695082316054E-2</v>
      </c>
      <c r="N22" s="42">
        <f t="shared" ca="1" si="22"/>
        <v>0.82376265639104407</v>
      </c>
      <c r="O22" s="42">
        <f t="shared" ca="1" si="22"/>
        <v>0.63852878335628616</v>
      </c>
      <c r="P22" s="42">
        <f t="shared" ca="1" si="22"/>
        <v>0.5080904181197976</v>
      </c>
      <c r="Q22" s="42">
        <f t="shared" ca="1" si="22"/>
        <v>0.61622252838623681</v>
      </c>
      <c r="R22" s="42">
        <f t="shared" ca="1" si="22"/>
        <v>0.56233740336153604</v>
      </c>
      <c r="S22" s="42">
        <f t="shared" ca="1" si="22"/>
        <v>0.45545967803177267</v>
      </c>
      <c r="T22" s="42">
        <f t="shared" ca="1" si="22"/>
        <v>0.1703285630708179</v>
      </c>
      <c r="U22" s="44">
        <f ca="1">(IF(D22&gt;=Inputs!$E$12,1,IF(K22&lt;=Inputs!$C$46,Inputs!$D$46,IF(K22&lt;=Inputs!$C$47,Inputs!$D$47,Inputs!$D$48))))*((Inputs!$B$28+(P22-0.5)*2*Inputs!$B$53)/Inputs!$B$28)</f>
        <v>1.000081886823075</v>
      </c>
      <c r="V22" s="44">
        <f ca="1">(IF(E22&gt;=Inputs!$E$13,1,IF(L22&lt;=Inputs!$C$46,Inputs!$D$46,IF(L22&lt;=Inputs!$C$47,Inputs!$D$47,Inputs!$D$48))))*((Inputs!$B$29+(Q22-0.5)*2*Inputs!$B$53)/Inputs!$B$29)</f>
        <v>1.0011715980684097</v>
      </c>
      <c r="W22" s="44">
        <f ca="1">(IF(F22&gt;=Inputs!$E$14,1,IF(M22&lt;=Inputs!$C$46,Inputs!$D$46,IF(M22&lt;=Inputs!$C$47,Inputs!$D$47,Inputs!$D$48))))*((Inputs!$B$30+(R22-0.5)*2*Inputs!$B$53)/Inputs!$B$30)</f>
        <v>1.0006265065664475</v>
      </c>
      <c r="X22" s="44">
        <f ca="1">(IF(G22&gt;=Inputs!$E$15,1,IF(N22&lt;=Inputs!$C$46,Inputs!$D$46,IF(N22&lt;=Inputs!$C$47,Inputs!$D$47,Inputs!$D$48))))*((Inputs!$B$31+(S22-0.5)*2*Inputs!$B$53)/Inputs!$B$31)</f>
        <v>0.99954781399017034</v>
      </c>
      <c r="Y22" s="44">
        <f ca="1">(IF(H22&gt;=Inputs!$E$16,1,IF(O22&lt;=Inputs!$C$46,Inputs!$D$46,IF(O22&lt;=Inputs!$C$47,Inputs!$D$47,Inputs!$D$48))))*((Inputs!$B$32+(T22-0.5)*2*Inputs!$B$53)/Inputs!$B$32)</f>
        <v>0.9966833859463865</v>
      </c>
      <c r="Z22" s="45">
        <f ca="1">ILP_A_CostFocused!$C$9*U22+ILP_A_CostFocused!$C$10*V22+ILP_A_CostFocused!$C$11*W22+ILP_A_CostFocused!$C$12*X22+ILP_A_CostFocused!$C$13*Y22</f>
        <v>17995.80187080957</v>
      </c>
      <c r="AA22" s="45">
        <f ca="1">ILP_A_CostFocused!$D$9*U22+ILP_A_CostFocused!$D$10*V22+ILP_A_CostFocused!$D$11*W22+ILP_A_CostFocused!$D$12*X22+ILP_A_CostFocused!$D$13*Y22</f>
        <v>15013.203155586569</v>
      </c>
      <c r="AB22" s="45">
        <f ca="1">ILP_A_CostFocused!$E$9*U22+ILP_A_CostFocused!$E$10*V22+ILP_A_CostFocused!$E$11*W22+ILP_A_CostFocused!$E$12*X22+ILP_A_CostFocused!$E$13*Y22</f>
        <v>12006.213255854505</v>
      </c>
      <c r="AC22" s="45">
        <f ca="1">Inputs!$B$6*$C22</f>
        <v>18000</v>
      </c>
      <c r="AD22" s="45">
        <f ca="1">Inputs!$B$7*$C22</f>
        <v>15000</v>
      </c>
      <c r="AE22" s="45">
        <f ca="1">Inputs!$B$8*$C22</f>
        <v>12000</v>
      </c>
      <c r="AF22" s="45">
        <f t="shared" ca="1" si="3"/>
        <v>4.1981291904303362</v>
      </c>
      <c r="AG22" s="45">
        <f t="shared" ca="1" si="4"/>
        <v>0</v>
      </c>
      <c r="AH22" s="45">
        <f t="shared" ca="1" si="5"/>
        <v>0</v>
      </c>
      <c r="AI22" s="45">
        <f t="shared" ca="1" si="6"/>
        <v>4.1981291904303362</v>
      </c>
      <c r="AJ22" s="45">
        <f ca="1">U22*(Inputs!$B$12-ILP_A_CostFocused!$F$9)+V22*(Inputs!$B$13-ILP_A_CostFocused!$F$10)+W22*(Inputs!$B$14-ILP_A_CostFocused!$F$11)+X22*(Inputs!$B$15-ILP_A_CostFocused!$F$12)+Y22*(Inputs!$B$16-ILP_A_CostFocused!$F$13)</f>
        <v>24955.463422317953</v>
      </c>
      <c r="AK22" s="45">
        <f t="shared" ca="1" si="7"/>
        <v>4.1981291904303362</v>
      </c>
      <c r="AL22" s="45">
        <f t="shared" ca="1" si="8"/>
        <v>0</v>
      </c>
      <c r="AM22" s="45">
        <f t="shared" ca="1" si="9"/>
        <v>0</v>
      </c>
      <c r="AN22" s="45">
        <f t="shared" ca="1" si="10"/>
        <v>0</v>
      </c>
      <c r="AO22" s="45">
        <f ca="1">MIN(AL22,Inputs!$B$36)</f>
        <v>0</v>
      </c>
      <c r="AP22" s="45">
        <f ca="1">MIN(AN22,Inputs!$B$36-AO22)</f>
        <v>0</v>
      </c>
      <c r="AQ22" s="45">
        <f ca="1">MIN(AM22,Inputs!$B$36-AO22-AP22)</f>
        <v>0</v>
      </c>
      <c r="AR22" s="45">
        <f t="shared" ca="1" si="11"/>
        <v>0</v>
      </c>
      <c r="AS22" s="45">
        <f t="shared" ca="1" si="12"/>
        <v>0</v>
      </c>
      <c r="AT22" s="45">
        <f t="shared" ca="1" si="13"/>
        <v>0</v>
      </c>
      <c r="AU22" s="45">
        <f t="shared" ca="1" si="14"/>
        <v>0</v>
      </c>
      <c r="AV22" s="46">
        <f ca="1">AU22*Inputs!$B$35</f>
        <v>0</v>
      </c>
      <c r="AW22" s="46">
        <f ca="1">AR22*Inputs!$C$6+AT22*Inputs!$C$7+AS22*Inputs!$C$8</f>
        <v>0</v>
      </c>
      <c r="AX22" s="46">
        <f t="shared" ca="1" si="15"/>
        <v>47408718.524631478</v>
      </c>
      <c r="AY22" s="46">
        <f ca="1">IF(J22&gt;1,($CD$4)*Inputs!$B$55*((Z22+AA22+AB22)/(SUM(ILP_A_CostFocused!$C$9:$E$13))),0)</f>
        <v>0</v>
      </c>
      <c r="AZ22" s="46">
        <f t="shared" ca="1" si="16"/>
        <v>0</v>
      </c>
      <c r="BA22" s="41">
        <f t="shared" ca="1" si="17"/>
        <v>0</v>
      </c>
      <c r="BB22" s="41">
        <f t="shared" ca="1" si="18"/>
        <v>1</v>
      </c>
      <c r="BC22" s="41">
        <f t="shared" ca="1" si="19"/>
        <v>1</v>
      </c>
      <c r="BD22" s="41">
        <f t="shared" ca="1" si="20"/>
        <v>1</v>
      </c>
    </row>
    <row r="23" spans="1:56" ht="15" customHeight="1" x14ac:dyDescent="0.3">
      <c r="A23" s="41">
        <v>16</v>
      </c>
      <c r="B23" s="42">
        <f t="shared" ca="1" si="0"/>
        <v>0.49609639682263063</v>
      </c>
      <c r="C23" s="43">
        <f ca="1">IF(B23&lt;=Inputs!$C$40,Inputs!$D$40,IF(B23&lt;=Inputs!$C$41,Inputs!$D$41,Inputs!$D$42))</f>
        <v>1</v>
      </c>
      <c r="D23" s="42">
        <f t="shared" ca="1" si="21"/>
        <v>0.35700211780623847</v>
      </c>
      <c r="E23" s="42">
        <f t="shared" ca="1" si="21"/>
        <v>0.32604126974814462</v>
      </c>
      <c r="F23" s="42">
        <f t="shared" ca="1" si="21"/>
        <v>0.33366363610135152</v>
      </c>
      <c r="G23" s="42">
        <f t="shared" ca="1" si="21"/>
        <v>0.57363961360722804</v>
      </c>
      <c r="H23" s="42">
        <f t="shared" ca="1" si="21"/>
        <v>0.84125033325283605</v>
      </c>
      <c r="I23" s="42">
        <f t="shared" ca="1" si="21"/>
        <v>0.42794234895307481</v>
      </c>
      <c r="J23" s="43">
        <f ca="1">IF(I23&lt;Inputs!$B$54,1+Inputs!$B$55,1)</f>
        <v>1</v>
      </c>
      <c r="K23" s="42">
        <f t="shared" ca="1" si="22"/>
        <v>0.39681659946245351</v>
      </c>
      <c r="L23" s="42">
        <f t="shared" ca="1" si="22"/>
        <v>0.66317637793101669</v>
      </c>
      <c r="M23" s="42">
        <f t="shared" ca="1" si="22"/>
        <v>4.6632459981427066E-2</v>
      </c>
      <c r="N23" s="42">
        <f t="shared" ca="1" si="22"/>
        <v>0.61148494072966375</v>
      </c>
      <c r="O23" s="42">
        <f t="shared" ca="1" si="22"/>
        <v>0.22822062672562027</v>
      </c>
      <c r="P23" s="42">
        <f t="shared" ca="1" si="22"/>
        <v>0.78320713621368665</v>
      </c>
      <c r="Q23" s="42">
        <f t="shared" ca="1" si="22"/>
        <v>0.349588366725331</v>
      </c>
      <c r="R23" s="42">
        <f t="shared" ca="1" si="22"/>
        <v>2.4814877412516312E-2</v>
      </c>
      <c r="S23" s="42">
        <f t="shared" ca="1" si="22"/>
        <v>0.73675373302645564</v>
      </c>
      <c r="T23" s="42">
        <f t="shared" ca="1" si="22"/>
        <v>0.26637575733675423</v>
      </c>
      <c r="U23" s="44">
        <f ca="1">(IF(D23&gt;=Inputs!$E$12,1,IF(K23&lt;=Inputs!$C$46,Inputs!$D$46,IF(K23&lt;=Inputs!$C$47,Inputs!$D$47,Inputs!$D$48))))*((Inputs!$B$28+(P23-0.5)*2*Inputs!$B$53)/Inputs!$B$28)</f>
        <v>1.0028664689900171</v>
      </c>
      <c r="V23" s="44">
        <f ca="1">(IF(E23&gt;=Inputs!$E$13,1,IF(L23&lt;=Inputs!$C$46,Inputs!$D$46,IF(L23&lt;=Inputs!$C$47,Inputs!$D$47,Inputs!$D$48))))*((Inputs!$B$29+(Q23-0.5)*2*Inputs!$B$53)/Inputs!$B$29)</f>
        <v>0.99848375369682796</v>
      </c>
      <c r="W23" s="44">
        <f ca="1">(IF(F23&gt;=Inputs!$E$14,1,IF(M23&lt;=Inputs!$C$46,Inputs!$D$46,IF(M23&lt;=Inputs!$C$47,Inputs!$D$47,Inputs!$D$48))))*((Inputs!$B$30+(R23-0.5)*2*Inputs!$B$53)/Inputs!$B$30)</f>
        <v>0.9952242701247489</v>
      </c>
      <c r="X23" s="44">
        <f ca="1">(IF(G23&gt;=Inputs!$E$15,1,IF(N23&lt;=Inputs!$C$46,Inputs!$D$46,IF(N23&lt;=Inputs!$C$47,Inputs!$D$47,Inputs!$D$48))))*((Inputs!$B$31+(S23-0.5)*2*Inputs!$B$53)/Inputs!$B$31)</f>
        <v>1.0024035911982381</v>
      </c>
      <c r="Y23" s="44">
        <f ca="1">(IF(H23&gt;=Inputs!$E$16,1,IF(O23&lt;=Inputs!$C$46,Inputs!$D$46,IF(O23&lt;=Inputs!$C$47,Inputs!$D$47,Inputs!$D$48))))*((Inputs!$B$32+(T23-0.5)*2*Inputs!$B$53)/Inputs!$B$32)</f>
        <v>0.99764965550640594</v>
      </c>
      <c r="Z23" s="45">
        <f ca="1">ILP_A_CostFocused!$C$9*U23+ILP_A_CostFocused!$C$10*V23+ILP_A_CostFocused!$C$11*W23+ILP_A_CostFocused!$C$12*X23+ILP_A_CostFocused!$C$13*Y23</f>
        <v>18046.211682723293</v>
      </c>
      <c r="AA23" s="45">
        <f ca="1">ILP_A_CostFocused!$D$9*U23+ILP_A_CostFocused!$D$10*V23+ILP_A_CostFocused!$D$11*W23+ILP_A_CostFocused!$D$12*X23+ILP_A_CostFocused!$D$13*Y23</f>
        <v>14965.022311514904</v>
      </c>
      <c r="AB23" s="45">
        <f ca="1">ILP_A_CostFocused!$E$9*U23+ILP_A_CostFocused!$E$10*V23+ILP_A_CostFocused!$E$11*W23+ILP_A_CostFocused!$E$12*X23+ILP_A_CostFocused!$E$13*Y23</f>
        <v>12013.360594472897</v>
      </c>
      <c r="AC23" s="45">
        <f ca="1">Inputs!$B$6*$C23</f>
        <v>18000</v>
      </c>
      <c r="AD23" s="45">
        <f ca="1">Inputs!$B$7*$C23</f>
        <v>15000</v>
      </c>
      <c r="AE23" s="45">
        <f ca="1">Inputs!$B$8*$C23</f>
        <v>12000</v>
      </c>
      <c r="AF23" s="45">
        <f t="shared" ca="1" si="3"/>
        <v>0</v>
      </c>
      <c r="AG23" s="45">
        <f t="shared" ca="1" si="4"/>
        <v>34.977688485096223</v>
      </c>
      <c r="AH23" s="45">
        <f t="shared" ca="1" si="5"/>
        <v>0</v>
      </c>
      <c r="AI23" s="45">
        <f t="shared" ca="1" si="6"/>
        <v>34.977688485096223</v>
      </c>
      <c r="AJ23" s="45">
        <f ca="1">U23*(Inputs!$B$12-ILP_A_CostFocused!$F$9)+V23*(Inputs!$B$13-ILP_A_CostFocused!$F$10)+W23*(Inputs!$B$14-ILP_A_CostFocused!$F$11)+X23*(Inputs!$B$15-ILP_A_CostFocused!$F$12)+Y23*(Inputs!$B$16-ILP_A_CostFocused!$F$13)</f>
        <v>24931.544905481449</v>
      </c>
      <c r="AK23" s="45">
        <f t="shared" ca="1" si="7"/>
        <v>34.977688485096223</v>
      </c>
      <c r="AL23" s="45">
        <f t="shared" ca="1" si="8"/>
        <v>0</v>
      </c>
      <c r="AM23" s="45">
        <f t="shared" ca="1" si="9"/>
        <v>0</v>
      </c>
      <c r="AN23" s="45">
        <f t="shared" ca="1" si="10"/>
        <v>0</v>
      </c>
      <c r="AO23" s="45">
        <f ca="1">MIN(AL23,Inputs!$B$36)</f>
        <v>0</v>
      </c>
      <c r="AP23" s="45">
        <f ca="1">MIN(AN23,Inputs!$B$36-AO23)</f>
        <v>0</v>
      </c>
      <c r="AQ23" s="45">
        <f ca="1">MIN(AM23,Inputs!$B$36-AO23-AP23)</f>
        <v>0</v>
      </c>
      <c r="AR23" s="45">
        <f t="shared" ca="1" si="11"/>
        <v>0</v>
      </c>
      <c r="AS23" s="45">
        <f t="shared" ca="1" si="12"/>
        <v>0</v>
      </c>
      <c r="AT23" s="45">
        <f t="shared" ca="1" si="13"/>
        <v>0</v>
      </c>
      <c r="AU23" s="45">
        <f t="shared" ca="1" si="14"/>
        <v>0</v>
      </c>
      <c r="AV23" s="46">
        <f ca="1">AU23*Inputs!$B$35</f>
        <v>0</v>
      </c>
      <c r="AW23" s="46">
        <f ca="1">AR23*Inputs!$C$6+AT23*Inputs!$C$7+AS23*Inputs!$C$8</f>
        <v>0</v>
      </c>
      <c r="AX23" s="46">
        <f t="shared" ca="1" si="15"/>
        <v>47417663.721206583</v>
      </c>
      <c r="AY23" s="46">
        <f ca="1">IF(J23&gt;1,($CD$4)*Inputs!$B$55*((Z23+AA23+AB23)/(SUM(ILP_A_CostFocused!$C$9:$E$13))),0)</f>
        <v>0</v>
      </c>
      <c r="AZ23" s="46">
        <f t="shared" ca="1" si="16"/>
        <v>0</v>
      </c>
      <c r="BA23" s="41">
        <f t="shared" ca="1" si="17"/>
        <v>0</v>
      </c>
      <c r="BB23" s="41">
        <f t="shared" ca="1" si="18"/>
        <v>1</v>
      </c>
      <c r="BC23" s="41">
        <f t="shared" ca="1" si="19"/>
        <v>1</v>
      </c>
      <c r="BD23" s="41">
        <f t="shared" ca="1" si="20"/>
        <v>1</v>
      </c>
    </row>
    <row r="24" spans="1:56" ht="15" customHeight="1" x14ac:dyDescent="0.3">
      <c r="A24" s="41">
        <v>17</v>
      </c>
      <c r="B24" s="42">
        <f t="shared" ca="1" si="0"/>
        <v>0.82945048245889164</v>
      </c>
      <c r="C24" s="43">
        <f ca="1">IF(B24&lt;=Inputs!$C$40,Inputs!$D$40,IF(B24&lt;=Inputs!$C$41,Inputs!$D$41,Inputs!$D$42))</f>
        <v>1.1499999999999999</v>
      </c>
      <c r="D24" s="42">
        <f t="shared" ca="1" si="21"/>
        <v>0.48626941306785421</v>
      </c>
      <c r="E24" s="42">
        <f t="shared" ca="1" si="21"/>
        <v>0.99682103689705781</v>
      </c>
      <c r="F24" s="42">
        <f t="shared" ca="1" si="21"/>
        <v>0.66937828629209639</v>
      </c>
      <c r="G24" s="42">
        <f t="shared" ca="1" si="21"/>
        <v>6.4006239762932182E-2</v>
      </c>
      <c r="H24" s="42">
        <f t="shared" ca="1" si="21"/>
        <v>0.79675124587630897</v>
      </c>
      <c r="I24" s="42">
        <f t="shared" ca="1" si="21"/>
        <v>0.5049258287788938</v>
      </c>
      <c r="J24" s="43">
        <f ca="1">IF(I24&lt;Inputs!$B$54,1+Inputs!$B$55,1)</f>
        <v>1</v>
      </c>
      <c r="K24" s="42">
        <f t="shared" ca="1" si="22"/>
        <v>0.68598542420089148</v>
      </c>
      <c r="L24" s="42">
        <f t="shared" ca="1" si="22"/>
        <v>0.2136829062927742</v>
      </c>
      <c r="M24" s="42">
        <f t="shared" ca="1" si="22"/>
        <v>0.71939413611857383</v>
      </c>
      <c r="N24" s="42">
        <f t="shared" ca="1" si="22"/>
        <v>0.45142932636671362</v>
      </c>
      <c r="O24" s="42">
        <f t="shared" ca="1" si="22"/>
        <v>7.2863644817791728E-2</v>
      </c>
      <c r="P24" s="42">
        <f t="shared" ca="1" si="22"/>
        <v>0.37870183119591549</v>
      </c>
      <c r="Q24" s="42">
        <f t="shared" ca="1" si="22"/>
        <v>0.80556864561861996</v>
      </c>
      <c r="R24" s="42">
        <f t="shared" ca="1" si="22"/>
        <v>0.60420374265390919</v>
      </c>
      <c r="S24" s="42">
        <f t="shared" ca="1" si="22"/>
        <v>0.85229906491232033</v>
      </c>
      <c r="T24" s="42">
        <f t="shared" ca="1" si="22"/>
        <v>0.93064229883471916</v>
      </c>
      <c r="U24" s="44">
        <f ca="1">(IF(D24&gt;=Inputs!$E$12,1,IF(K24&lt;=Inputs!$C$46,Inputs!$D$46,IF(K24&lt;=Inputs!$C$47,Inputs!$D$47,Inputs!$D$48))))*((Inputs!$B$28+(P24-0.5)*2*Inputs!$B$53)/Inputs!$B$28)</f>
        <v>0.99877228574084931</v>
      </c>
      <c r="V24" s="44">
        <f ca="1">(IF(E24&gt;=Inputs!$E$13,1,IF(L24&lt;=Inputs!$C$46,Inputs!$D$46,IF(L24&lt;=Inputs!$C$47,Inputs!$D$47,Inputs!$D$48))))*((Inputs!$B$29+(Q24-0.5)*2*Inputs!$B$53)/Inputs!$B$29)</f>
        <v>1.0030803290888972</v>
      </c>
      <c r="W24" s="44">
        <f ca="1">(IF(F24&gt;=Inputs!$E$14,1,IF(M24&lt;=Inputs!$C$46,Inputs!$D$46,IF(M24&lt;=Inputs!$C$47,Inputs!$D$47,Inputs!$D$48))))*((Inputs!$B$30+(R24-0.5)*2*Inputs!$B$53)/Inputs!$B$30)</f>
        <v>1.0010472737955167</v>
      </c>
      <c r="X24" s="44">
        <f ca="1">(IF(G24&gt;=Inputs!$E$15,1,IF(N24&lt;=Inputs!$C$46,Inputs!$D$46,IF(N24&lt;=Inputs!$C$47,Inputs!$D$47,Inputs!$D$48))))*((Inputs!$B$31+(S24-0.5)*2*Inputs!$B$53)/Inputs!$B$31)</f>
        <v>0.30107299207587507</v>
      </c>
      <c r="Y24" s="44">
        <f ca="1">(IF(H24&gt;=Inputs!$E$16,1,IF(O24&lt;=Inputs!$C$46,Inputs!$D$46,IF(O24&lt;=Inputs!$C$47,Inputs!$D$47,Inputs!$D$48))))*((Inputs!$B$32+(T24-0.5)*2*Inputs!$B$53)/Inputs!$B$32)</f>
        <v>1.004332417493307</v>
      </c>
      <c r="Z24" s="45">
        <f ca="1">ILP_A_CostFocused!$C$9*U24+ILP_A_CostFocused!$C$10*V24+ILP_A_CostFocused!$C$11*W24+ILP_A_CostFocused!$C$12*X24+ILP_A_CostFocused!$C$13*Y24</f>
        <v>10443.127879568194</v>
      </c>
      <c r="AA24" s="45">
        <f ca="1">ILP_A_CostFocused!$D$9*U24+ILP_A_CostFocused!$D$10*V24+ILP_A_CostFocused!$D$11*W24+ILP_A_CostFocused!$D$12*X24+ILP_A_CostFocused!$D$13*Y24</f>
        <v>14320.03283721914</v>
      </c>
      <c r="AB24" s="45">
        <f ca="1">ILP_A_CostFocused!$E$9*U24+ILP_A_CostFocused!$E$10*V24+ILP_A_CostFocused!$E$11*W24+ILP_A_CostFocused!$E$12*X24+ILP_A_CostFocused!$E$13*Y24</f>
        <v>12005.94603696082</v>
      </c>
      <c r="AC24" s="45">
        <f ca="1">Inputs!$B$6*$C24</f>
        <v>20700</v>
      </c>
      <c r="AD24" s="45">
        <f ca="1">Inputs!$B$7*$C24</f>
        <v>17250</v>
      </c>
      <c r="AE24" s="45">
        <f ca="1">Inputs!$B$8*$C24</f>
        <v>13799.999999999998</v>
      </c>
      <c r="AF24" s="45">
        <f t="shared" ca="1" si="3"/>
        <v>10256.872120431806</v>
      </c>
      <c r="AG24" s="45">
        <f t="shared" ca="1" si="4"/>
        <v>2929.9671627808602</v>
      </c>
      <c r="AH24" s="45">
        <f t="shared" ca="1" si="5"/>
        <v>1794.0539630391777</v>
      </c>
      <c r="AI24" s="45">
        <f t="shared" ca="1" si="6"/>
        <v>14980.893246251844</v>
      </c>
      <c r="AJ24" s="45">
        <f ca="1">U24*(Inputs!$B$12-ILP_A_CostFocused!$F$9)+V24*(Inputs!$B$13-ILP_A_CostFocused!$F$10)+W24*(Inputs!$B$14-ILP_A_CostFocused!$F$11)+X24*(Inputs!$B$15-ILP_A_CostFocused!$F$12)+Y24*(Inputs!$B$16-ILP_A_CostFocused!$F$13)</f>
        <v>24945.851152001815</v>
      </c>
      <c r="AK24" s="45">
        <f t="shared" ca="1" si="7"/>
        <v>14980.893246251844</v>
      </c>
      <c r="AL24" s="45">
        <f t="shared" ca="1" si="8"/>
        <v>0</v>
      </c>
      <c r="AM24" s="45">
        <f t="shared" ca="1" si="9"/>
        <v>0</v>
      </c>
      <c r="AN24" s="45">
        <f t="shared" ca="1" si="10"/>
        <v>0</v>
      </c>
      <c r="AO24" s="45">
        <f ca="1">MIN(AL24,Inputs!$B$36)</f>
        <v>0</v>
      </c>
      <c r="AP24" s="45">
        <f ca="1">MIN(AN24,Inputs!$B$36-AO24)</f>
        <v>0</v>
      </c>
      <c r="AQ24" s="45">
        <f ca="1">MIN(AM24,Inputs!$B$36-AO24-AP24)</f>
        <v>0</v>
      </c>
      <c r="AR24" s="45">
        <f t="shared" ca="1" si="11"/>
        <v>0</v>
      </c>
      <c r="AS24" s="45">
        <f t="shared" ca="1" si="12"/>
        <v>0</v>
      </c>
      <c r="AT24" s="45">
        <f t="shared" ca="1" si="13"/>
        <v>0</v>
      </c>
      <c r="AU24" s="45">
        <f t="shared" ca="1" si="14"/>
        <v>0</v>
      </c>
      <c r="AV24" s="46">
        <f ca="1">AU24*Inputs!$B$35</f>
        <v>0</v>
      </c>
      <c r="AW24" s="46">
        <f ca="1">AR24*Inputs!$C$6+AT24*Inputs!$C$7+AS24*Inputs!$C$8</f>
        <v>0</v>
      </c>
      <c r="AX24" s="46">
        <f t="shared" ca="1" si="15"/>
        <v>38890953.499060139</v>
      </c>
      <c r="AY24" s="46">
        <f ca="1">IF(J24&gt;1,($CD$4)*Inputs!$B$55*((Z24+AA24+AB24)/(SUM(ILP_A_CostFocused!$C$9:$E$13))),0)</f>
        <v>0</v>
      </c>
      <c r="AZ24" s="46">
        <f t="shared" ca="1" si="16"/>
        <v>0</v>
      </c>
      <c r="BA24" s="41">
        <f t="shared" ca="1" si="17"/>
        <v>0</v>
      </c>
      <c r="BB24" s="41">
        <f t="shared" ca="1" si="18"/>
        <v>1</v>
      </c>
      <c r="BC24" s="41">
        <f t="shared" ca="1" si="19"/>
        <v>1</v>
      </c>
      <c r="BD24" s="41">
        <f t="shared" ca="1" si="20"/>
        <v>1</v>
      </c>
    </row>
    <row r="25" spans="1:56" ht="15" customHeight="1" x14ac:dyDescent="0.3">
      <c r="A25" s="41">
        <v>18</v>
      </c>
      <c r="B25" s="42">
        <f t="shared" ca="1" si="0"/>
        <v>0.9434647858667814</v>
      </c>
      <c r="C25" s="43">
        <f ca="1">IF(B25&lt;=Inputs!$C$40,Inputs!$D$40,IF(B25&lt;=Inputs!$C$41,Inputs!$D$41,Inputs!$D$42))</f>
        <v>1.1499999999999999</v>
      </c>
      <c r="D25" s="42">
        <f t="shared" ca="1" si="21"/>
        <v>0.74679635168296232</v>
      </c>
      <c r="E25" s="42">
        <f t="shared" ca="1" si="21"/>
        <v>0.76073897645763044</v>
      </c>
      <c r="F25" s="42">
        <f t="shared" ca="1" si="21"/>
        <v>0.56892937882538652</v>
      </c>
      <c r="G25" s="42">
        <f t="shared" ca="1" si="21"/>
        <v>0.27964783568455487</v>
      </c>
      <c r="H25" s="42">
        <f t="shared" ca="1" si="21"/>
        <v>0.73410870709819065</v>
      </c>
      <c r="I25" s="42">
        <f t="shared" ca="1" si="21"/>
        <v>0.40306230953683642</v>
      </c>
      <c r="J25" s="43">
        <f ca="1">IF(I25&lt;Inputs!$B$54,1+Inputs!$B$55,1)</f>
        <v>1</v>
      </c>
      <c r="K25" s="42">
        <f t="shared" ca="1" si="22"/>
        <v>0.51275587689723379</v>
      </c>
      <c r="L25" s="42">
        <f t="shared" ca="1" si="22"/>
        <v>0.92272482784412113</v>
      </c>
      <c r="M25" s="42">
        <f t="shared" ca="1" si="22"/>
        <v>0.29654468696533576</v>
      </c>
      <c r="N25" s="42">
        <f t="shared" ca="1" si="22"/>
        <v>0.65763944112379835</v>
      </c>
      <c r="O25" s="42">
        <f t="shared" ca="1" si="22"/>
        <v>0.62120823079313947</v>
      </c>
      <c r="P25" s="42">
        <f t="shared" ca="1" si="22"/>
        <v>0.46679509260802066</v>
      </c>
      <c r="Q25" s="42">
        <f t="shared" ca="1" si="22"/>
        <v>6.6537032161389065E-2</v>
      </c>
      <c r="R25" s="42">
        <f t="shared" ca="1" si="22"/>
        <v>0.81580629261208315</v>
      </c>
      <c r="S25" s="42">
        <f t="shared" ca="1" si="22"/>
        <v>0.96858602456588816</v>
      </c>
      <c r="T25" s="42">
        <f t="shared" ca="1" si="22"/>
        <v>0.7779341660107344</v>
      </c>
      <c r="U25" s="44">
        <f ca="1">(IF(D25&gt;=Inputs!$E$12,1,IF(K25&lt;=Inputs!$C$46,Inputs!$D$46,IF(K25&lt;=Inputs!$C$47,Inputs!$D$47,Inputs!$D$48))))*((Inputs!$B$28+(P25-0.5)*2*Inputs!$B$53)/Inputs!$B$28)</f>
        <v>0.99966391794137666</v>
      </c>
      <c r="V25" s="44">
        <f ca="1">(IF(E25&gt;=Inputs!$E$13,1,IF(L25&lt;=Inputs!$C$46,Inputs!$D$46,IF(L25&lt;=Inputs!$C$47,Inputs!$D$47,Inputs!$D$48))))*((Inputs!$B$29+(Q25-0.5)*2*Inputs!$B$53)/Inputs!$B$29)</f>
        <v>0.99563041363065907</v>
      </c>
      <c r="W25" s="44">
        <f ca="1">(IF(F25&gt;=Inputs!$E$14,1,IF(M25&lt;=Inputs!$C$46,Inputs!$D$46,IF(M25&lt;=Inputs!$C$47,Inputs!$D$47,Inputs!$D$48))))*((Inputs!$B$30+(R25-0.5)*2*Inputs!$B$53)/Inputs!$B$30)</f>
        <v>1.0031739325890663</v>
      </c>
      <c r="X25" s="44">
        <f ca="1">(IF(G25&gt;=Inputs!$E$15,1,IF(N25&lt;=Inputs!$C$46,Inputs!$D$46,IF(N25&lt;=Inputs!$C$47,Inputs!$D$47,Inputs!$D$48))))*((Inputs!$B$31+(S25-0.5)*2*Inputs!$B$53)/Inputs!$B$31)</f>
        <v>1.0047572185235116</v>
      </c>
      <c r="Y25" s="44">
        <f ca="1">(IF(H25&gt;=Inputs!$E$16,1,IF(O25&lt;=Inputs!$C$46,Inputs!$D$46,IF(O25&lt;=Inputs!$C$47,Inputs!$D$47,Inputs!$D$48))))*((Inputs!$B$32+(T25-0.5)*2*Inputs!$B$53)/Inputs!$B$32)</f>
        <v>1.0027961183703293</v>
      </c>
      <c r="Z25" s="45">
        <f ca="1">ILP_A_CostFocused!$C$9*U25+ILP_A_CostFocused!$C$10*V25+ILP_A_CostFocused!$C$11*W25+ILP_A_CostFocused!$C$12*X25+ILP_A_CostFocused!$C$13*Y25</f>
        <v>18048.603220852496</v>
      </c>
      <c r="AA25" s="45">
        <f ca="1">ILP_A_CostFocused!$D$9*U25+ILP_A_CostFocused!$D$10*V25+ILP_A_CostFocused!$D$11*W25+ILP_A_CostFocused!$D$12*X25+ILP_A_CostFocused!$D$13*Y25</f>
        <v>14981.332269863464</v>
      </c>
      <c r="AB25" s="45">
        <f ca="1">ILP_A_CostFocused!$E$9*U25+ILP_A_CostFocused!$E$10*V25+ILP_A_CostFocused!$E$11*W25+ILP_A_CostFocused!$E$12*X25+ILP_A_CostFocused!$E$13*Y25</f>
        <v>11976.606194605076</v>
      </c>
      <c r="AC25" s="45">
        <f ca="1">Inputs!$B$6*$C25</f>
        <v>20700</v>
      </c>
      <c r="AD25" s="45">
        <f ca="1">Inputs!$B$7*$C25</f>
        <v>17250</v>
      </c>
      <c r="AE25" s="45">
        <f ca="1">Inputs!$B$8*$C25</f>
        <v>13799.999999999998</v>
      </c>
      <c r="AF25" s="45">
        <f t="shared" ca="1" si="3"/>
        <v>2651.3967791475043</v>
      </c>
      <c r="AG25" s="45">
        <f t="shared" ca="1" si="4"/>
        <v>2268.6677301365362</v>
      </c>
      <c r="AH25" s="45">
        <f t="shared" ca="1" si="5"/>
        <v>1823.3938053949223</v>
      </c>
      <c r="AI25" s="45">
        <f t="shared" ca="1" si="6"/>
        <v>6743.4583146789628</v>
      </c>
      <c r="AJ25" s="45">
        <f ca="1">U25*(Inputs!$B$12-ILP_A_CostFocused!$F$9)+V25*(Inputs!$B$13-ILP_A_CostFocused!$F$10)+W25*(Inputs!$B$14-ILP_A_CostFocused!$F$11)+X25*(Inputs!$B$15-ILP_A_CostFocused!$F$12)+Y25*(Inputs!$B$16-ILP_A_CostFocused!$F$13)</f>
        <v>25067.196314065164</v>
      </c>
      <c r="AK25" s="45">
        <f t="shared" ca="1" si="7"/>
        <v>6743.4583146789628</v>
      </c>
      <c r="AL25" s="45">
        <f t="shared" ca="1" si="8"/>
        <v>0</v>
      </c>
      <c r="AM25" s="45">
        <f t="shared" ca="1" si="9"/>
        <v>0</v>
      </c>
      <c r="AN25" s="45">
        <f t="shared" ca="1" si="10"/>
        <v>0</v>
      </c>
      <c r="AO25" s="45">
        <f ca="1">MIN(AL25,Inputs!$B$36)</f>
        <v>0</v>
      </c>
      <c r="AP25" s="45">
        <f ca="1">MIN(AN25,Inputs!$B$36-AO25)</f>
        <v>0</v>
      </c>
      <c r="AQ25" s="45">
        <f ca="1">MIN(AM25,Inputs!$B$36-AO25-AP25)</f>
        <v>0</v>
      </c>
      <c r="AR25" s="45">
        <f t="shared" ca="1" si="11"/>
        <v>0</v>
      </c>
      <c r="AS25" s="45">
        <f t="shared" ca="1" si="12"/>
        <v>0</v>
      </c>
      <c r="AT25" s="45">
        <f t="shared" ca="1" si="13"/>
        <v>0</v>
      </c>
      <c r="AU25" s="45">
        <f t="shared" ca="1" si="14"/>
        <v>0</v>
      </c>
      <c r="AV25" s="46">
        <f ca="1">AU25*Inputs!$B$35</f>
        <v>0</v>
      </c>
      <c r="AW25" s="46">
        <f ca="1">AR25*Inputs!$C$6+AT25*Inputs!$C$7+AS25*Inputs!$C$8</f>
        <v>0</v>
      </c>
      <c r="AX25" s="46">
        <f t="shared" ca="1" si="15"/>
        <v>47397431.017494716</v>
      </c>
      <c r="AY25" s="46">
        <f ca="1">IF(J25&gt;1,($CD$4)*Inputs!$B$55*((Z25+AA25+AB25)/(SUM(ILP_A_CostFocused!$C$9:$E$13))),0)</f>
        <v>0</v>
      </c>
      <c r="AZ25" s="46">
        <f t="shared" ca="1" si="16"/>
        <v>0</v>
      </c>
      <c r="BA25" s="41">
        <f t="shared" ca="1" si="17"/>
        <v>0</v>
      </c>
      <c r="BB25" s="41">
        <f t="shared" ca="1" si="18"/>
        <v>1</v>
      </c>
      <c r="BC25" s="41">
        <f t="shared" ca="1" si="19"/>
        <v>1</v>
      </c>
      <c r="BD25" s="41">
        <f t="shared" ca="1" si="20"/>
        <v>1</v>
      </c>
    </row>
    <row r="26" spans="1:56" ht="15" customHeight="1" x14ac:dyDescent="0.3">
      <c r="A26" s="41">
        <v>19</v>
      </c>
      <c r="B26" s="42">
        <f t="shared" ca="1" si="0"/>
        <v>0.78001496259279202</v>
      </c>
      <c r="C26" s="43">
        <f ca="1">IF(B26&lt;=Inputs!$C$40,Inputs!$D$40,IF(B26&lt;=Inputs!$C$41,Inputs!$D$41,Inputs!$D$42))</f>
        <v>1.1499999999999999</v>
      </c>
      <c r="D26" s="42">
        <f t="shared" ca="1" si="21"/>
        <v>0.50054040933376842</v>
      </c>
      <c r="E26" s="42">
        <f t="shared" ca="1" si="21"/>
        <v>0.3370296655394095</v>
      </c>
      <c r="F26" s="42">
        <f t="shared" ca="1" si="21"/>
        <v>3.1799250672378765E-2</v>
      </c>
      <c r="G26" s="42">
        <f t="shared" ca="1" si="21"/>
        <v>0.29221527420156279</v>
      </c>
      <c r="H26" s="42">
        <f t="shared" ca="1" si="21"/>
        <v>0.9255532537006087</v>
      </c>
      <c r="I26" s="42">
        <f t="shared" ca="1" si="21"/>
        <v>0.99378929908672919</v>
      </c>
      <c r="J26" s="43">
        <f ca="1">IF(I26&lt;Inputs!$B$54,1+Inputs!$B$55,1)</f>
        <v>1</v>
      </c>
      <c r="K26" s="42">
        <f t="shared" ca="1" si="22"/>
        <v>0.91481573076373879</v>
      </c>
      <c r="L26" s="42">
        <f t="shared" ca="1" si="22"/>
        <v>0.12757546500871941</v>
      </c>
      <c r="M26" s="42">
        <f t="shared" ca="1" si="22"/>
        <v>0.92798469040637888</v>
      </c>
      <c r="N26" s="42">
        <f t="shared" ca="1" si="22"/>
        <v>3.6170327397942015E-2</v>
      </c>
      <c r="O26" s="42">
        <f t="shared" ca="1" si="22"/>
        <v>0.8438090004366845</v>
      </c>
      <c r="P26" s="42">
        <f t="shared" ca="1" si="22"/>
        <v>0.7685851488291422</v>
      </c>
      <c r="Q26" s="42">
        <f t="shared" ca="1" si="22"/>
        <v>0.57362224496008285</v>
      </c>
      <c r="R26" s="42">
        <f t="shared" ca="1" si="22"/>
        <v>0.45406992265079382</v>
      </c>
      <c r="S26" s="42">
        <f t="shared" ca="1" si="22"/>
        <v>0.85498190440265343</v>
      </c>
      <c r="T26" s="42">
        <f t="shared" ca="1" si="22"/>
        <v>5.8475379096600832E-4</v>
      </c>
      <c r="U26" s="44">
        <f ca="1">(IF(D26&gt;=Inputs!$E$12,1,IF(K26&lt;=Inputs!$C$46,Inputs!$D$46,IF(K26&lt;=Inputs!$C$47,Inputs!$D$47,Inputs!$D$48))))*((Inputs!$B$28+(P26-0.5)*2*Inputs!$B$53)/Inputs!$B$28)</f>
        <v>1.0027184731662868</v>
      </c>
      <c r="V26" s="44">
        <f ca="1">(IF(E26&gt;=Inputs!$E$13,1,IF(L26&lt;=Inputs!$C$46,Inputs!$D$46,IF(L26&lt;=Inputs!$C$47,Inputs!$D$47,Inputs!$D$48))))*((Inputs!$B$29+(Q26-0.5)*2*Inputs!$B$53)/Inputs!$B$29)</f>
        <v>1.0007421597274202</v>
      </c>
      <c r="W26" s="44">
        <f ca="1">(IF(F26&gt;=Inputs!$E$14,1,IF(M26&lt;=Inputs!$C$46,Inputs!$D$46,IF(M26&lt;=Inputs!$C$47,Inputs!$D$47,Inputs!$D$48))))*((Inputs!$B$30+(R26-0.5)*2*Inputs!$B$53)/Inputs!$B$30)</f>
        <v>0</v>
      </c>
      <c r="X26" s="44">
        <f ca="1">(IF(G26&gt;=Inputs!$E$15,1,IF(N26&lt;=Inputs!$C$46,Inputs!$D$46,IF(N26&lt;=Inputs!$C$47,Inputs!$D$47,Inputs!$D$48))))*((Inputs!$B$31+(S26-0.5)*2*Inputs!$B$53)/Inputs!$B$31)</f>
        <v>1.0036038772020575</v>
      </c>
      <c r="Y26" s="44">
        <f ca="1">(IF(H26&gt;=Inputs!$E$16,1,IF(O26&lt;=Inputs!$C$46,Inputs!$D$46,IF(O26&lt;=Inputs!$C$47,Inputs!$D$47,Inputs!$D$48))))*((Inputs!$B$32+(T26-0.5)*2*Inputs!$B$53)/Inputs!$B$32)</f>
        <v>0.99497570174840011</v>
      </c>
      <c r="Z26" s="45">
        <f ca="1">ILP_A_CostFocused!$C$9*U26+ILP_A_CostFocused!$C$10*V26+ILP_A_CostFocused!$C$11*W26+ILP_A_CostFocused!$C$12*X26+ILP_A_CostFocused!$C$13*Y26</f>
        <v>18058.320964996867</v>
      </c>
      <c r="AA26" s="45">
        <f ca="1">ILP_A_CostFocused!$D$9*U26+ILP_A_CostFocused!$D$10*V26+ILP_A_CostFocused!$D$11*W26+ILP_A_CostFocused!$D$12*X26+ILP_A_CostFocused!$D$13*Y26</f>
        <v>10030.35539229288</v>
      </c>
      <c r="AB26" s="45">
        <f ca="1">ILP_A_CostFocused!$E$9*U26+ILP_A_CostFocused!$E$10*V26+ILP_A_CostFocused!$E$11*W26+ILP_A_CostFocused!$E$12*X26+ILP_A_CostFocused!$E$13*Y26</f>
        <v>12023.135373488883</v>
      </c>
      <c r="AC26" s="45">
        <f ca="1">Inputs!$B$6*$C26</f>
        <v>20700</v>
      </c>
      <c r="AD26" s="45">
        <f ca="1">Inputs!$B$7*$C26</f>
        <v>17250</v>
      </c>
      <c r="AE26" s="45">
        <f ca="1">Inputs!$B$8*$C26</f>
        <v>13799.999999999998</v>
      </c>
      <c r="AF26" s="45">
        <f t="shared" ca="1" si="3"/>
        <v>2641.6790350031333</v>
      </c>
      <c r="AG26" s="45">
        <f t="shared" ca="1" si="4"/>
        <v>7219.6446077071196</v>
      </c>
      <c r="AH26" s="45">
        <f t="shared" ca="1" si="5"/>
        <v>1776.8646265111147</v>
      </c>
      <c r="AI26" s="45">
        <f t="shared" ca="1" si="6"/>
        <v>11638.188269221368</v>
      </c>
      <c r="AJ26" s="45">
        <f ca="1">U26*(Inputs!$B$12-ILP_A_CostFocused!$F$9)+V26*(Inputs!$B$13-ILP_A_CostFocused!$F$10)+W26*(Inputs!$B$14-ILP_A_CostFocused!$F$11)+X26*(Inputs!$B$15-ILP_A_CostFocused!$F$12)+Y26*(Inputs!$B$16-ILP_A_CostFocused!$F$13)</f>
        <v>16909.956128716534</v>
      </c>
      <c r="AK26" s="45">
        <f t="shared" ca="1" si="7"/>
        <v>11638.188269221368</v>
      </c>
      <c r="AL26" s="45">
        <f t="shared" ca="1" si="8"/>
        <v>0</v>
      </c>
      <c r="AM26" s="45">
        <f t="shared" ca="1" si="9"/>
        <v>0</v>
      </c>
      <c r="AN26" s="45">
        <f t="shared" ca="1" si="10"/>
        <v>0</v>
      </c>
      <c r="AO26" s="45">
        <f ca="1">MIN(AL26,Inputs!$B$36)</f>
        <v>0</v>
      </c>
      <c r="AP26" s="45">
        <f ca="1">MIN(AN26,Inputs!$B$36-AO26)</f>
        <v>0</v>
      </c>
      <c r="AQ26" s="45">
        <f ca="1">MIN(AM26,Inputs!$B$36-AO26-AP26)</f>
        <v>0</v>
      </c>
      <c r="AR26" s="45">
        <f t="shared" ca="1" si="11"/>
        <v>0</v>
      </c>
      <c r="AS26" s="45">
        <f t="shared" ca="1" si="12"/>
        <v>0</v>
      </c>
      <c r="AT26" s="45">
        <f t="shared" ca="1" si="13"/>
        <v>0</v>
      </c>
      <c r="AU26" s="45">
        <f t="shared" ca="1" si="14"/>
        <v>0</v>
      </c>
      <c r="AV26" s="46">
        <f ca="1">AU26*Inputs!$B$35</f>
        <v>0</v>
      </c>
      <c r="AW26" s="46">
        <f ca="1">AR26*Inputs!$C$6+AT26*Inputs!$C$7+AS26*Inputs!$C$8</f>
        <v>0</v>
      </c>
      <c r="AX26" s="46">
        <f t="shared" ca="1" si="15"/>
        <v>42239412.2417887</v>
      </c>
      <c r="AY26" s="46">
        <f ca="1">IF(J26&gt;1,($CD$4)*Inputs!$B$55*((Z26+AA26+AB26)/(SUM(ILP_A_CostFocused!$C$9:$E$13))),0)</f>
        <v>0</v>
      </c>
      <c r="AZ26" s="46">
        <f t="shared" ca="1" si="16"/>
        <v>0</v>
      </c>
      <c r="BA26" s="41">
        <f t="shared" ca="1" si="17"/>
        <v>0</v>
      </c>
      <c r="BB26" s="41">
        <f t="shared" ca="1" si="18"/>
        <v>1</v>
      </c>
      <c r="BC26" s="41">
        <f t="shared" ca="1" si="19"/>
        <v>1</v>
      </c>
      <c r="BD26" s="41">
        <f t="shared" ca="1" si="20"/>
        <v>1</v>
      </c>
    </row>
    <row r="27" spans="1:56" ht="15" customHeight="1" x14ac:dyDescent="0.3">
      <c r="A27" s="41">
        <v>20</v>
      </c>
      <c r="B27" s="42">
        <f t="shared" ca="1" si="0"/>
        <v>0.48446132653693585</v>
      </c>
      <c r="C27" s="43">
        <f ca="1">IF(B27&lt;=Inputs!$C$40,Inputs!$D$40,IF(B27&lt;=Inputs!$C$41,Inputs!$D$41,Inputs!$D$42))</f>
        <v>1</v>
      </c>
      <c r="D27" s="42">
        <f t="shared" ca="1" si="21"/>
        <v>3.1510200384746612E-2</v>
      </c>
      <c r="E27" s="42">
        <f t="shared" ca="1" si="21"/>
        <v>8.4921886018266668E-2</v>
      </c>
      <c r="F27" s="42">
        <f t="shared" ca="1" si="21"/>
        <v>0.89543741283618261</v>
      </c>
      <c r="G27" s="42">
        <f t="shared" ca="1" si="21"/>
        <v>0.86011246999344093</v>
      </c>
      <c r="H27" s="42">
        <f t="shared" ca="1" si="21"/>
        <v>0.21451441735362742</v>
      </c>
      <c r="I27" s="42">
        <f t="shared" ca="1" si="21"/>
        <v>0.38408774488848063</v>
      </c>
      <c r="J27" s="43">
        <f ca="1">IF(I27&lt;Inputs!$B$54,1+Inputs!$B$55,1)</f>
        <v>1</v>
      </c>
      <c r="K27" s="42">
        <f t="shared" ca="1" si="22"/>
        <v>0.12616054178223779</v>
      </c>
      <c r="L27" s="42">
        <f t="shared" ca="1" si="22"/>
        <v>0.79687795815848972</v>
      </c>
      <c r="M27" s="42">
        <f t="shared" ca="1" si="22"/>
        <v>0.22459412201851636</v>
      </c>
      <c r="N27" s="42">
        <f t="shared" ca="1" si="22"/>
        <v>0.58583057197279054</v>
      </c>
      <c r="O27" s="42">
        <f t="shared" ca="1" si="22"/>
        <v>0.52545174154634111</v>
      </c>
      <c r="P27" s="42">
        <f t="shared" ca="1" si="22"/>
        <v>5.0116622803094812E-2</v>
      </c>
      <c r="Q27" s="42">
        <f t="shared" ca="1" si="22"/>
        <v>0.2502029593186017</v>
      </c>
      <c r="R27" s="42">
        <f t="shared" ca="1" si="22"/>
        <v>0.33620537540128215</v>
      </c>
      <c r="S27" s="42">
        <f t="shared" ca="1" si="22"/>
        <v>0.929695854661578</v>
      </c>
      <c r="T27" s="42">
        <f t="shared" ca="1" si="22"/>
        <v>0.14723294905387119</v>
      </c>
      <c r="U27" s="44">
        <f ca="1">(IF(D27&gt;=Inputs!$E$12,1,IF(K27&lt;=Inputs!$C$46,Inputs!$D$46,IF(K27&lt;=Inputs!$C$47,Inputs!$D$47,Inputs!$D$48))))*((Inputs!$B$28+(P27-0.5)*2*Inputs!$B$53)/Inputs!$B$28)</f>
        <v>0.59726791471337914</v>
      </c>
      <c r="V27" s="44">
        <f ca="1">(IF(E27&gt;=Inputs!$E$13,1,IF(L27&lt;=Inputs!$C$46,Inputs!$D$46,IF(L27&lt;=Inputs!$C$47,Inputs!$D$47,Inputs!$D$48))))*((Inputs!$B$29+(Q27-0.5)*2*Inputs!$B$53)/Inputs!$B$29)</f>
        <v>0.29924456540116512</v>
      </c>
      <c r="W27" s="44">
        <f ca="1">(IF(F27&gt;=Inputs!$E$14,1,IF(M27&lt;=Inputs!$C$46,Inputs!$D$46,IF(M27&lt;=Inputs!$C$47,Inputs!$D$47,Inputs!$D$48))))*((Inputs!$B$30+(R27-0.5)*2*Inputs!$B$53)/Inputs!$B$30)</f>
        <v>0.9983538228683545</v>
      </c>
      <c r="X27" s="44">
        <f ca="1">(IF(G27&gt;=Inputs!$E$15,1,IF(N27&lt;=Inputs!$C$46,Inputs!$D$46,IF(N27&lt;=Inputs!$C$47,Inputs!$D$47,Inputs!$D$48))))*((Inputs!$B$31+(S27-0.5)*2*Inputs!$B$53)/Inputs!$B$31)</f>
        <v>1.0043623944635693</v>
      </c>
      <c r="Y27" s="44">
        <f ca="1">(IF(H27&gt;=Inputs!$E$16,1,IF(O27&lt;=Inputs!$C$46,Inputs!$D$46,IF(O27&lt;=Inputs!$C$47,Inputs!$D$47,Inputs!$D$48))))*((Inputs!$B$32+(T27-0.5)*2*Inputs!$B$53)/Inputs!$B$32)</f>
        <v>0.99645103570476734</v>
      </c>
      <c r="Z27" s="45">
        <f ca="1">ILP_A_CostFocused!$C$9*U27+ILP_A_CostFocused!$C$10*V27+ILP_A_CostFocused!$C$11*W27+ILP_A_CostFocused!$C$12*X27+ILP_A_CostFocused!$C$13*Y27</f>
        <v>15121.216791403403</v>
      </c>
      <c r="AA27" s="45">
        <f ca="1">ILP_A_CostFocused!$D$9*U27+ILP_A_CostFocused!$D$10*V27+ILP_A_CostFocused!$D$11*W27+ILP_A_CostFocused!$D$12*X27+ILP_A_CostFocused!$D$13*Y27</f>
        <v>8689.4527688477319</v>
      </c>
      <c r="AB27" s="45">
        <f ca="1">ILP_A_CostFocused!$E$9*U27+ILP_A_CostFocused!$E$10*V27+ILP_A_CostFocused!$E$11*W27+ILP_A_CostFocused!$E$12*X27+ILP_A_CostFocused!$E$13*Y27</f>
        <v>5736.7028998619226</v>
      </c>
      <c r="AC27" s="45">
        <f ca="1">Inputs!$B$6*$C27</f>
        <v>18000</v>
      </c>
      <c r="AD27" s="45">
        <f ca="1">Inputs!$B$7*$C27</f>
        <v>15000</v>
      </c>
      <c r="AE27" s="45">
        <f ca="1">Inputs!$B$8*$C27</f>
        <v>12000</v>
      </c>
      <c r="AF27" s="45">
        <f t="shared" ca="1" si="3"/>
        <v>2878.7832085965965</v>
      </c>
      <c r="AG27" s="45">
        <f t="shared" ca="1" si="4"/>
        <v>6310.5472311522681</v>
      </c>
      <c r="AH27" s="45">
        <f t="shared" ca="1" si="5"/>
        <v>6263.2971001380774</v>
      </c>
      <c r="AI27" s="45">
        <f t="shared" ca="1" si="6"/>
        <v>15452.627539886942</v>
      </c>
      <c r="AJ27" s="45">
        <f ca="1">U27*(Inputs!$B$12-ILP_A_CostFocused!$F$9)+V27*(Inputs!$B$13-ILP_A_CostFocused!$F$10)+W27*(Inputs!$B$14-ILP_A_CostFocused!$F$11)+X27*(Inputs!$B$15-ILP_A_CostFocused!$F$12)+Y27*(Inputs!$B$16-ILP_A_CostFocused!$F$13)</f>
        <v>24176.052057340272</v>
      </c>
      <c r="AK27" s="45">
        <f t="shared" ca="1" si="7"/>
        <v>15452.627539886942</v>
      </c>
      <c r="AL27" s="45">
        <f t="shared" ca="1" si="8"/>
        <v>0</v>
      </c>
      <c r="AM27" s="45">
        <f t="shared" ca="1" si="9"/>
        <v>0</v>
      </c>
      <c r="AN27" s="45">
        <f t="shared" ca="1" si="10"/>
        <v>0</v>
      </c>
      <c r="AO27" s="45">
        <f ca="1">MIN(AL27,Inputs!$B$36)</f>
        <v>0</v>
      </c>
      <c r="AP27" s="45">
        <f ca="1">MIN(AN27,Inputs!$B$36-AO27)</f>
        <v>0</v>
      </c>
      <c r="AQ27" s="45">
        <f ca="1">MIN(AM27,Inputs!$B$36-AO27-AP27)</f>
        <v>0</v>
      </c>
      <c r="AR27" s="45">
        <f t="shared" ca="1" si="11"/>
        <v>0</v>
      </c>
      <c r="AS27" s="45">
        <f t="shared" ca="1" si="12"/>
        <v>0</v>
      </c>
      <c r="AT27" s="45">
        <f t="shared" ca="1" si="13"/>
        <v>0</v>
      </c>
      <c r="AU27" s="45">
        <f t="shared" ca="1" si="14"/>
        <v>0</v>
      </c>
      <c r="AV27" s="46">
        <f ca="1">AU27*Inputs!$B$35</f>
        <v>0</v>
      </c>
      <c r="AW27" s="46">
        <f ca="1">AR27*Inputs!$C$6+AT27*Inputs!$C$7+AS27*Inputs!$C$8</f>
        <v>0</v>
      </c>
      <c r="AX27" s="46">
        <f t="shared" ca="1" si="15"/>
        <v>30975173.430197719</v>
      </c>
      <c r="AY27" s="46">
        <f ca="1">IF(J27&gt;1,($CD$4)*Inputs!$B$55*((Z27+AA27+AB27)/(SUM(ILP_A_CostFocused!$C$9:$E$13))),0)</f>
        <v>0</v>
      </c>
      <c r="AZ27" s="46">
        <f t="shared" ca="1" si="16"/>
        <v>0</v>
      </c>
      <c r="BA27" s="41">
        <f t="shared" ca="1" si="17"/>
        <v>0</v>
      </c>
      <c r="BB27" s="41">
        <f t="shared" ca="1" si="18"/>
        <v>1</v>
      </c>
      <c r="BC27" s="41">
        <f t="shared" ca="1" si="19"/>
        <v>1</v>
      </c>
      <c r="BD27" s="41">
        <f t="shared" ca="1" si="20"/>
        <v>1</v>
      </c>
    </row>
    <row r="28" spans="1:56" ht="15" customHeight="1" x14ac:dyDescent="0.3">
      <c r="A28" s="41">
        <v>21</v>
      </c>
      <c r="B28" s="42">
        <f t="shared" ca="1" si="0"/>
        <v>5.5508524657258418E-2</v>
      </c>
      <c r="C28" s="43">
        <f ca="1">IF(B28&lt;=Inputs!$C$40,Inputs!$D$40,IF(B28&lt;=Inputs!$C$41,Inputs!$D$41,Inputs!$D$42))</f>
        <v>0.9</v>
      </c>
      <c r="D28" s="42">
        <f t="shared" ref="D28:I37" ca="1" si="23">RAND()</f>
        <v>0.2312856788011326</v>
      </c>
      <c r="E28" s="42">
        <f t="shared" ca="1" si="23"/>
        <v>0.62230871312404379</v>
      </c>
      <c r="F28" s="42">
        <f t="shared" ca="1" si="23"/>
        <v>0.11546993104447045</v>
      </c>
      <c r="G28" s="42">
        <f t="shared" ca="1" si="23"/>
        <v>0.35860332449979304</v>
      </c>
      <c r="H28" s="42">
        <f t="shared" ca="1" si="23"/>
        <v>9.4477028404518437E-2</v>
      </c>
      <c r="I28" s="42">
        <f t="shared" ca="1" si="23"/>
        <v>0.64543694444366528</v>
      </c>
      <c r="J28" s="43">
        <f ca="1">IF(I28&lt;Inputs!$B$54,1+Inputs!$B$55,1)</f>
        <v>1</v>
      </c>
      <c r="K28" s="42">
        <f t="shared" ref="K28:T37" ca="1" si="24">RAND()</f>
        <v>0.65999913217685147</v>
      </c>
      <c r="L28" s="42">
        <f t="shared" ca="1" si="24"/>
        <v>5.7927320249676062E-2</v>
      </c>
      <c r="M28" s="42">
        <f t="shared" ca="1" si="24"/>
        <v>0.75514979135498317</v>
      </c>
      <c r="N28" s="42">
        <f t="shared" ca="1" si="24"/>
        <v>0.49036800259909763</v>
      </c>
      <c r="O28" s="42">
        <f t="shared" ca="1" si="24"/>
        <v>0.3435256147659681</v>
      </c>
      <c r="P28" s="42">
        <f t="shared" ca="1" si="24"/>
        <v>0.94733785266823634</v>
      </c>
      <c r="Q28" s="42">
        <f t="shared" ca="1" si="24"/>
        <v>0.40725405239330426</v>
      </c>
      <c r="R28" s="42">
        <f t="shared" ca="1" si="24"/>
        <v>0.64552884471314431</v>
      </c>
      <c r="S28" s="42">
        <f t="shared" ca="1" si="24"/>
        <v>0.11831307871343</v>
      </c>
      <c r="T28" s="42">
        <f t="shared" ca="1" si="24"/>
        <v>0.5485481964597918</v>
      </c>
      <c r="U28" s="44">
        <f ca="1">(IF(D28&gt;=Inputs!$E$12,1,IF(K28&lt;=Inputs!$C$46,Inputs!$D$46,IF(K28&lt;=Inputs!$C$47,Inputs!$D$47,Inputs!$D$48))))*((Inputs!$B$28+(P28-0.5)*2*Inputs!$B$53)/Inputs!$B$28)</f>
        <v>1.0045277110593951</v>
      </c>
      <c r="V28" s="44">
        <f ca="1">(IF(E28&gt;=Inputs!$E$13,1,IF(L28&lt;=Inputs!$C$46,Inputs!$D$46,IF(L28&lt;=Inputs!$C$47,Inputs!$D$47,Inputs!$D$48))))*((Inputs!$B$29+(Q28-0.5)*2*Inputs!$B$53)/Inputs!$B$29)</f>
        <v>0.9990650610120293</v>
      </c>
      <c r="W28" s="44">
        <f ca="1">(IF(F28&gt;=Inputs!$E$14,1,IF(M28&lt;=Inputs!$C$46,Inputs!$D$46,IF(M28&lt;=Inputs!$C$47,Inputs!$D$47,Inputs!$D$48))))*((Inputs!$B$30+(R28-0.5)*2*Inputs!$B$53)/Inputs!$B$30)</f>
        <v>1.0014626014544035</v>
      </c>
      <c r="X28" s="44">
        <f ca="1">(IF(G28&gt;=Inputs!$E$15,1,IF(N28&lt;=Inputs!$C$46,Inputs!$D$46,IF(N28&lt;=Inputs!$C$47,Inputs!$D$47,Inputs!$D$48))))*((Inputs!$B$31+(S28-0.5)*2*Inputs!$B$53)/Inputs!$B$31)</f>
        <v>0.9961250058752632</v>
      </c>
      <c r="Y28" s="44">
        <f ca="1">(IF(H28&gt;=Inputs!$E$16,1,IF(O28&lt;=Inputs!$C$46,Inputs!$D$46,IF(O28&lt;=Inputs!$C$47,Inputs!$D$47,Inputs!$D$48))))*((Inputs!$B$32+(T28-0.5)*2*Inputs!$B$53)/Inputs!$B$32)</f>
        <v>1.0004884124392335</v>
      </c>
      <c r="Z28" s="45">
        <f ca="1">ILP_A_CostFocused!$C$9*U28+ILP_A_CostFocused!$C$10*V28+ILP_A_CostFocused!$C$11*W28+ILP_A_CostFocused!$C$12*X28+ILP_A_CostFocused!$C$13*Y28</f>
        <v>17990.26886987632</v>
      </c>
      <c r="AA28" s="45">
        <f ca="1">ILP_A_CostFocused!$D$9*U28+ILP_A_CostFocused!$D$10*V28+ILP_A_CostFocused!$D$11*W28+ILP_A_CostFocused!$D$12*X28+ILP_A_CostFocused!$D$13*Y28</f>
        <v>14994.916810343961</v>
      </c>
      <c r="AB28" s="45">
        <f ca="1">ILP_A_CostFocused!$E$9*U28+ILP_A_CostFocused!$E$10*V28+ILP_A_CostFocused!$E$11*W28+ILP_A_CostFocused!$E$12*X28+ILP_A_CostFocused!$E$13*Y28</f>
        <v>12028.111812485386</v>
      </c>
      <c r="AC28" s="45">
        <f ca="1">Inputs!$B$6*$C28</f>
        <v>16200</v>
      </c>
      <c r="AD28" s="45">
        <f ca="1">Inputs!$B$7*$C28</f>
        <v>13500</v>
      </c>
      <c r="AE28" s="45">
        <f ca="1">Inputs!$B$8*$C28</f>
        <v>10800</v>
      </c>
      <c r="AF28" s="45">
        <f t="shared" ca="1" si="3"/>
        <v>0</v>
      </c>
      <c r="AG28" s="45">
        <f t="shared" ca="1" si="4"/>
        <v>0</v>
      </c>
      <c r="AH28" s="45">
        <f t="shared" ca="1" si="5"/>
        <v>0</v>
      </c>
      <c r="AI28" s="45">
        <f t="shared" ca="1" si="6"/>
        <v>0</v>
      </c>
      <c r="AJ28" s="45">
        <f ca="1">U28*(Inputs!$B$12-ILP_A_CostFocused!$F$9)+V28*(Inputs!$B$13-ILP_A_CostFocused!$F$10)+W28*(Inputs!$B$14-ILP_A_CostFocused!$F$11)+X28*(Inputs!$B$15-ILP_A_CostFocused!$F$12)+Y28*(Inputs!$B$16-ILP_A_CostFocused!$F$13)</f>
        <v>25025.896814411972</v>
      </c>
      <c r="AK28" s="45">
        <f t="shared" ca="1" si="7"/>
        <v>0</v>
      </c>
      <c r="AL28" s="45">
        <f t="shared" ca="1" si="8"/>
        <v>0</v>
      </c>
      <c r="AM28" s="45">
        <f t="shared" ca="1" si="9"/>
        <v>0</v>
      </c>
      <c r="AN28" s="45">
        <f t="shared" ca="1" si="10"/>
        <v>0</v>
      </c>
      <c r="AO28" s="45">
        <f ca="1">MIN(AL28,Inputs!$B$36)</f>
        <v>0</v>
      </c>
      <c r="AP28" s="45">
        <f ca="1">MIN(AN28,Inputs!$B$36-AO28)</f>
        <v>0</v>
      </c>
      <c r="AQ28" s="45">
        <f ca="1">MIN(AM28,Inputs!$B$36-AO28-AP28)</f>
        <v>0</v>
      </c>
      <c r="AR28" s="45">
        <f t="shared" ca="1" si="11"/>
        <v>0</v>
      </c>
      <c r="AS28" s="45">
        <f t="shared" ca="1" si="12"/>
        <v>0</v>
      </c>
      <c r="AT28" s="45">
        <f t="shared" ca="1" si="13"/>
        <v>0</v>
      </c>
      <c r="AU28" s="45">
        <f t="shared" ca="1" si="14"/>
        <v>0</v>
      </c>
      <c r="AV28" s="46">
        <f ca="1">AU28*Inputs!$B$35</f>
        <v>0</v>
      </c>
      <c r="AW28" s="46">
        <f ca="1">AR28*Inputs!$C$6+AT28*Inputs!$C$7+AS28*Inputs!$C$8</f>
        <v>0</v>
      </c>
      <c r="AX28" s="46">
        <f t="shared" ca="1" si="15"/>
        <v>47407506.035515435</v>
      </c>
      <c r="AY28" s="46">
        <f ca="1">IF(J28&gt;1,($CD$4)*Inputs!$B$55*((Z28+AA28+AB28)/(SUM(ILP_A_CostFocused!$C$9:$E$13))),0)</f>
        <v>0</v>
      </c>
      <c r="AZ28" s="46">
        <f t="shared" ca="1" si="16"/>
        <v>0</v>
      </c>
      <c r="BA28" s="41">
        <f t="shared" ca="1" si="17"/>
        <v>0</v>
      </c>
      <c r="BB28" s="41">
        <f t="shared" ca="1" si="18"/>
        <v>1</v>
      </c>
      <c r="BC28" s="41">
        <f t="shared" ca="1" si="19"/>
        <v>1</v>
      </c>
      <c r="BD28" s="41">
        <f t="shared" ca="1" si="20"/>
        <v>1</v>
      </c>
    </row>
    <row r="29" spans="1:56" ht="15" customHeight="1" x14ac:dyDescent="0.3">
      <c r="A29" s="41">
        <v>22</v>
      </c>
      <c r="B29" s="42">
        <f t="shared" ca="1" si="0"/>
        <v>0.69155875473052009</v>
      </c>
      <c r="C29" s="43">
        <f ca="1">IF(B29&lt;=Inputs!$C$40,Inputs!$D$40,IF(B29&lt;=Inputs!$C$41,Inputs!$D$41,Inputs!$D$42))</f>
        <v>1</v>
      </c>
      <c r="D29" s="42">
        <f t="shared" ca="1" si="23"/>
        <v>0.67155458579917904</v>
      </c>
      <c r="E29" s="42">
        <f t="shared" ca="1" si="23"/>
        <v>0.92415194267229905</v>
      </c>
      <c r="F29" s="42">
        <f t="shared" ca="1" si="23"/>
        <v>0.92362189255309857</v>
      </c>
      <c r="G29" s="42">
        <f t="shared" ca="1" si="23"/>
        <v>0.563547069777668</v>
      </c>
      <c r="H29" s="42">
        <f t="shared" ca="1" si="23"/>
        <v>0.60186626371820018</v>
      </c>
      <c r="I29" s="42">
        <f t="shared" ca="1" si="23"/>
        <v>0.73285839528311447</v>
      </c>
      <c r="J29" s="43">
        <f ca="1">IF(I29&lt;Inputs!$B$54,1+Inputs!$B$55,1)</f>
        <v>1</v>
      </c>
      <c r="K29" s="42">
        <f t="shared" ca="1" si="24"/>
        <v>0.96358592948474253</v>
      </c>
      <c r="L29" s="42">
        <f t="shared" ca="1" si="24"/>
        <v>0.30368473157684317</v>
      </c>
      <c r="M29" s="42">
        <f t="shared" ca="1" si="24"/>
        <v>0.69013615132548489</v>
      </c>
      <c r="N29" s="42">
        <f t="shared" ca="1" si="24"/>
        <v>0.27420370823386009</v>
      </c>
      <c r="O29" s="42">
        <f t="shared" ca="1" si="24"/>
        <v>0.89313343397332157</v>
      </c>
      <c r="P29" s="42">
        <f t="shared" ca="1" si="24"/>
        <v>0.55934743064574177</v>
      </c>
      <c r="Q29" s="42">
        <f t="shared" ca="1" si="24"/>
        <v>0.75034899979245384</v>
      </c>
      <c r="R29" s="42">
        <f t="shared" ca="1" si="24"/>
        <v>0.8695085386468685</v>
      </c>
      <c r="S29" s="42">
        <f t="shared" ca="1" si="24"/>
        <v>0.436111435740692</v>
      </c>
      <c r="T29" s="42">
        <f t="shared" ca="1" si="24"/>
        <v>0.53776381013267593</v>
      </c>
      <c r="U29" s="44">
        <f ca="1">(IF(D29&gt;=Inputs!$E$12,1,IF(K29&lt;=Inputs!$C$46,Inputs!$D$46,IF(K29&lt;=Inputs!$C$47,Inputs!$D$47,Inputs!$D$48))))*((Inputs!$B$28+(P29-0.5)*2*Inputs!$B$53)/Inputs!$B$28)</f>
        <v>1.0006006824964144</v>
      </c>
      <c r="V29" s="44">
        <f ca="1">(IF(E29&gt;=Inputs!$E$13,1,IF(L29&lt;=Inputs!$C$46,Inputs!$D$46,IF(L29&lt;=Inputs!$C$47,Inputs!$D$47,Inputs!$D$48))))*((Inputs!$B$29+(Q29-0.5)*2*Inputs!$B$53)/Inputs!$B$29)</f>
        <v>1.0025236794333916</v>
      </c>
      <c r="W29" s="44">
        <f ca="1">(IF(F29&gt;=Inputs!$E$14,1,IF(M29&lt;=Inputs!$C$46,Inputs!$D$46,IF(M29&lt;=Inputs!$C$47,Inputs!$D$47,Inputs!$D$48))))*((Inputs!$B$30+(R29-0.5)*2*Inputs!$B$53)/Inputs!$B$30)</f>
        <v>1.0037136536547424</v>
      </c>
      <c r="X29" s="44">
        <f ca="1">(IF(G29&gt;=Inputs!$E$15,1,IF(N29&lt;=Inputs!$C$46,Inputs!$D$46,IF(N29&lt;=Inputs!$C$47,Inputs!$D$47,Inputs!$D$48))))*((Inputs!$B$31+(S29-0.5)*2*Inputs!$B$53)/Inputs!$B$31)</f>
        <v>0.99935138513442323</v>
      </c>
      <c r="Y29" s="44">
        <f ca="1">(IF(H29&gt;=Inputs!$E$16,1,IF(O29&lt;=Inputs!$C$46,Inputs!$D$46,IF(O29&lt;=Inputs!$C$47,Inputs!$D$47,Inputs!$D$48))))*((Inputs!$B$32+(T29-0.5)*2*Inputs!$B$53)/Inputs!$B$32)</f>
        <v>1.0003799176069685</v>
      </c>
      <c r="Z29" s="45">
        <f ca="1">ILP_A_CostFocused!$C$9*U29+ILP_A_CostFocused!$C$10*V29+ILP_A_CostFocused!$C$11*W29+ILP_A_CostFocused!$C$12*X29+ILP_A_CostFocused!$C$13*Y29</f>
        <v>17997.489097156409</v>
      </c>
      <c r="AA29" s="45">
        <f ca="1">ILP_A_CostFocused!$D$9*U29+ILP_A_CostFocused!$D$10*V29+ILP_A_CostFocused!$D$11*W29+ILP_A_CostFocused!$D$12*X29+ILP_A_CostFocused!$D$13*Y29</f>
        <v>15040.545522938253</v>
      </c>
      <c r="AB29" s="45">
        <f ca="1">ILP_A_CostFocused!$E$9*U29+ILP_A_CostFocused!$E$10*V29+ILP_A_CostFocused!$E$11*W29+ILP_A_CostFocused!$E$12*X29+ILP_A_CostFocused!$E$13*Y29</f>
        <v>12016.438575254462</v>
      </c>
      <c r="AC29" s="45">
        <f ca="1">Inputs!$B$6*$C29</f>
        <v>18000</v>
      </c>
      <c r="AD29" s="45">
        <f ca="1">Inputs!$B$7*$C29</f>
        <v>15000</v>
      </c>
      <c r="AE29" s="45">
        <f ca="1">Inputs!$B$8*$C29</f>
        <v>12000</v>
      </c>
      <c r="AF29" s="45">
        <f t="shared" ca="1" si="3"/>
        <v>2.510902843590884</v>
      </c>
      <c r="AG29" s="45">
        <f t="shared" ca="1" si="4"/>
        <v>0</v>
      </c>
      <c r="AH29" s="45">
        <f t="shared" ca="1" si="5"/>
        <v>0</v>
      </c>
      <c r="AI29" s="45">
        <f t="shared" ca="1" si="6"/>
        <v>2.510902843590884</v>
      </c>
      <c r="AJ29" s="45">
        <f ca="1">U29*(Inputs!$B$12-ILP_A_CostFocused!$F$9)+V29*(Inputs!$B$13-ILP_A_CostFocused!$F$10)+W29*(Inputs!$B$14-ILP_A_CostFocused!$F$11)+X29*(Inputs!$B$15-ILP_A_CostFocused!$F$12)+Y29*(Inputs!$B$16-ILP_A_CostFocused!$F$13)</f>
        <v>25036.662119890243</v>
      </c>
      <c r="AK29" s="45">
        <f t="shared" ca="1" si="7"/>
        <v>2.510902843590884</v>
      </c>
      <c r="AL29" s="45">
        <f t="shared" ca="1" si="8"/>
        <v>0</v>
      </c>
      <c r="AM29" s="45">
        <f t="shared" ca="1" si="9"/>
        <v>0</v>
      </c>
      <c r="AN29" s="45">
        <f t="shared" ca="1" si="10"/>
        <v>0</v>
      </c>
      <c r="AO29" s="45">
        <f ca="1">MIN(AL29,Inputs!$B$36)</f>
        <v>0</v>
      </c>
      <c r="AP29" s="45">
        <f ca="1">MIN(AN29,Inputs!$B$36-AO29)</f>
        <v>0</v>
      </c>
      <c r="AQ29" s="45">
        <f ca="1">MIN(AM29,Inputs!$B$36-AO29-AP29)</f>
        <v>0</v>
      </c>
      <c r="AR29" s="45">
        <f t="shared" ca="1" si="11"/>
        <v>0</v>
      </c>
      <c r="AS29" s="45">
        <f t="shared" ca="1" si="12"/>
        <v>0</v>
      </c>
      <c r="AT29" s="45">
        <f t="shared" ca="1" si="13"/>
        <v>0</v>
      </c>
      <c r="AU29" s="45">
        <f t="shared" ca="1" si="14"/>
        <v>0</v>
      </c>
      <c r="AV29" s="46">
        <f ca="1">AU29*Inputs!$B$35</f>
        <v>0</v>
      </c>
      <c r="AW29" s="46">
        <f ca="1">AR29*Inputs!$C$6+AT29*Inputs!$C$7+AS29*Inputs!$C$8</f>
        <v>0</v>
      </c>
      <c r="AX29" s="46">
        <f t="shared" ca="1" si="15"/>
        <v>47450375.659256391</v>
      </c>
      <c r="AY29" s="46">
        <f ca="1">IF(J29&gt;1,($CD$4)*Inputs!$B$55*((Z29+AA29+AB29)/(SUM(ILP_A_CostFocused!$C$9:$E$13))),0)</f>
        <v>0</v>
      </c>
      <c r="AZ29" s="46">
        <f t="shared" ca="1" si="16"/>
        <v>0</v>
      </c>
      <c r="BA29" s="41">
        <f t="shared" ca="1" si="17"/>
        <v>0</v>
      </c>
      <c r="BB29" s="41">
        <f t="shared" ca="1" si="18"/>
        <v>1</v>
      </c>
      <c r="BC29" s="41">
        <f t="shared" ca="1" si="19"/>
        <v>1</v>
      </c>
      <c r="BD29" s="41">
        <f t="shared" ca="1" si="20"/>
        <v>1</v>
      </c>
    </row>
    <row r="30" spans="1:56" ht="15" customHeight="1" x14ac:dyDescent="0.3">
      <c r="A30" s="41">
        <v>23</v>
      </c>
      <c r="B30" s="42">
        <f t="shared" ca="1" si="0"/>
        <v>9.6203505548532409E-2</v>
      </c>
      <c r="C30" s="43">
        <f ca="1">IF(B30&lt;=Inputs!$C$40,Inputs!$D$40,IF(B30&lt;=Inputs!$C$41,Inputs!$D$41,Inputs!$D$42))</f>
        <v>0.9</v>
      </c>
      <c r="D30" s="42">
        <f t="shared" ca="1" si="23"/>
        <v>0.32388254782280723</v>
      </c>
      <c r="E30" s="42">
        <f t="shared" ca="1" si="23"/>
        <v>0.78677818176509251</v>
      </c>
      <c r="F30" s="42">
        <f t="shared" ca="1" si="23"/>
        <v>0.70148028776838345</v>
      </c>
      <c r="G30" s="42">
        <f t="shared" ca="1" si="23"/>
        <v>0.22760524875408927</v>
      </c>
      <c r="H30" s="42">
        <f t="shared" ca="1" si="23"/>
        <v>0.20982360083723939</v>
      </c>
      <c r="I30" s="42">
        <f t="shared" ca="1" si="23"/>
        <v>0.61898061946473237</v>
      </c>
      <c r="J30" s="43">
        <f ca="1">IF(I30&lt;Inputs!$B$54,1+Inputs!$B$55,1)</f>
        <v>1</v>
      </c>
      <c r="K30" s="42">
        <f t="shared" ca="1" si="24"/>
        <v>0.61841828619676764</v>
      </c>
      <c r="L30" s="42">
        <f t="shared" ca="1" si="24"/>
        <v>0.34187305546197122</v>
      </c>
      <c r="M30" s="42">
        <f t="shared" ca="1" si="24"/>
        <v>0.76339400087976272</v>
      </c>
      <c r="N30" s="42">
        <f t="shared" ca="1" si="24"/>
        <v>0.56369622365790861</v>
      </c>
      <c r="O30" s="42">
        <f t="shared" ca="1" si="24"/>
        <v>0.46704453854377581</v>
      </c>
      <c r="P30" s="42">
        <f t="shared" ca="1" si="24"/>
        <v>6.3733939322470734E-2</v>
      </c>
      <c r="Q30" s="42">
        <f t="shared" ca="1" si="24"/>
        <v>0.47248233385724125</v>
      </c>
      <c r="R30" s="42">
        <f t="shared" ca="1" si="24"/>
        <v>0.16861948969789886</v>
      </c>
      <c r="S30" s="42">
        <f t="shared" ca="1" si="24"/>
        <v>0.92489983645128504</v>
      </c>
      <c r="T30" s="42">
        <f t="shared" ca="1" si="24"/>
        <v>0.69818603181921479</v>
      </c>
      <c r="U30" s="44">
        <f ca="1">(IF(D30&gt;=Inputs!$E$12,1,IF(K30&lt;=Inputs!$C$46,Inputs!$D$46,IF(K30&lt;=Inputs!$C$47,Inputs!$D$47,Inputs!$D$48))))*((Inputs!$B$28+(P30-0.5)*2*Inputs!$B$53)/Inputs!$B$28)</f>
        <v>0.99558435161257564</v>
      </c>
      <c r="V30" s="44">
        <f ca="1">(IF(E30&gt;=Inputs!$E$13,1,IF(L30&lt;=Inputs!$C$46,Inputs!$D$46,IF(L30&lt;=Inputs!$C$47,Inputs!$D$47,Inputs!$D$48))))*((Inputs!$B$29+(Q30-0.5)*2*Inputs!$B$53)/Inputs!$B$29)</f>
        <v>0.99972260417194792</v>
      </c>
      <c r="W30" s="44">
        <f ca="1">(IF(F30&gt;=Inputs!$E$14,1,IF(M30&lt;=Inputs!$C$46,Inputs!$D$46,IF(M30&lt;=Inputs!$C$47,Inputs!$D$47,Inputs!$D$48))))*((Inputs!$B$30+(R30-0.5)*2*Inputs!$B$53)/Inputs!$B$30)</f>
        <v>0.99666954261002916</v>
      </c>
      <c r="X30" s="44">
        <f ca="1">(IF(G30&gt;=Inputs!$E$15,1,IF(N30&lt;=Inputs!$C$46,Inputs!$D$46,IF(N30&lt;=Inputs!$C$47,Inputs!$D$47,Inputs!$D$48))))*((Inputs!$B$31+(S30-0.5)*2*Inputs!$B$53)/Inputs!$B$31)</f>
        <v>1.0043137039233634</v>
      </c>
      <c r="Y30" s="44">
        <f ca="1">(IF(H30&gt;=Inputs!$E$16,1,IF(O30&lt;=Inputs!$C$46,Inputs!$D$46,IF(O30&lt;=Inputs!$C$47,Inputs!$D$47,Inputs!$D$48))))*((Inputs!$B$32+(T30-0.5)*2*Inputs!$B$53)/Inputs!$B$32)</f>
        <v>1.0019938232577386</v>
      </c>
      <c r="Z30" s="45">
        <f ca="1">ILP_A_CostFocused!$C$9*U30+ILP_A_CostFocused!$C$10*V30+ILP_A_CostFocused!$C$11*W30+ILP_A_CostFocused!$C$12*X30+ILP_A_CostFocused!$C$13*Y30</f>
        <v>18015.159500208094</v>
      </c>
      <c r="AA30" s="45">
        <f ca="1">ILP_A_CostFocused!$D$9*U30+ILP_A_CostFocused!$D$10*V30+ILP_A_CostFocused!$D$11*W30+ILP_A_CostFocused!$D$12*X30+ILP_A_CostFocused!$D$13*Y30</f>
        <v>14985.317737747308</v>
      </c>
      <c r="AB30" s="45">
        <f ca="1">ILP_A_CostFocused!$E$9*U30+ILP_A_CostFocused!$E$10*V30+ILP_A_CostFocused!$E$11*W30+ILP_A_CostFocused!$E$12*X30+ILP_A_CostFocused!$E$13*Y30</f>
        <v>11966.875831635894</v>
      </c>
      <c r="AC30" s="45">
        <f ca="1">Inputs!$B$6*$C30</f>
        <v>16200</v>
      </c>
      <c r="AD30" s="45">
        <f ca="1">Inputs!$B$7*$C30</f>
        <v>13500</v>
      </c>
      <c r="AE30" s="45">
        <f ca="1">Inputs!$B$8*$C30</f>
        <v>10800</v>
      </c>
      <c r="AF30" s="45">
        <f t="shared" ca="1" si="3"/>
        <v>0</v>
      </c>
      <c r="AG30" s="45">
        <f t="shared" ca="1" si="4"/>
        <v>0</v>
      </c>
      <c r="AH30" s="45">
        <f t="shared" ca="1" si="5"/>
        <v>0</v>
      </c>
      <c r="AI30" s="45">
        <f t="shared" ca="1" si="6"/>
        <v>0</v>
      </c>
      <c r="AJ30" s="45">
        <f ca="1">U30*(Inputs!$B$12-ILP_A_CostFocused!$F$9)+V30*(Inputs!$B$13-ILP_A_CostFocused!$F$10)+W30*(Inputs!$B$14-ILP_A_CostFocused!$F$11)+X30*(Inputs!$B$15-ILP_A_CostFocused!$F$12)+Y30*(Inputs!$B$16-ILP_A_CostFocused!$F$13)</f>
        <v>24996.488864494004</v>
      </c>
      <c r="AK30" s="45">
        <f t="shared" ca="1" si="7"/>
        <v>0</v>
      </c>
      <c r="AL30" s="45">
        <f t="shared" ca="1" si="8"/>
        <v>0</v>
      </c>
      <c r="AM30" s="45">
        <f t="shared" ca="1" si="9"/>
        <v>0</v>
      </c>
      <c r="AN30" s="45">
        <f t="shared" ca="1" si="10"/>
        <v>0</v>
      </c>
      <c r="AO30" s="45">
        <f ca="1">MIN(AL30,Inputs!$B$36)</f>
        <v>0</v>
      </c>
      <c r="AP30" s="45">
        <f ca="1">MIN(AN30,Inputs!$B$36-AO30)</f>
        <v>0</v>
      </c>
      <c r="AQ30" s="45">
        <f ca="1">MIN(AM30,Inputs!$B$36-AO30-AP30)</f>
        <v>0</v>
      </c>
      <c r="AR30" s="45">
        <f t="shared" ca="1" si="11"/>
        <v>0</v>
      </c>
      <c r="AS30" s="45">
        <f t="shared" ca="1" si="12"/>
        <v>0</v>
      </c>
      <c r="AT30" s="45">
        <f t="shared" ca="1" si="13"/>
        <v>0</v>
      </c>
      <c r="AU30" s="45">
        <f t="shared" ca="1" si="14"/>
        <v>0</v>
      </c>
      <c r="AV30" s="46">
        <f ca="1">AU30*Inputs!$B$35</f>
        <v>0</v>
      </c>
      <c r="AW30" s="46">
        <f ca="1">AR30*Inputs!$C$6+AT30*Inputs!$C$7+AS30*Inputs!$C$8</f>
        <v>0</v>
      </c>
      <c r="AX30" s="46">
        <f t="shared" ca="1" si="15"/>
        <v>47356590.803448893</v>
      </c>
      <c r="AY30" s="46">
        <f ca="1">IF(J30&gt;1,($CD$4)*Inputs!$B$55*((Z30+AA30+AB30)/(SUM(ILP_A_CostFocused!$C$9:$E$13))),0)</f>
        <v>0</v>
      </c>
      <c r="AZ30" s="46">
        <f t="shared" ca="1" si="16"/>
        <v>0</v>
      </c>
      <c r="BA30" s="41">
        <f t="shared" ca="1" si="17"/>
        <v>0</v>
      </c>
      <c r="BB30" s="41">
        <f t="shared" ca="1" si="18"/>
        <v>1</v>
      </c>
      <c r="BC30" s="41">
        <f t="shared" ca="1" si="19"/>
        <v>1</v>
      </c>
      <c r="BD30" s="41">
        <f t="shared" ca="1" si="20"/>
        <v>1</v>
      </c>
    </row>
    <row r="31" spans="1:56" ht="15" customHeight="1" x14ac:dyDescent="0.3">
      <c r="A31" s="41">
        <v>24</v>
      </c>
      <c r="B31" s="42">
        <f t="shared" ca="1" si="0"/>
        <v>0.11996697524552091</v>
      </c>
      <c r="C31" s="43">
        <f ca="1">IF(B31&lt;=Inputs!$C$40,Inputs!$D$40,IF(B31&lt;=Inputs!$C$41,Inputs!$D$41,Inputs!$D$42))</f>
        <v>0.9</v>
      </c>
      <c r="D31" s="42">
        <f t="shared" ca="1" si="23"/>
        <v>0.7845913543816464</v>
      </c>
      <c r="E31" s="42">
        <f t="shared" ca="1" si="23"/>
        <v>0.45883603515722871</v>
      </c>
      <c r="F31" s="42">
        <f t="shared" ca="1" si="23"/>
        <v>0.51949081168560118</v>
      </c>
      <c r="G31" s="42">
        <f t="shared" ca="1" si="23"/>
        <v>0.35067261811277917</v>
      </c>
      <c r="H31" s="42">
        <f t="shared" ca="1" si="23"/>
        <v>0.18233271476549873</v>
      </c>
      <c r="I31" s="42">
        <f t="shared" ca="1" si="23"/>
        <v>0.61106782763703582</v>
      </c>
      <c r="J31" s="43">
        <f ca="1">IF(I31&lt;Inputs!$B$54,1+Inputs!$B$55,1)</f>
        <v>1</v>
      </c>
      <c r="K31" s="42">
        <f t="shared" ca="1" si="24"/>
        <v>0.72139129569035543</v>
      </c>
      <c r="L31" s="42">
        <f t="shared" ca="1" si="24"/>
        <v>8.5775984781996994E-2</v>
      </c>
      <c r="M31" s="42">
        <f t="shared" ca="1" si="24"/>
        <v>0.2041773431617262</v>
      </c>
      <c r="N31" s="42">
        <f t="shared" ca="1" si="24"/>
        <v>0.74894942282441379</v>
      </c>
      <c r="O31" s="42">
        <f t="shared" ca="1" si="24"/>
        <v>0.32807605042228061</v>
      </c>
      <c r="P31" s="42">
        <f t="shared" ca="1" si="24"/>
        <v>0.49345953934405984</v>
      </c>
      <c r="Q31" s="42">
        <f t="shared" ca="1" si="24"/>
        <v>5.9444405863284699E-2</v>
      </c>
      <c r="R31" s="42">
        <f t="shared" ca="1" si="24"/>
        <v>0.1873606084174948</v>
      </c>
      <c r="S31" s="42">
        <f t="shared" ca="1" si="24"/>
        <v>0.32863075808031861</v>
      </c>
      <c r="T31" s="42">
        <f t="shared" ca="1" si="24"/>
        <v>0.63687578363962705</v>
      </c>
      <c r="U31" s="44">
        <f ca="1">(IF(D31&gt;=Inputs!$E$12,1,IF(K31&lt;=Inputs!$C$46,Inputs!$D$46,IF(K31&lt;=Inputs!$C$47,Inputs!$D$47,Inputs!$D$48))))*((Inputs!$B$28+(P31-0.5)*2*Inputs!$B$53)/Inputs!$B$28)</f>
        <v>0.99993380100550677</v>
      </c>
      <c r="V31" s="44">
        <f ca="1">(IF(E31&gt;=Inputs!$E$13,1,IF(L31&lt;=Inputs!$C$46,Inputs!$D$46,IF(L31&lt;=Inputs!$C$47,Inputs!$D$47,Inputs!$D$48))))*((Inputs!$B$29+(Q31-0.5)*2*Inputs!$B$53)/Inputs!$B$29)</f>
        <v>0.99555891538168628</v>
      </c>
      <c r="W31" s="44">
        <f ca="1">(IF(F31&gt;=Inputs!$E$14,1,IF(M31&lt;=Inputs!$C$46,Inputs!$D$46,IF(M31&lt;=Inputs!$C$47,Inputs!$D$47,Inputs!$D$48))))*((Inputs!$B$30+(R31-0.5)*2*Inputs!$B$53)/Inputs!$B$30)</f>
        <v>0.9968578955619849</v>
      </c>
      <c r="X31" s="44">
        <f ca="1">(IF(G31&gt;=Inputs!$E$15,1,IF(N31&lt;=Inputs!$C$46,Inputs!$D$46,IF(N31&lt;=Inputs!$C$47,Inputs!$D$47,Inputs!$D$48))))*((Inputs!$B$31+(S31-0.5)*2*Inputs!$B$53)/Inputs!$B$31)</f>
        <v>0.99826021074193216</v>
      </c>
      <c r="Y31" s="44">
        <f ca="1">(IF(H31&gt;=Inputs!$E$16,1,IF(O31&lt;=Inputs!$C$46,Inputs!$D$46,IF(O31&lt;=Inputs!$C$47,Inputs!$D$47,Inputs!$D$48))))*((Inputs!$B$32+(T31-0.5)*2*Inputs!$B$53)/Inputs!$B$32)</f>
        <v>1.0013770199561329</v>
      </c>
      <c r="Z31" s="45">
        <f ca="1">ILP_A_CostFocused!$C$9*U31+ILP_A_CostFocused!$C$10*V31+ILP_A_CostFocused!$C$11*W31+ILP_A_CostFocused!$C$12*X31+ILP_A_CostFocused!$C$13*Y31</f>
        <v>17980.348653317618</v>
      </c>
      <c r="AA31" s="45">
        <f ca="1">ILP_A_CostFocused!$D$9*U31+ILP_A_CostFocused!$D$10*V31+ILP_A_CostFocused!$D$11*W31+ILP_A_CostFocused!$D$12*X31+ILP_A_CostFocused!$D$13*Y31</f>
        <v>14942.607973290633</v>
      </c>
      <c r="AB31" s="45">
        <f ca="1">ILP_A_CostFocused!$E$9*U31+ILP_A_CostFocused!$E$10*V31+ILP_A_CostFocused!$E$11*W31+ILP_A_CostFocused!$E$12*X31+ILP_A_CostFocused!$E$13*Y31</f>
        <v>11978.206161071743</v>
      </c>
      <c r="AC31" s="45">
        <f ca="1">Inputs!$B$6*$C31</f>
        <v>16200</v>
      </c>
      <c r="AD31" s="45">
        <f ca="1">Inputs!$B$7*$C31</f>
        <v>13500</v>
      </c>
      <c r="AE31" s="45">
        <f ca="1">Inputs!$B$8*$C31</f>
        <v>10800</v>
      </c>
      <c r="AF31" s="45">
        <f t="shared" ca="1" si="3"/>
        <v>0</v>
      </c>
      <c r="AG31" s="45">
        <f t="shared" ca="1" si="4"/>
        <v>0</v>
      </c>
      <c r="AH31" s="45">
        <f t="shared" ca="1" si="5"/>
        <v>0</v>
      </c>
      <c r="AI31" s="45">
        <f t="shared" ca="1" si="6"/>
        <v>0</v>
      </c>
      <c r="AJ31" s="45">
        <f ca="1">U31*(Inputs!$B$12-ILP_A_CostFocused!$F$9)+V31*(Inputs!$B$13-ILP_A_CostFocused!$F$10)+W31*(Inputs!$B$14-ILP_A_CostFocused!$F$11)+X31*(Inputs!$B$15-ILP_A_CostFocused!$F$12)+Y31*(Inputs!$B$16-ILP_A_CostFocused!$F$13)</f>
        <v>24994.533314302706</v>
      </c>
      <c r="AK31" s="45">
        <f t="shared" ca="1" si="7"/>
        <v>0</v>
      </c>
      <c r="AL31" s="45">
        <f t="shared" ca="1" si="8"/>
        <v>0</v>
      </c>
      <c r="AM31" s="45">
        <f t="shared" ca="1" si="9"/>
        <v>0</v>
      </c>
      <c r="AN31" s="45">
        <f t="shared" ca="1" si="10"/>
        <v>0</v>
      </c>
      <c r="AO31" s="45">
        <f ca="1">MIN(AL31,Inputs!$B$36)</f>
        <v>0</v>
      </c>
      <c r="AP31" s="45">
        <f ca="1">MIN(AN31,Inputs!$B$36-AO31)</f>
        <v>0</v>
      </c>
      <c r="AQ31" s="45">
        <f ca="1">MIN(AM31,Inputs!$B$36-AO31-AP31)</f>
        <v>0</v>
      </c>
      <c r="AR31" s="45">
        <f t="shared" ca="1" si="11"/>
        <v>0</v>
      </c>
      <c r="AS31" s="45">
        <f t="shared" ca="1" si="12"/>
        <v>0</v>
      </c>
      <c r="AT31" s="45">
        <f t="shared" ca="1" si="13"/>
        <v>0</v>
      </c>
      <c r="AU31" s="45">
        <f t="shared" ca="1" si="14"/>
        <v>0</v>
      </c>
      <c r="AV31" s="46">
        <f ca="1">AU31*Inputs!$B$35</f>
        <v>0</v>
      </c>
      <c r="AW31" s="46">
        <f ca="1">AR31*Inputs!$C$6+AT31*Inputs!$C$7+AS31*Inputs!$C$8</f>
        <v>0</v>
      </c>
      <c r="AX31" s="46">
        <f t="shared" ca="1" si="15"/>
        <v>47287979.646481946</v>
      </c>
      <c r="AY31" s="46">
        <f ca="1">IF(J31&gt;1,($CD$4)*Inputs!$B$55*((Z31+AA31+AB31)/(SUM(ILP_A_CostFocused!$C$9:$E$13))),0)</f>
        <v>0</v>
      </c>
      <c r="AZ31" s="46">
        <f t="shared" ca="1" si="16"/>
        <v>0</v>
      </c>
      <c r="BA31" s="41">
        <f t="shared" ca="1" si="17"/>
        <v>0</v>
      </c>
      <c r="BB31" s="41">
        <f t="shared" ca="1" si="18"/>
        <v>1</v>
      </c>
      <c r="BC31" s="41">
        <f t="shared" ca="1" si="19"/>
        <v>1</v>
      </c>
      <c r="BD31" s="41">
        <f t="shared" ca="1" si="20"/>
        <v>1</v>
      </c>
    </row>
    <row r="32" spans="1:56" ht="15" customHeight="1" x14ac:dyDescent="0.3">
      <c r="A32" s="41">
        <v>25</v>
      </c>
      <c r="B32" s="42">
        <f t="shared" ca="1" si="0"/>
        <v>0.35249513193333337</v>
      </c>
      <c r="C32" s="43">
        <f ca="1">IF(B32&lt;=Inputs!$C$40,Inputs!$D$40,IF(B32&lt;=Inputs!$C$41,Inputs!$D$41,Inputs!$D$42))</f>
        <v>1</v>
      </c>
      <c r="D32" s="42">
        <f t="shared" ca="1" si="23"/>
        <v>0.34311429427911899</v>
      </c>
      <c r="E32" s="42">
        <f t="shared" ca="1" si="23"/>
        <v>0.10694273879917349</v>
      </c>
      <c r="F32" s="42">
        <f t="shared" ca="1" si="23"/>
        <v>0.67069686451780963</v>
      </c>
      <c r="G32" s="42">
        <f t="shared" ca="1" si="23"/>
        <v>0.43254363936998885</v>
      </c>
      <c r="H32" s="42">
        <f t="shared" ca="1" si="23"/>
        <v>0.21794678551401081</v>
      </c>
      <c r="I32" s="42">
        <f t="shared" ca="1" si="23"/>
        <v>8.1351449558891953E-2</v>
      </c>
      <c r="J32" s="43">
        <f ca="1">IF(I32&lt;Inputs!$B$54,1+Inputs!$B$55,1)</f>
        <v>1</v>
      </c>
      <c r="K32" s="42">
        <f t="shared" ca="1" si="24"/>
        <v>0.55424791519242778</v>
      </c>
      <c r="L32" s="42">
        <f t="shared" ca="1" si="24"/>
        <v>0.83711697619959602</v>
      </c>
      <c r="M32" s="42">
        <f t="shared" ca="1" si="24"/>
        <v>4.9015011320912127E-2</v>
      </c>
      <c r="N32" s="42">
        <f t="shared" ca="1" si="24"/>
        <v>0.84518846554607363</v>
      </c>
      <c r="O32" s="42">
        <f t="shared" ca="1" si="24"/>
        <v>0.32596804547078684</v>
      </c>
      <c r="P32" s="42">
        <f t="shared" ca="1" si="24"/>
        <v>0.48271196295524754</v>
      </c>
      <c r="Q32" s="42">
        <f t="shared" ca="1" si="24"/>
        <v>0.63083542740706744</v>
      </c>
      <c r="R32" s="42">
        <f t="shared" ca="1" si="24"/>
        <v>0.36046150094730089</v>
      </c>
      <c r="S32" s="42">
        <f t="shared" ca="1" si="24"/>
        <v>0.18815902761011505</v>
      </c>
      <c r="T32" s="42">
        <f t="shared" ca="1" si="24"/>
        <v>0.6018006538568319</v>
      </c>
      <c r="U32" s="44">
        <f ca="1">(IF(D32&gt;=Inputs!$E$12,1,IF(K32&lt;=Inputs!$C$46,Inputs!$D$46,IF(K32&lt;=Inputs!$C$47,Inputs!$D$47,Inputs!$D$48))))*((Inputs!$B$28+(P32-0.5)*2*Inputs!$B$53)/Inputs!$B$28)</f>
        <v>0.99982501986796812</v>
      </c>
      <c r="V32" s="44">
        <f ca="1">(IF(E32&gt;=Inputs!$E$13,1,IF(L32&lt;=Inputs!$C$46,Inputs!$D$46,IF(L32&lt;=Inputs!$C$47,Inputs!$D$47,Inputs!$D$48))))*((Inputs!$B$29+(Q32-0.5)*2*Inputs!$B$53)/Inputs!$B$29)</f>
        <v>0</v>
      </c>
      <c r="W32" s="44">
        <f ca="1">(IF(F32&gt;=Inputs!$E$14,1,IF(M32&lt;=Inputs!$C$46,Inputs!$D$46,IF(M32&lt;=Inputs!$C$47,Inputs!$D$47,Inputs!$D$48))))*((Inputs!$B$30+(R32-0.5)*2*Inputs!$B$53)/Inputs!$B$30)</f>
        <v>0.99859760302459599</v>
      </c>
      <c r="X32" s="44">
        <f ca="1">(IF(G32&gt;=Inputs!$E$15,1,IF(N32&lt;=Inputs!$C$46,Inputs!$D$46,IF(N32&lt;=Inputs!$C$47,Inputs!$D$47,Inputs!$D$48))))*((Inputs!$B$31+(S32-0.5)*2*Inputs!$B$53)/Inputs!$B$31)</f>
        <v>0.99683410180314835</v>
      </c>
      <c r="Y32" s="44">
        <f ca="1">(IF(H32&gt;=Inputs!$E$16,1,IF(O32&lt;=Inputs!$C$46,Inputs!$D$46,IF(O32&lt;=Inputs!$C$47,Inputs!$D$47,Inputs!$D$48))))*((Inputs!$B$32+(T32-0.5)*2*Inputs!$B$53)/Inputs!$B$32)</f>
        <v>1.0010241514472518</v>
      </c>
      <c r="Z32" s="45">
        <f ca="1">ILP_A_CostFocused!$C$9*U32+ILP_A_CostFocused!$C$10*V32+ILP_A_CostFocused!$C$11*W32+ILP_A_CostFocused!$C$12*X32+ILP_A_CostFocused!$C$13*Y32</f>
        <v>17876.56384077499</v>
      </c>
      <c r="AA32" s="45">
        <f ca="1">ILP_A_CostFocused!$D$9*U32+ILP_A_CostFocused!$D$10*V32+ILP_A_CostFocused!$D$11*W32+ILP_A_CostFocused!$D$12*X32+ILP_A_CostFocused!$D$13*Y32</f>
        <v>5989.7868469016994</v>
      </c>
      <c r="AB32" s="45">
        <f ca="1">ILP_A_CostFocused!$E$9*U32+ILP_A_CostFocused!$E$10*V32+ILP_A_CostFocused!$E$11*W32+ILP_A_CostFocused!$E$12*X32+ILP_A_CostFocused!$E$13*Y32</f>
        <v>7198.7401430493701</v>
      </c>
      <c r="AC32" s="45">
        <f ca="1">Inputs!$B$6*$C32</f>
        <v>18000</v>
      </c>
      <c r="AD32" s="45">
        <f ca="1">Inputs!$B$7*$C32</f>
        <v>15000</v>
      </c>
      <c r="AE32" s="45">
        <f ca="1">Inputs!$B$8*$C32</f>
        <v>12000</v>
      </c>
      <c r="AF32" s="45">
        <f t="shared" ca="1" si="3"/>
        <v>123.43615922500976</v>
      </c>
      <c r="AG32" s="45">
        <f t="shared" ca="1" si="4"/>
        <v>9010.2131530983006</v>
      </c>
      <c r="AH32" s="45">
        <f t="shared" ca="1" si="5"/>
        <v>4801.2598569506299</v>
      </c>
      <c r="AI32" s="45">
        <f t="shared" ca="1" si="6"/>
        <v>13934.90916927394</v>
      </c>
      <c r="AJ32" s="45">
        <f ca="1">U32*(Inputs!$B$12-ILP_A_CostFocused!$F$9)+V32*(Inputs!$B$13-ILP_A_CostFocused!$F$10)+W32*(Inputs!$B$14-ILP_A_CostFocused!$F$11)+X32*(Inputs!$B$15-ILP_A_CostFocused!$F$12)+Y32*(Inputs!$B$16-ILP_A_CostFocused!$F$13)</f>
        <v>24891.249819827732</v>
      </c>
      <c r="AK32" s="45">
        <f t="shared" ca="1" si="7"/>
        <v>13934.90916927394</v>
      </c>
      <c r="AL32" s="45">
        <f t="shared" ca="1" si="8"/>
        <v>0</v>
      </c>
      <c r="AM32" s="45">
        <f t="shared" ca="1" si="9"/>
        <v>0</v>
      </c>
      <c r="AN32" s="45">
        <f t="shared" ca="1" si="10"/>
        <v>0</v>
      </c>
      <c r="AO32" s="45">
        <f ca="1">MIN(AL32,Inputs!$B$36)</f>
        <v>0</v>
      </c>
      <c r="AP32" s="45">
        <f ca="1">MIN(AN32,Inputs!$B$36-AO32)</f>
        <v>0</v>
      </c>
      <c r="AQ32" s="45">
        <f ca="1">MIN(AM32,Inputs!$B$36-AO32-AP32)</f>
        <v>0</v>
      </c>
      <c r="AR32" s="45">
        <f t="shared" ca="1" si="11"/>
        <v>0</v>
      </c>
      <c r="AS32" s="45">
        <f t="shared" ca="1" si="12"/>
        <v>0</v>
      </c>
      <c r="AT32" s="45">
        <f t="shared" ca="1" si="13"/>
        <v>0</v>
      </c>
      <c r="AU32" s="45">
        <f t="shared" ca="1" si="14"/>
        <v>0</v>
      </c>
      <c r="AV32" s="46">
        <f ca="1">AU32*Inputs!$B$35</f>
        <v>0</v>
      </c>
      <c r="AW32" s="46">
        <f ca="1">AR32*Inputs!$C$6+AT32*Inputs!$C$7+AS32*Inputs!$C$8</f>
        <v>0</v>
      </c>
      <c r="AX32" s="46">
        <f t="shared" ca="1" si="15"/>
        <v>32557147.148721412</v>
      </c>
      <c r="AY32" s="46">
        <f ca="1">IF(J32&gt;1,($CD$4)*Inputs!$B$55*((Z32+AA32+AB32)/(SUM(ILP_A_CostFocused!$C$9:$E$13))),0)</f>
        <v>0</v>
      </c>
      <c r="AZ32" s="46">
        <f t="shared" ca="1" si="16"/>
        <v>0</v>
      </c>
      <c r="BA32" s="41">
        <f t="shared" ca="1" si="17"/>
        <v>0</v>
      </c>
      <c r="BB32" s="41">
        <f t="shared" ca="1" si="18"/>
        <v>1</v>
      </c>
      <c r="BC32" s="41">
        <f t="shared" ca="1" si="19"/>
        <v>1</v>
      </c>
      <c r="BD32" s="41">
        <f t="shared" ca="1" si="20"/>
        <v>1</v>
      </c>
    </row>
    <row r="33" spans="1:56" ht="15" customHeight="1" x14ac:dyDescent="0.3">
      <c r="A33" s="41">
        <v>26</v>
      </c>
      <c r="B33" s="42">
        <f t="shared" ca="1" si="0"/>
        <v>0.11317392037658103</v>
      </c>
      <c r="C33" s="43">
        <f ca="1">IF(B33&lt;=Inputs!$C$40,Inputs!$D$40,IF(B33&lt;=Inputs!$C$41,Inputs!$D$41,Inputs!$D$42))</f>
        <v>0.9</v>
      </c>
      <c r="D33" s="42">
        <f t="shared" ca="1" si="23"/>
        <v>0.28780405827762445</v>
      </c>
      <c r="E33" s="42">
        <f t="shared" ca="1" si="23"/>
        <v>0.33788929179335625</v>
      </c>
      <c r="F33" s="42">
        <f t="shared" ca="1" si="23"/>
        <v>0.92465951315833816</v>
      </c>
      <c r="G33" s="42">
        <f t="shared" ca="1" si="23"/>
        <v>0.8445497409789019</v>
      </c>
      <c r="H33" s="42">
        <f t="shared" ca="1" si="23"/>
        <v>0.91141026841023665</v>
      </c>
      <c r="I33" s="42">
        <f t="shared" ca="1" si="23"/>
        <v>0.52162005096584207</v>
      </c>
      <c r="J33" s="43">
        <f ca="1">IF(I33&lt;Inputs!$B$54,1+Inputs!$B$55,1)</f>
        <v>1</v>
      </c>
      <c r="K33" s="42">
        <f t="shared" ca="1" si="24"/>
        <v>0.30007711675578086</v>
      </c>
      <c r="L33" s="42">
        <f t="shared" ca="1" si="24"/>
        <v>0.49258825325428579</v>
      </c>
      <c r="M33" s="42">
        <f t="shared" ca="1" si="24"/>
        <v>0.14498935560250092</v>
      </c>
      <c r="N33" s="42">
        <f t="shared" ca="1" si="24"/>
        <v>0.42033628056062122</v>
      </c>
      <c r="O33" s="42">
        <f t="shared" ca="1" si="24"/>
        <v>0.67833289111378536</v>
      </c>
      <c r="P33" s="42">
        <f t="shared" ca="1" si="24"/>
        <v>0.72515508470296586</v>
      </c>
      <c r="Q33" s="42">
        <f t="shared" ca="1" si="24"/>
        <v>0.64780931106287765</v>
      </c>
      <c r="R33" s="42">
        <f t="shared" ca="1" si="24"/>
        <v>0.38893731345495552</v>
      </c>
      <c r="S33" s="42">
        <f t="shared" ca="1" si="24"/>
        <v>0.47662172281272097</v>
      </c>
      <c r="T33" s="42">
        <f t="shared" ca="1" si="24"/>
        <v>0.53354966058544229</v>
      </c>
      <c r="U33" s="44">
        <f ca="1">(IF(D33&gt;=Inputs!$E$12,1,IF(K33&lt;=Inputs!$C$46,Inputs!$D$46,IF(K33&lt;=Inputs!$C$47,Inputs!$D$47,Inputs!$D$48))))*((Inputs!$B$28+(P33-0.5)*2*Inputs!$B$53)/Inputs!$B$28)</f>
        <v>1.0022788976184511</v>
      </c>
      <c r="V33" s="44">
        <f ca="1">(IF(E33&gt;=Inputs!$E$13,1,IF(L33&lt;=Inputs!$C$46,Inputs!$D$46,IF(L33&lt;=Inputs!$C$47,Inputs!$D$47,Inputs!$D$48))))*((Inputs!$B$29+(Q33-0.5)*2*Inputs!$B$53)/Inputs!$B$29)</f>
        <v>1.0014900132163596</v>
      </c>
      <c r="W33" s="44">
        <f ca="1">(IF(F33&gt;=Inputs!$E$14,1,IF(M33&lt;=Inputs!$C$46,Inputs!$D$46,IF(M33&lt;=Inputs!$C$47,Inputs!$D$47,Inputs!$D$48))))*((Inputs!$B$30+(R33-0.5)*2*Inputs!$B$53)/Inputs!$B$30)</f>
        <v>0.99888379209502465</v>
      </c>
      <c r="X33" s="44">
        <f ca="1">(IF(G33&gt;=Inputs!$E$15,1,IF(N33&lt;=Inputs!$C$46,Inputs!$D$46,IF(N33&lt;=Inputs!$C$47,Inputs!$D$47,Inputs!$D$48))))*((Inputs!$B$31+(S33-0.5)*2*Inputs!$B$53)/Inputs!$B$31)</f>
        <v>0.99976265708439305</v>
      </c>
      <c r="Y33" s="44">
        <f ca="1">(IF(H33&gt;=Inputs!$E$16,1,IF(O33&lt;=Inputs!$C$46,Inputs!$D$46,IF(O33&lt;=Inputs!$C$47,Inputs!$D$47,Inputs!$D$48))))*((Inputs!$B$32+(T33-0.5)*2*Inputs!$B$53)/Inputs!$B$32)</f>
        <v>1.000337521736272</v>
      </c>
      <c r="Z33" s="45">
        <f ca="1">ILP_A_CostFocused!$C$9*U33+ILP_A_CostFocused!$C$10*V33+ILP_A_CostFocused!$C$11*W33+ILP_A_CostFocused!$C$12*X33+ILP_A_CostFocused!$C$13*Y33</f>
        <v>18013.775337536907</v>
      </c>
      <c r="AA33" s="45">
        <f ca="1">ILP_A_CostFocused!$D$9*U33+ILP_A_CostFocused!$D$10*V33+ILP_A_CostFocused!$D$11*W33+ILP_A_CostFocused!$D$12*X33+ILP_A_CostFocused!$D$13*Y33</f>
        <v>15007.609313806539</v>
      </c>
      <c r="AB33" s="45">
        <f ca="1">ILP_A_CostFocused!$E$9*U33+ILP_A_CostFocused!$E$10*V33+ILP_A_CostFocused!$E$11*W33+ILP_A_CostFocused!$E$12*X33+ILP_A_CostFocused!$E$13*Y33</f>
        <v>12023.560126291373</v>
      </c>
      <c r="AC33" s="45">
        <f ca="1">Inputs!$B$6*$C33</f>
        <v>16200</v>
      </c>
      <c r="AD33" s="45">
        <f ca="1">Inputs!$B$7*$C33</f>
        <v>13500</v>
      </c>
      <c r="AE33" s="45">
        <f ca="1">Inputs!$B$8*$C33</f>
        <v>10800</v>
      </c>
      <c r="AF33" s="45">
        <f t="shared" ca="1" si="3"/>
        <v>0</v>
      </c>
      <c r="AG33" s="45">
        <f t="shared" ca="1" si="4"/>
        <v>0</v>
      </c>
      <c r="AH33" s="45">
        <f t="shared" ca="1" si="5"/>
        <v>0</v>
      </c>
      <c r="AI33" s="45">
        <f t="shared" ca="1" si="6"/>
        <v>0</v>
      </c>
      <c r="AJ33" s="45">
        <f ca="1">U33*(Inputs!$B$12-ILP_A_CostFocused!$F$9)+V33*(Inputs!$B$13-ILP_A_CostFocused!$F$10)+W33*(Inputs!$B$14-ILP_A_CostFocused!$F$11)+X33*(Inputs!$B$15-ILP_A_CostFocused!$F$12)+Y33*(Inputs!$B$16-ILP_A_CostFocused!$F$13)</f>
        <v>25000.081777581545</v>
      </c>
      <c r="AK33" s="45">
        <f t="shared" ca="1" si="7"/>
        <v>0</v>
      </c>
      <c r="AL33" s="45">
        <f t="shared" ca="1" si="8"/>
        <v>0</v>
      </c>
      <c r="AM33" s="45">
        <f t="shared" ca="1" si="9"/>
        <v>0</v>
      </c>
      <c r="AN33" s="45">
        <f t="shared" ca="1" si="10"/>
        <v>0</v>
      </c>
      <c r="AO33" s="45">
        <f ca="1">MIN(AL33,Inputs!$B$36)</f>
        <v>0</v>
      </c>
      <c r="AP33" s="45">
        <f ca="1">MIN(AN33,Inputs!$B$36-AO33)</f>
        <v>0</v>
      </c>
      <c r="AQ33" s="45">
        <f ca="1">MIN(AM33,Inputs!$B$36-AO33-AP33)</f>
        <v>0</v>
      </c>
      <c r="AR33" s="45">
        <f t="shared" ca="1" si="11"/>
        <v>0</v>
      </c>
      <c r="AS33" s="45">
        <f t="shared" ca="1" si="12"/>
        <v>0</v>
      </c>
      <c r="AT33" s="45">
        <f t="shared" ca="1" si="13"/>
        <v>0</v>
      </c>
      <c r="AU33" s="45">
        <f t="shared" ca="1" si="14"/>
        <v>0</v>
      </c>
      <c r="AV33" s="46">
        <f ca="1">AU33*Inputs!$B$35</f>
        <v>0</v>
      </c>
      <c r="AW33" s="46">
        <f ca="1">AR33*Inputs!$C$6+AT33*Inputs!$C$7+AS33*Inputs!$C$8</f>
        <v>0</v>
      </c>
      <c r="AX33" s="46">
        <f t="shared" ca="1" si="15"/>
        <v>47440179.777209856</v>
      </c>
      <c r="AY33" s="46">
        <f ca="1">IF(J33&gt;1,($CD$4)*Inputs!$B$55*((Z33+AA33+AB33)/(SUM(ILP_A_CostFocused!$C$9:$E$13))),0)</f>
        <v>0</v>
      </c>
      <c r="AZ33" s="46">
        <f t="shared" ca="1" si="16"/>
        <v>0</v>
      </c>
      <c r="BA33" s="41">
        <f t="shared" ca="1" si="17"/>
        <v>0</v>
      </c>
      <c r="BB33" s="41">
        <f t="shared" ca="1" si="18"/>
        <v>1</v>
      </c>
      <c r="BC33" s="41">
        <f t="shared" ca="1" si="19"/>
        <v>1</v>
      </c>
      <c r="BD33" s="41">
        <f t="shared" ca="1" si="20"/>
        <v>1</v>
      </c>
    </row>
    <row r="34" spans="1:56" ht="15" customHeight="1" x14ac:dyDescent="0.3">
      <c r="A34" s="41">
        <v>27</v>
      </c>
      <c r="B34" s="42">
        <f t="shared" ca="1" si="0"/>
        <v>2.8597348228795894E-2</v>
      </c>
      <c r="C34" s="43">
        <f ca="1">IF(B34&lt;=Inputs!$C$40,Inputs!$D$40,IF(B34&lt;=Inputs!$C$41,Inputs!$D$41,Inputs!$D$42))</f>
        <v>0.9</v>
      </c>
      <c r="D34" s="42">
        <f t="shared" ca="1" si="23"/>
        <v>0.10198135788349871</v>
      </c>
      <c r="E34" s="42">
        <f t="shared" ca="1" si="23"/>
        <v>0.20832246670301613</v>
      </c>
      <c r="F34" s="42">
        <f t="shared" ca="1" si="23"/>
        <v>0.50191478089904729</v>
      </c>
      <c r="G34" s="42">
        <f t="shared" ca="1" si="23"/>
        <v>0.81372892852306289</v>
      </c>
      <c r="H34" s="42">
        <f t="shared" ca="1" si="23"/>
        <v>0.87883439004389363</v>
      </c>
      <c r="I34" s="42">
        <f t="shared" ca="1" si="23"/>
        <v>0.36675206494116053</v>
      </c>
      <c r="J34" s="43">
        <f ca="1">IF(I34&lt;Inputs!$B$54,1+Inputs!$B$55,1)</f>
        <v>1</v>
      </c>
      <c r="K34" s="42">
        <f t="shared" ca="1" si="24"/>
        <v>0.24330993945160273</v>
      </c>
      <c r="L34" s="42">
        <f t="shared" ca="1" si="24"/>
        <v>0.30401782401079391</v>
      </c>
      <c r="M34" s="42">
        <f t="shared" ca="1" si="24"/>
        <v>0.19857220824815747</v>
      </c>
      <c r="N34" s="42">
        <f t="shared" ca="1" si="24"/>
        <v>0.75514242166638057</v>
      </c>
      <c r="O34" s="42">
        <f t="shared" ca="1" si="24"/>
        <v>0.51153639987882504</v>
      </c>
      <c r="P34" s="42">
        <f t="shared" ca="1" si="24"/>
        <v>0.70602770012842242</v>
      </c>
      <c r="Q34" s="42">
        <f t="shared" ca="1" si="24"/>
        <v>0.13561888106413311</v>
      </c>
      <c r="R34" s="42">
        <f t="shared" ca="1" si="24"/>
        <v>0.4786998517938732</v>
      </c>
      <c r="S34" s="42">
        <f t="shared" ca="1" si="24"/>
        <v>0.64216508568604502</v>
      </c>
      <c r="T34" s="42">
        <f t="shared" ca="1" si="24"/>
        <v>0.25494578172162374</v>
      </c>
      <c r="U34" s="44">
        <f ca="1">(IF(D34&gt;=Inputs!$E$12,1,IF(K34&lt;=Inputs!$C$46,Inputs!$D$46,IF(K34&lt;=Inputs!$C$47,Inputs!$D$47,Inputs!$D$48))))*((Inputs!$B$28+(P34-0.5)*2*Inputs!$B$53)/Inputs!$B$28)</f>
        <v>1.0020853006085872</v>
      </c>
      <c r="V34" s="44">
        <f ca="1">(IF(E34&gt;=Inputs!$E$13,1,IF(L34&lt;=Inputs!$C$46,Inputs!$D$46,IF(L34&lt;=Inputs!$C$47,Inputs!$D$47,Inputs!$D$48))))*((Inputs!$B$29+(Q34-0.5)*2*Inputs!$B$53)/Inputs!$B$29)</f>
        <v>0.99632680323653366</v>
      </c>
      <c r="W34" s="44">
        <f ca="1">(IF(F34&gt;=Inputs!$E$14,1,IF(M34&lt;=Inputs!$C$46,Inputs!$D$46,IF(M34&lt;=Inputs!$C$47,Inputs!$D$47,Inputs!$D$48))))*((Inputs!$B$30+(R34-0.5)*2*Inputs!$B$53)/Inputs!$B$30)</f>
        <v>0.99978592815873235</v>
      </c>
      <c r="X34" s="44">
        <f ca="1">(IF(G34&gt;=Inputs!$E$15,1,IF(N34&lt;=Inputs!$C$46,Inputs!$D$46,IF(N34&lt;=Inputs!$C$47,Inputs!$D$47,Inputs!$D$48))))*((Inputs!$B$31+(S34-0.5)*2*Inputs!$B$53)/Inputs!$B$31)</f>
        <v>1.0014433003622949</v>
      </c>
      <c r="Y34" s="44">
        <f ca="1">(IF(H34&gt;=Inputs!$E$16,1,IF(O34&lt;=Inputs!$C$46,Inputs!$D$46,IF(O34&lt;=Inputs!$C$47,Inputs!$D$47,Inputs!$D$48))))*((Inputs!$B$32+(T34-0.5)*2*Inputs!$B$53)/Inputs!$B$32)</f>
        <v>0.99753466581208883</v>
      </c>
      <c r="Z34" s="45">
        <f ca="1">ILP_A_CostFocused!$C$9*U34+ILP_A_CostFocused!$C$10*V34+ILP_A_CostFocused!$C$11*W34+ILP_A_CostFocused!$C$12*X34+ILP_A_CostFocused!$C$13*Y34</f>
        <v>18030.095060525869</v>
      </c>
      <c r="AA34" s="45">
        <f ca="1">ILP_A_CostFocused!$D$9*U34+ILP_A_CostFocused!$D$10*V34+ILP_A_CostFocused!$D$11*W34+ILP_A_CostFocused!$D$12*X34+ILP_A_CostFocused!$D$13*Y34</f>
        <v>14967.347317728831</v>
      </c>
      <c r="AB34" s="45">
        <f ca="1">ILP_A_CostFocused!$E$9*U34+ILP_A_CostFocused!$E$10*V34+ILP_A_CostFocused!$E$11*W34+ILP_A_CostFocused!$E$12*X34+ILP_A_CostFocused!$E$13*Y34</f>
        <v>11997.382819917189</v>
      </c>
      <c r="AC34" s="45">
        <f ca="1">Inputs!$B$6*$C34</f>
        <v>16200</v>
      </c>
      <c r="AD34" s="45">
        <f ca="1">Inputs!$B$7*$C34</f>
        <v>13500</v>
      </c>
      <c r="AE34" s="45">
        <f ca="1">Inputs!$B$8*$C34</f>
        <v>10800</v>
      </c>
      <c r="AF34" s="45">
        <f t="shared" ca="1" si="3"/>
        <v>0</v>
      </c>
      <c r="AG34" s="45">
        <f t="shared" ca="1" si="4"/>
        <v>0</v>
      </c>
      <c r="AH34" s="45">
        <f t="shared" ca="1" si="5"/>
        <v>0</v>
      </c>
      <c r="AI34" s="45">
        <f t="shared" ca="1" si="6"/>
        <v>0</v>
      </c>
      <c r="AJ34" s="45">
        <f ca="1">U34*(Inputs!$B$12-ILP_A_CostFocused!$F$9)+V34*(Inputs!$B$13-ILP_A_CostFocused!$F$10)+W34*(Inputs!$B$14-ILP_A_CostFocused!$F$11)+X34*(Inputs!$B$15-ILP_A_CostFocused!$F$12)+Y34*(Inputs!$B$16-ILP_A_CostFocused!$F$13)</f>
        <v>24964.671514469366</v>
      </c>
      <c r="AK34" s="45">
        <f t="shared" ca="1" si="7"/>
        <v>0</v>
      </c>
      <c r="AL34" s="45">
        <f t="shared" ca="1" si="8"/>
        <v>0</v>
      </c>
      <c r="AM34" s="45">
        <f t="shared" ca="1" si="9"/>
        <v>0</v>
      </c>
      <c r="AN34" s="45">
        <f t="shared" ca="1" si="10"/>
        <v>0</v>
      </c>
      <c r="AO34" s="45">
        <f ca="1">MIN(AL34,Inputs!$B$36)</f>
        <v>0</v>
      </c>
      <c r="AP34" s="45">
        <f ca="1">MIN(AN34,Inputs!$B$36-AO34)</f>
        <v>0</v>
      </c>
      <c r="AQ34" s="45">
        <f ca="1">MIN(AM34,Inputs!$B$36-AO34-AP34)</f>
        <v>0</v>
      </c>
      <c r="AR34" s="45">
        <f t="shared" ca="1" si="11"/>
        <v>0</v>
      </c>
      <c r="AS34" s="45">
        <f t="shared" ca="1" si="12"/>
        <v>0</v>
      </c>
      <c r="AT34" s="45">
        <f t="shared" ca="1" si="13"/>
        <v>0</v>
      </c>
      <c r="AU34" s="45">
        <f t="shared" ca="1" si="14"/>
        <v>0</v>
      </c>
      <c r="AV34" s="46">
        <f ca="1">AU34*Inputs!$B$35</f>
        <v>0</v>
      </c>
      <c r="AW34" s="46">
        <f ca="1">AR34*Inputs!$C$6+AT34*Inputs!$C$7+AS34*Inputs!$C$8</f>
        <v>0</v>
      </c>
      <c r="AX34" s="46">
        <f t="shared" ca="1" si="15"/>
        <v>47386157.283400416</v>
      </c>
      <c r="AY34" s="46">
        <f ca="1">IF(J34&gt;1,($CD$4)*Inputs!$B$55*((Z34+AA34+AB34)/(SUM(ILP_A_CostFocused!$C$9:$E$13))),0)</f>
        <v>0</v>
      </c>
      <c r="AZ34" s="46">
        <f t="shared" ca="1" si="16"/>
        <v>0</v>
      </c>
      <c r="BA34" s="41">
        <f t="shared" ca="1" si="17"/>
        <v>0</v>
      </c>
      <c r="BB34" s="41">
        <f t="shared" ca="1" si="18"/>
        <v>1</v>
      </c>
      <c r="BC34" s="41">
        <f t="shared" ca="1" si="19"/>
        <v>1</v>
      </c>
      <c r="BD34" s="41">
        <f t="shared" ca="1" si="20"/>
        <v>1</v>
      </c>
    </row>
    <row r="35" spans="1:56" ht="15" customHeight="1" x14ac:dyDescent="0.3">
      <c r="A35" s="41">
        <v>28</v>
      </c>
      <c r="B35" s="42">
        <f t="shared" ca="1" si="0"/>
        <v>0.77520899828714152</v>
      </c>
      <c r="C35" s="43">
        <f ca="1">IF(B35&lt;=Inputs!$C$40,Inputs!$D$40,IF(B35&lt;=Inputs!$C$41,Inputs!$D$41,Inputs!$D$42))</f>
        <v>1.1499999999999999</v>
      </c>
      <c r="D35" s="42">
        <f t="shared" ca="1" si="23"/>
        <v>0.97690967620561842</v>
      </c>
      <c r="E35" s="42">
        <f t="shared" ca="1" si="23"/>
        <v>0.79111082431030955</v>
      </c>
      <c r="F35" s="42">
        <f t="shared" ca="1" si="23"/>
        <v>0.49040189393587919</v>
      </c>
      <c r="G35" s="42">
        <f t="shared" ca="1" si="23"/>
        <v>0.96864579810437679</v>
      </c>
      <c r="H35" s="42">
        <f t="shared" ca="1" si="23"/>
        <v>0.64259220086650093</v>
      </c>
      <c r="I35" s="42">
        <f t="shared" ca="1" si="23"/>
        <v>0.98384777126685052</v>
      </c>
      <c r="J35" s="43">
        <f ca="1">IF(I35&lt;Inputs!$B$54,1+Inputs!$B$55,1)</f>
        <v>1</v>
      </c>
      <c r="K35" s="42">
        <f t="shared" ca="1" si="24"/>
        <v>0.60428362479875808</v>
      </c>
      <c r="L35" s="42">
        <f t="shared" ca="1" si="24"/>
        <v>0.82686386737147732</v>
      </c>
      <c r="M35" s="42">
        <f t="shared" ca="1" si="24"/>
        <v>0.31614135246028863</v>
      </c>
      <c r="N35" s="42">
        <f t="shared" ca="1" si="24"/>
        <v>0.30408200987566203</v>
      </c>
      <c r="O35" s="42">
        <f t="shared" ca="1" si="24"/>
        <v>0.8561837622726326</v>
      </c>
      <c r="P35" s="42">
        <f t="shared" ca="1" si="24"/>
        <v>0.81104465973783768</v>
      </c>
      <c r="Q35" s="42">
        <f t="shared" ca="1" si="24"/>
        <v>0.25896260400900095</v>
      </c>
      <c r="R35" s="42">
        <f t="shared" ca="1" si="24"/>
        <v>0.92899326213236522</v>
      </c>
      <c r="S35" s="42">
        <f t="shared" ca="1" si="24"/>
        <v>0.23110450829631413</v>
      </c>
      <c r="T35" s="42">
        <f t="shared" ca="1" si="24"/>
        <v>0.39333457585131504</v>
      </c>
      <c r="U35" s="44">
        <f ca="1">(IF(D35&gt;=Inputs!$E$12,1,IF(K35&lt;=Inputs!$C$46,Inputs!$D$46,IF(K35&lt;=Inputs!$C$47,Inputs!$D$47,Inputs!$D$48))))*((Inputs!$B$28+(P35-0.5)*2*Inputs!$B$53)/Inputs!$B$28)</f>
        <v>1.0031482253009902</v>
      </c>
      <c r="V35" s="44">
        <f ca="1">(IF(E35&gt;=Inputs!$E$13,1,IF(L35&lt;=Inputs!$C$46,Inputs!$D$46,IF(L35&lt;=Inputs!$C$47,Inputs!$D$47,Inputs!$D$48))))*((Inputs!$B$29+(Q35-0.5)*2*Inputs!$B$53)/Inputs!$B$29)</f>
        <v>0.99757018754041338</v>
      </c>
      <c r="W35" s="44">
        <f ca="1">(IF(F35&gt;=Inputs!$E$14,1,IF(M35&lt;=Inputs!$C$46,Inputs!$D$46,IF(M35&lt;=Inputs!$C$47,Inputs!$D$47,Inputs!$D$48))))*((Inputs!$B$30+(R35-0.5)*2*Inputs!$B$53)/Inputs!$B$30)</f>
        <v>1.0043114900716821</v>
      </c>
      <c r="X35" s="44">
        <f ca="1">(IF(G35&gt;=Inputs!$E$15,1,IF(N35&lt;=Inputs!$C$46,Inputs!$D$46,IF(N35&lt;=Inputs!$C$47,Inputs!$D$47,Inputs!$D$48))))*((Inputs!$B$31+(S35-0.5)*2*Inputs!$B$53)/Inputs!$B$31)</f>
        <v>0.99727009653092702</v>
      </c>
      <c r="Y35" s="44">
        <f ca="1">(IF(H35&gt;=Inputs!$E$16,1,IF(O35&lt;=Inputs!$C$46,Inputs!$D$46,IF(O35&lt;=Inputs!$C$47,Inputs!$D$47,Inputs!$D$48))))*((Inputs!$B$32+(T35-0.5)*2*Inputs!$B$53)/Inputs!$B$32)</f>
        <v>0.9989269072017235</v>
      </c>
      <c r="Z35" s="45">
        <f ca="1">ILP_A_CostFocused!$C$9*U35+ILP_A_CostFocused!$C$10*V35+ILP_A_CostFocused!$C$11*W35+ILP_A_CostFocused!$C$12*X35+ILP_A_CostFocused!$C$13*Y35</f>
        <v>17992.693397378211</v>
      </c>
      <c r="AA35" s="45">
        <f ca="1">ILP_A_CostFocused!$D$9*U35+ILP_A_CostFocused!$D$10*V35+ILP_A_CostFocused!$D$11*W35+ILP_A_CostFocused!$D$12*X35+ILP_A_CostFocused!$D$13*Y35</f>
        <v>14996.818406882243</v>
      </c>
      <c r="AB35" s="45">
        <f ca="1">ILP_A_CostFocused!$E$9*U35+ILP_A_CostFocused!$E$10*V35+ILP_A_CostFocused!$E$11*W35+ILP_A_CostFocused!$E$12*X35+ILP_A_CostFocused!$E$13*Y35</f>
        <v>12011.004122361115</v>
      </c>
      <c r="AC35" s="45">
        <f ca="1">Inputs!$B$6*$C35</f>
        <v>20700</v>
      </c>
      <c r="AD35" s="45">
        <f ca="1">Inputs!$B$7*$C35</f>
        <v>17250</v>
      </c>
      <c r="AE35" s="45">
        <f ca="1">Inputs!$B$8*$C35</f>
        <v>13799.999999999998</v>
      </c>
      <c r="AF35" s="45">
        <f t="shared" ca="1" si="3"/>
        <v>2707.3066026217894</v>
      </c>
      <c r="AG35" s="45">
        <f t="shared" ca="1" si="4"/>
        <v>2253.1815931177571</v>
      </c>
      <c r="AH35" s="45">
        <f t="shared" ca="1" si="5"/>
        <v>1788.995877638883</v>
      </c>
      <c r="AI35" s="45">
        <f t="shared" ca="1" si="6"/>
        <v>6749.4840733784295</v>
      </c>
      <c r="AJ35" s="45">
        <f ca="1">U35*(Inputs!$B$12-ILP_A_CostFocused!$F$9)+V35*(Inputs!$B$13-ILP_A_CostFocused!$F$10)+W35*(Inputs!$B$14-ILP_A_CostFocused!$F$11)+X35*(Inputs!$B$15-ILP_A_CostFocused!$F$12)+Y35*(Inputs!$B$16-ILP_A_CostFocused!$F$13)</f>
        <v>25023.032441088908</v>
      </c>
      <c r="AK35" s="45">
        <f t="shared" ca="1" si="7"/>
        <v>6749.4840733784295</v>
      </c>
      <c r="AL35" s="45">
        <f t="shared" ca="1" si="8"/>
        <v>0</v>
      </c>
      <c r="AM35" s="45">
        <f t="shared" ca="1" si="9"/>
        <v>0</v>
      </c>
      <c r="AN35" s="45">
        <f t="shared" ca="1" si="10"/>
        <v>0</v>
      </c>
      <c r="AO35" s="45">
        <f ca="1">MIN(AL35,Inputs!$B$36)</f>
        <v>0</v>
      </c>
      <c r="AP35" s="45">
        <f ca="1">MIN(AN35,Inputs!$B$36-AO35)</f>
        <v>0</v>
      </c>
      <c r="AQ35" s="45">
        <f ca="1">MIN(AM35,Inputs!$B$36-AO35-AP35)</f>
        <v>0</v>
      </c>
      <c r="AR35" s="45">
        <f t="shared" ca="1" si="11"/>
        <v>0</v>
      </c>
      <c r="AS35" s="45">
        <f t="shared" ca="1" si="12"/>
        <v>0</v>
      </c>
      <c r="AT35" s="45">
        <f t="shared" ca="1" si="13"/>
        <v>0</v>
      </c>
      <c r="AU35" s="45">
        <f t="shared" ca="1" si="14"/>
        <v>0</v>
      </c>
      <c r="AV35" s="46">
        <f ca="1">AU35*Inputs!$B$35</f>
        <v>0</v>
      </c>
      <c r="AW35" s="46">
        <f ca="1">AR35*Inputs!$C$6+AT35*Inputs!$C$7+AS35*Inputs!$C$8</f>
        <v>0</v>
      </c>
      <c r="AX35" s="46">
        <f t="shared" ca="1" si="15"/>
        <v>47393443.020038076</v>
      </c>
      <c r="AY35" s="46">
        <f ca="1">IF(J35&gt;1,($CD$4)*Inputs!$B$55*((Z35+AA35+AB35)/(SUM(ILP_A_CostFocused!$C$9:$E$13))),0)</f>
        <v>0</v>
      </c>
      <c r="AZ35" s="46">
        <f t="shared" ca="1" si="16"/>
        <v>0</v>
      </c>
      <c r="BA35" s="41">
        <f t="shared" ca="1" si="17"/>
        <v>0</v>
      </c>
      <c r="BB35" s="41">
        <f t="shared" ca="1" si="18"/>
        <v>1</v>
      </c>
      <c r="BC35" s="41">
        <f t="shared" ca="1" si="19"/>
        <v>1</v>
      </c>
      <c r="BD35" s="41">
        <f t="shared" ca="1" si="20"/>
        <v>1</v>
      </c>
    </row>
    <row r="36" spans="1:56" ht="15" customHeight="1" x14ac:dyDescent="0.3">
      <c r="A36" s="41">
        <v>29</v>
      </c>
      <c r="B36" s="42">
        <f t="shared" ca="1" si="0"/>
        <v>0.6841677659038744</v>
      </c>
      <c r="C36" s="43">
        <f ca="1">IF(B36&lt;=Inputs!$C$40,Inputs!$D$40,IF(B36&lt;=Inputs!$C$41,Inputs!$D$41,Inputs!$D$42))</f>
        <v>1</v>
      </c>
      <c r="D36" s="42">
        <f t="shared" ca="1" si="23"/>
        <v>0.4533050791070371</v>
      </c>
      <c r="E36" s="42">
        <f t="shared" ca="1" si="23"/>
        <v>0.36569934636193313</v>
      </c>
      <c r="F36" s="42">
        <f t="shared" ca="1" si="23"/>
        <v>0.21102409766479768</v>
      </c>
      <c r="G36" s="42">
        <f t="shared" ca="1" si="23"/>
        <v>0.92595014934978259</v>
      </c>
      <c r="H36" s="42">
        <f t="shared" ca="1" si="23"/>
        <v>0.17605239705056019</v>
      </c>
      <c r="I36" s="42">
        <f t="shared" ca="1" si="23"/>
        <v>0.21274721745578107</v>
      </c>
      <c r="J36" s="43">
        <f ca="1">IF(I36&lt;Inputs!$B$54,1+Inputs!$B$55,1)</f>
        <v>1</v>
      </c>
      <c r="K36" s="42">
        <f t="shared" ca="1" si="24"/>
        <v>0.44645668448425568</v>
      </c>
      <c r="L36" s="42">
        <f t="shared" ca="1" si="24"/>
        <v>0.49722274318343818</v>
      </c>
      <c r="M36" s="42">
        <f t="shared" ca="1" si="24"/>
        <v>0.50219164286209872</v>
      </c>
      <c r="N36" s="42">
        <f t="shared" ca="1" si="24"/>
        <v>9.8657103027577908E-2</v>
      </c>
      <c r="O36" s="42">
        <f t="shared" ca="1" si="24"/>
        <v>0.46849871717564162</v>
      </c>
      <c r="P36" s="42">
        <f t="shared" ca="1" si="24"/>
        <v>0.13905567047736611</v>
      </c>
      <c r="Q36" s="42">
        <f t="shared" ca="1" si="24"/>
        <v>3.408816159483663E-2</v>
      </c>
      <c r="R36" s="42">
        <f t="shared" ca="1" si="24"/>
        <v>0.58637552773401125</v>
      </c>
      <c r="S36" s="42">
        <f t="shared" ca="1" si="24"/>
        <v>0.14423373146037866</v>
      </c>
      <c r="T36" s="42">
        <f t="shared" ca="1" si="24"/>
        <v>0.24096122702029155</v>
      </c>
      <c r="U36" s="44">
        <f ca="1">(IF(D36&gt;=Inputs!$E$12,1,IF(K36&lt;=Inputs!$C$46,Inputs!$D$46,IF(K36&lt;=Inputs!$C$47,Inputs!$D$47,Inputs!$D$48))))*((Inputs!$B$28+(P36-0.5)*2*Inputs!$B$53)/Inputs!$B$28)</f>
        <v>0.99634671731252389</v>
      </c>
      <c r="V36" s="44">
        <f ca="1">(IF(E36&gt;=Inputs!$E$13,1,IF(L36&lt;=Inputs!$C$46,Inputs!$D$46,IF(L36&lt;=Inputs!$C$47,Inputs!$D$47,Inputs!$D$48))))*((Inputs!$B$29+(Q36-0.5)*2*Inputs!$B$53)/Inputs!$B$29)</f>
        <v>0.99530330808059309</v>
      </c>
      <c r="W36" s="44">
        <f ca="1">(IF(F36&gt;=Inputs!$E$14,1,IF(M36&lt;=Inputs!$C$46,Inputs!$D$46,IF(M36&lt;=Inputs!$C$47,Inputs!$D$47,Inputs!$D$48))))*((Inputs!$B$30+(R36-0.5)*2*Inputs!$B$53)/Inputs!$B$30)</f>
        <v>1.0008680957561207</v>
      </c>
      <c r="X36" s="44">
        <f ca="1">(IF(G36&gt;=Inputs!$E$15,1,IF(N36&lt;=Inputs!$C$46,Inputs!$D$46,IF(N36&lt;=Inputs!$C$47,Inputs!$D$47,Inputs!$D$48))))*((Inputs!$B$31+(S36-0.5)*2*Inputs!$B$53)/Inputs!$B$31)</f>
        <v>0.99638815971025763</v>
      </c>
      <c r="Y36" s="44">
        <f ca="1">(IF(H36&gt;=Inputs!$E$16,1,IF(O36&lt;=Inputs!$C$46,Inputs!$D$46,IF(O36&lt;=Inputs!$C$47,Inputs!$D$47,Inputs!$D$48))))*((Inputs!$B$32+(T36-0.5)*2*Inputs!$B$53)/Inputs!$B$32)</f>
        <v>0.99739397612696468</v>
      </c>
      <c r="Z36" s="45">
        <f ca="1">ILP_A_CostFocused!$C$9*U36+ILP_A_CostFocused!$C$10*V36+ILP_A_CostFocused!$C$11*W36+ILP_A_CostFocused!$C$12*X36+ILP_A_CostFocused!$C$13*Y36</f>
        <v>17934.596669508544</v>
      </c>
      <c r="AA36" s="45">
        <f ca="1">ILP_A_CostFocused!$D$9*U36+ILP_A_CostFocused!$D$10*V36+ILP_A_CostFocused!$D$11*W36+ILP_A_CostFocused!$D$12*X36+ILP_A_CostFocused!$D$13*Y36</f>
        <v>14958.368812495281</v>
      </c>
      <c r="AB36" s="45">
        <f ca="1">ILP_A_CostFocused!$E$9*U36+ILP_A_CostFocused!$E$10*V36+ILP_A_CostFocused!$E$11*W36+ILP_A_CostFocused!$E$12*X36+ILP_A_CostFocused!$E$13*Y36</f>
        <v>11951.152243437018</v>
      </c>
      <c r="AC36" s="45">
        <f ca="1">Inputs!$B$6*$C36</f>
        <v>18000</v>
      </c>
      <c r="AD36" s="45">
        <f ca="1">Inputs!$B$7*$C36</f>
        <v>15000</v>
      </c>
      <c r="AE36" s="45">
        <f ca="1">Inputs!$B$8*$C36</f>
        <v>12000</v>
      </c>
      <c r="AF36" s="45">
        <f t="shared" ca="1" si="3"/>
        <v>65.403330491455563</v>
      </c>
      <c r="AG36" s="45">
        <f t="shared" ca="1" si="4"/>
        <v>41.631187504719492</v>
      </c>
      <c r="AH36" s="45">
        <f t="shared" ca="1" si="5"/>
        <v>48.847756562981886</v>
      </c>
      <c r="AI36" s="45">
        <f t="shared" ca="1" si="6"/>
        <v>155.88227455915694</v>
      </c>
      <c r="AJ36" s="45">
        <f ca="1">U36*(Inputs!$B$12-ILP_A_CostFocused!$F$9)+V36*(Inputs!$B$13-ILP_A_CostFocused!$F$10)+W36*(Inputs!$B$14-ILP_A_CostFocused!$F$11)+X36*(Inputs!$B$15-ILP_A_CostFocused!$F$12)+Y36*(Inputs!$B$16-ILP_A_CostFocused!$F$13)</f>
        <v>24960.528867944973</v>
      </c>
      <c r="AK36" s="45">
        <f t="shared" ca="1" si="7"/>
        <v>155.88227455915694</v>
      </c>
      <c r="AL36" s="45">
        <f t="shared" ca="1" si="8"/>
        <v>0</v>
      </c>
      <c r="AM36" s="45">
        <f t="shared" ca="1" si="9"/>
        <v>0</v>
      </c>
      <c r="AN36" s="45">
        <f t="shared" ca="1" si="10"/>
        <v>0</v>
      </c>
      <c r="AO36" s="45">
        <f ca="1">MIN(AL36,Inputs!$B$36)</f>
        <v>0</v>
      </c>
      <c r="AP36" s="45">
        <f ca="1">MIN(AN36,Inputs!$B$36-AO36)</f>
        <v>0</v>
      </c>
      <c r="AQ36" s="45">
        <f ca="1">MIN(AM36,Inputs!$B$36-AO36-AP36)</f>
        <v>0</v>
      </c>
      <c r="AR36" s="45">
        <f t="shared" ca="1" si="11"/>
        <v>0</v>
      </c>
      <c r="AS36" s="45">
        <f t="shared" ca="1" si="12"/>
        <v>0</v>
      </c>
      <c r="AT36" s="45">
        <f t="shared" ca="1" si="13"/>
        <v>0</v>
      </c>
      <c r="AU36" s="45">
        <f t="shared" ca="1" si="14"/>
        <v>0</v>
      </c>
      <c r="AV36" s="46">
        <f ca="1">AU36*Inputs!$B$35</f>
        <v>0</v>
      </c>
      <c r="AW36" s="46">
        <f ca="1">AR36*Inputs!$C$6+AT36*Inputs!$C$7+AS36*Inputs!$C$8</f>
        <v>0</v>
      </c>
      <c r="AX36" s="46">
        <f t="shared" ca="1" si="15"/>
        <v>47228059.927809879</v>
      </c>
      <c r="AY36" s="46">
        <f ca="1">IF(J36&gt;1,($CD$4)*Inputs!$B$55*((Z36+AA36+AB36)/(SUM(ILP_A_CostFocused!$C$9:$E$13))),0)</f>
        <v>0</v>
      </c>
      <c r="AZ36" s="46">
        <f t="shared" ca="1" si="16"/>
        <v>0</v>
      </c>
      <c r="BA36" s="41">
        <f t="shared" ca="1" si="17"/>
        <v>0</v>
      </c>
      <c r="BB36" s="41">
        <f t="shared" ca="1" si="18"/>
        <v>1</v>
      </c>
      <c r="BC36" s="41">
        <f t="shared" ca="1" si="19"/>
        <v>1</v>
      </c>
      <c r="BD36" s="41">
        <f t="shared" ca="1" si="20"/>
        <v>1</v>
      </c>
    </row>
    <row r="37" spans="1:56" ht="15" customHeight="1" x14ac:dyDescent="0.3">
      <c r="A37" s="41">
        <v>30</v>
      </c>
      <c r="B37" s="42">
        <f t="shared" ca="1" si="0"/>
        <v>0.4494847729639998</v>
      </c>
      <c r="C37" s="43">
        <f ca="1">IF(B37&lt;=Inputs!$C$40,Inputs!$D$40,IF(B37&lt;=Inputs!$C$41,Inputs!$D$41,Inputs!$D$42))</f>
        <v>1</v>
      </c>
      <c r="D37" s="42">
        <f t="shared" ca="1" si="23"/>
        <v>0.81830224947848174</v>
      </c>
      <c r="E37" s="42">
        <f t="shared" ca="1" si="23"/>
        <v>0.55412614980992603</v>
      </c>
      <c r="F37" s="42">
        <f t="shared" ca="1" si="23"/>
        <v>0.69120736785545456</v>
      </c>
      <c r="G37" s="42">
        <f t="shared" ca="1" si="23"/>
        <v>0.26763319810148956</v>
      </c>
      <c r="H37" s="42">
        <f t="shared" ca="1" si="23"/>
        <v>0.44041557293580524</v>
      </c>
      <c r="I37" s="42">
        <f t="shared" ca="1" si="23"/>
        <v>0.71436976352557124</v>
      </c>
      <c r="J37" s="43">
        <f ca="1">IF(I37&lt;Inputs!$B$54,1+Inputs!$B$55,1)</f>
        <v>1</v>
      </c>
      <c r="K37" s="42">
        <f t="shared" ca="1" si="24"/>
        <v>0.6680154241840579</v>
      </c>
      <c r="L37" s="42">
        <f t="shared" ca="1" si="24"/>
        <v>0.2552247643902702</v>
      </c>
      <c r="M37" s="42">
        <f t="shared" ca="1" si="24"/>
        <v>6.5322086276055402E-2</v>
      </c>
      <c r="N37" s="42">
        <f t="shared" ca="1" si="24"/>
        <v>0.96171390737378182</v>
      </c>
      <c r="O37" s="42">
        <f t="shared" ca="1" si="24"/>
        <v>0.19926136448245302</v>
      </c>
      <c r="P37" s="42">
        <f t="shared" ca="1" si="24"/>
        <v>0.49397746425383149</v>
      </c>
      <c r="Q37" s="42">
        <f t="shared" ca="1" si="24"/>
        <v>0.5537684879352569</v>
      </c>
      <c r="R37" s="42">
        <f t="shared" ca="1" si="24"/>
        <v>0.96553168669088452</v>
      </c>
      <c r="S37" s="42">
        <f t="shared" ca="1" si="24"/>
        <v>0.92193717561436572</v>
      </c>
      <c r="T37" s="42">
        <f t="shared" ca="1" si="24"/>
        <v>0.64764095049980608</v>
      </c>
      <c r="U37" s="44">
        <f ca="1">(IF(D37&gt;=Inputs!$E$12,1,IF(K37&lt;=Inputs!$C$46,Inputs!$D$46,IF(K37&lt;=Inputs!$C$47,Inputs!$D$47,Inputs!$D$48))))*((Inputs!$B$28+(P37-0.5)*2*Inputs!$B$53)/Inputs!$B$28)</f>
        <v>0.99993904316046389</v>
      </c>
      <c r="V37" s="44">
        <f ca="1">(IF(E37&gt;=Inputs!$E$13,1,IF(L37&lt;=Inputs!$C$46,Inputs!$D$46,IF(L37&lt;=Inputs!$C$47,Inputs!$D$47,Inputs!$D$48))))*((Inputs!$B$29+(Q37-0.5)*2*Inputs!$B$53)/Inputs!$B$29)</f>
        <v>1.0005420210477345</v>
      </c>
      <c r="W37" s="44">
        <f ca="1">(IF(F37&gt;=Inputs!$E$14,1,IF(M37&lt;=Inputs!$C$46,Inputs!$D$46,IF(M37&lt;=Inputs!$C$47,Inputs!$D$47,Inputs!$D$48))))*((Inputs!$B$30+(R37-0.5)*2*Inputs!$B$53)/Inputs!$B$30)</f>
        <v>1.004678710419004</v>
      </c>
      <c r="X37" s="44">
        <f ca="1">(IF(G37&gt;=Inputs!$E$15,1,IF(N37&lt;=Inputs!$C$46,Inputs!$D$46,IF(N37&lt;=Inputs!$C$47,Inputs!$D$47,Inputs!$D$48))))*((Inputs!$B$31+(S37-0.5)*2*Inputs!$B$53)/Inputs!$B$31)</f>
        <v>1.0042836261483692</v>
      </c>
      <c r="Y37" s="44">
        <f ca="1">(IF(H37&gt;=Inputs!$E$16,1,IF(O37&lt;=Inputs!$C$46,Inputs!$D$46,IF(O37&lt;=Inputs!$C$47,Inputs!$D$47,Inputs!$D$48))))*((Inputs!$B$32+(T37-0.5)*2*Inputs!$B$53)/Inputs!$B$32)</f>
        <v>1.0014853214335997</v>
      </c>
      <c r="Z37" s="45">
        <f ca="1">ILP_A_CostFocused!$C$9*U37+ILP_A_CostFocused!$C$10*V37+ILP_A_CostFocused!$C$11*W37+ILP_A_CostFocused!$C$12*X37+ILP_A_CostFocused!$C$13*Y37</f>
        <v>18045.877335211808</v>
      </c>
      <c r="AA37" s="45">
        <f ca="1">ILP_A_CostFocused!$D$9*U37+ILP_A_CostFocused!$D$10*V37+ILP_A_CostFocused!$D$11*W37+ILP_A_CostFocused!$D$12*X37+ILP_A_CostFocused!$D$13*Y37</f>
        <v>15032.547465987585</v>
      </c>
      <c r="AB37" s="45">
        <f ca="1">ILP_A_CostFocused!$E$9*U37+ILP_A_CostFocused!$E$10*V37+ILP_A_CostFocused!$E$11*W37+ILP_A_CostFocused!$E$12*X37+ILP_A_CostFocused!$E$13*Y37</f>
        <v>12002.162811784467</v>
      </c>
      <c r="AC37" s="45">
        <f ca="1">Inputs!$B$6*$C37</f>
        <v>18000</v>
      </c>
      <c r="AD37" s="45">
        <f ca="1">Inputs!$B$7*$C37</f>
        <v>15000</v>
      </c>
      <c r="AE37" s="45">
        <f ca="1">Inputs!$B$8*$C37</f>
        <v>12000</v>
      </c>
      <c r="AF37" s="45">
        <f t="shared" ca="1" si="3"/>
        <v>0</v>
      </c>
      <c r="AG37" s="45">
        <f t="shared" ca="1" si="4"/>
        <v>0</v>
      </c>
      <c r="AH37" s="45">
        <f t="shared" ca="1" si="5"/>
        <v>0</v>
      </c>
      <c r="AI37" s="45">
        <f t="shared" ca="1" si="6"/>
        <v>0</v>
      </c>
      <c r="AJ37" s="45">
        <f ca="1">U37*(Inputs!$B$12-ILP_A_CostFocused!$F$9)+V37*(Inputs!$B$13-ILP_A_CostFocused!$F$10)+W37*(Inputs!$B$14-ILP_A_CostFocused!$F$11)+X37*(Inputs!$B$15-ILP_A_CostFocused!$F$12)+Y37*(Inputs!$B$16-ILP_A_CostFocused!$F$13)</f>
        <v>25060.531942983325</v>
      </c>
      <c r="AK37" s="45">
        <f t="shared" ca="1" si="7"/>
        <v>0</v>
      </c>
      <c r="AL37" s="45">
        <f t="shared" ca="1" si="8"/>
        <v>0</v>
      </c>
      <c r="AM37" s="45">
        <f t="shared" ca="1" si="9"/>
        <v>0</v>
      </c>
      <c r="AN37" s="45">
        <f t="shared" ca="1" si="10"/>
        <v>0</v>
      </c>
      <c r="AO37" s="45">
        <f ca="1">MIN(AL37,Inputs!$B$36)</f>
        <v>0</v>
      </c>
      <c r="AP37" s="45">
        <f ca="1">MIN(AN37,Inputs!$B$36-AO37)</f>
        <v>0</v>
      </c>
      <c r="AQ37" s="45">
        <f ca="1">MIN(AM37,Inputs!$B$36-AO37-AP37)</f>
        <v>0</v>
      </c>
      <c r="AR37" s="45">
        <f t="shared" ca="1" si="11"/>
        <v>0</v>
      </c>
      <c r="AS37" s="45">
        <f t="shared" ca="1" si="12"/>
        <v>0</v>
      </c>
      <c r="AT37" s="45">
        <f t="shared" ca="1" si="13"/>
        <v>0</v>
      </c>
      <c r="AU37" s="45">
        <f t="shared" ca="1" si="14"/>
        <v>0</v>
      </c>
      <c r="AV37" s="46">
        <f ca="1">AU37*Inputs!$B$35</f>
        <v>0</v>
      </c>
      <c r="AW37" s="46">
        <f ca="1">AR37*Inputs!$C$6+AT37*Inputs!$C$7+AS37*Inputs!$C$8</f>
        <v>0</v>
      </c>
      <c r="AX37" s="46">
        <f t="shared" ca="1" si="15"/>
        <v>47476340.317659289</v>
      </c>
      <c r="AY37" s="46">
        <f ca="1">IF(J37&gt;1,($CD$4)*Inputs!$B$55*((Z37+AA37+AB37)/(SUM(ILP_A_CostFocused!$C$9:$E$13))),0)</f>
        <v>0</v>
      </c>
      <c r="AZ37" s="46">
        <f t="shared" ca="1" si="16"/>
        <v>0</v>
      </c>
      <c r="BA37" s="41">
        <f t="shared" ca="1" si="17"/>
        <v>0</v>
      </c>
      <c r="BB37" s="41">
        <f t="shared" ca="1" si="18"/>
        <v>1</v>
      </c>
      <c r="BC37" s="41">
        <f t="shared" ca="1" si="19"/>
        <v>1</v>
      </c>
      <c r="BD37" s="41">
        <f t="shared" ca="1" si="20"/>
        <v>1</v>
      </c>
    </row>
    <row r="38" spans="1:56" ht="15" customHeight="1" x14ac:dyDescent="0.3">
      <c r="A38" s="41">
        <v>31</v>
      </c>
      <c r="B38" s="42">
        <f t="shared" ca="1" si="0"/>
        <v>2.8191956648807026E-2</v>
      </c>
      <c r="C38" s="43">
        <f ca="1">IF(B38&lt;=Inputs!$C$40,Inputs!$D$40,IF(B38&lt;=Inputs!$C$41,Inputs!$D$41,Inputs!$D$42))</f>
        <v>0.9</v>
      </c>
      <c r="D38" s="42">
        <f t="shared" ref="D38:I47" ca="1" si="25">RAND()</f>
        <v>0.33875485118821547</v>
      </c>
      <c r="E38" s="42">
        <f t="shared" ca="1" si="25"/>
        <v>0.92466122780219517</v>
      </c>
      <c r="F38" s="42">
        <f t="shared" ca="1" si="25"/>
        <v>0.50577695032710646</v>
      </c>
      <c r="G38" s="42">
        <f t="shared" ca="1" si="25"/>
        <v>0.8460035134024968</v>
      </c>
      <c r="H38" s="42">
        <f t="shared" ca="1" si="25"/>
        <v>0.33686174588743845</v>
      </c>
      <c r="I38" s="42">
        <f t="shared" ca="1" si="25"/>
        <v>0.72140930990065388</v>
      </c>
      <c r="J38" s="43">
        <f ca="1">IF(I38&lt;Inputs!$B$54,1+Inputs!$B$55,1)</f>
        <v>1</v>
      </c>
      <c r="K38" s="42">
        <f t="shared" ref="K38:T47" ca="1" si="26">RAND()</f>
        <v>0.455368739612944</v>
      </c>
      <c r="L38" s="42">
        <f t="shared" ca="1" si="26"/>
        <v>0.82317823206131624</v>
      </c>
      <c r="M38" s="42">
        <f t="shared" ca="1" si="26"/>
        <v>0.75608599613603511</v>
      </c>
      <c r="N38" s="42">
        <f t="shared" ca="1" si="26"/>
        <v>0.95036585841272891</v>
      </c>
      <c r="O38" s="42">
        <f t="shared" ca="1" si="26"/>
        <v>0.71562851412578965</v>
      </c>
      <c r="P38" s="42">
        <f t="shared" ca="1" si="26"/>
        <v>0.81634629247690949</v>
      </c>
      <c r="Q38" s="42">
        <f t="shared" ca="1" si="26"/>
        <v>0.72688445166756244</v>
      </c>
      <c r="R38" s="42">
        <f t="shared" ca="1" si="26"/>
        <v>0.79117616607899932</v>
      </c>
      <c r="S38" s="42">
        <f t="shared" ca="1" si="26"/>
        <v>0.27716276366671111</v>
      </c>
      <c r="T38" s="42">
        <f t="shared" ca="1" si="26"/>
        <v>0.56447245858855677</v>
      </c>
      <c r="U38" s="44">
        <f ca="1">(IF(D38&gt;=Inputs!$E$12,1,IF(K38&lt;=Inputs!$C$46,Inputs!$D$46,IF(K38&lt;=Inputs!$C$47,Inputs!$D$47,Inputs!$D$48))))*((Inputs!$B$28+(P38-0.5)*2*Inputs!$B$53)/Inputs!$B$28)</f>
        <v>1.0032018855513858</v>
      </c>
      <c r="V38" s="44">
        <f ca="1">(IF(E38&gt;=Inputs!$E$13,1,IF(L38&lt;=Inputs!$C$46,Inputs!$D$46,IF(L38&lt;=Inputs!$C$47,Inputs!$D$47,Inputs!$D$48))))*((Inputs!$B$29+(Q38-0.5)*2*Inputs!$B$53)/Inputs!$B$29)</f>
        <v>1.0022871416498746</v>
      </c>
      <c r="W38" s="44">
        <f ca="1">(IF(F38&gt;=Inputs!$E$14,1,IF(M38&lt;=Inputs!$C$46,Inputs!$D$46,IF(M38&lt;=Inputs!$C$47,Inputs!$D$47,Inputs!$D$48))))*((Inputs!$B$30+(R38-0.5)*2*Inputs!$B$53)/Inputs!$B$30)</f>
        <v>1.0029263936289348</v>
      </c>
      <c r="X38" s="44">
        <f ca="1">(IF(G38&gt;=Inputs!$E$15,1,IF(N38&lt;=Inputs!$C$46,Inputs!$D$46,IF(N38&lt;=Inputs!$C$47,Inputs!$D$47,Inputs!$D$48))))*((Inputs!$B$31+(S38-0.5)*2*Inputs!$B$53)/Inputs!$B$31)</f>
        <v>0.99773769303214943</v>
      </c>
      <c r="Y38" s="44">
        <f ca="1">(IF(H38&gt;=Inputs!$E$16,1,IF(O38&lt;=Inputs!$C$46,Inputs!$D$46,IF(O38&lt;=Inputs!$C$47,Inputs!$D$47,Inputs!$D$48))))*((Inputs!$B$32+(T38-0.5)*2*Inputs!$B$53)/Inputs!$B$32)</f>
        <v>1.000648616283587</v>
      </c>
      <c r="Z38" s="45">
        <f ca="1">ILP_A_CostFocused!$C$9*U38+ILP_A_CostFocused!$C$10*V38+ILP_A_CostFocused!$C$11*W38+ILP_A_CostFocused!$C$12*X38+ILP_A_CostFocused!$C$13*Y38</f>
        <v>17998.54016325386</v>
      </c>
      <c r="AA38" s="45">
        <f ca="1">ILP_A_CostFocused!$D$9*U38+ILP_A_CostFocused!$D$10*V38+ILP_A_CostFocused!$D$11*W38+ILP_A_CostFocused!$D$12*X38+ILP_A_CostFocused!$D$13*Y38</f>
        <v>15032.850162013759</v>
      </c>
      <c r="AB38" s="45">
        <f ca="1">ILP_A_CostFocused!$E$9*U38+ILP_A_CostFocused!$E$10*V38+ILP_A_CostFocused!$E$11*W38+ILP_A_CostFocused!$E$12*X38+ILP_A_CostFocused!$E$13*Y38</f>
        <v>12034.031855889376</v>
      </c>
      <c r="AC38" s="45">
        <f ca="1">Inputs!$B$6*$C38</f>
        <v>16200</v>
      </c>
      <c r="AD38" s="45">
        <f ca="1">Inputs!$B$7*$C38</f>
        <v>13500</v>
      </c>
      <c r="AE38" s="45">
        <f ca="1">Inputs!$B$8*$C38</f>
        <v>10800</v>
      </c>
      <c r="AF38" s="45">
        <f t="shared" ca="1" si="3"/>
        <v>0</v>
      </c>
      <c r="AG38" s="45">
        <f t="shared" ca="1" si="4"/>
        <v>0</v>
      </c>
      <c r="AH38" s="45">
        <f t="shared" ca="1" si="5"/>
        <v>0</v>
      </c>
      <c r="AI38" s="45">
        <f t="shared" ca="1" si="6"/>
        <v>0</v>
      </c>
      <c r="AJ38" s="45">
        <f ca="1">U38*(Inputs!$B$12-ILP_A_CostFocused!$F$9)+V38*(Inputs!$B$13-ILP_A_CostFocused!$F$10)+W38*(Inputs!$B$14-ILP_A_CostFocused!$F$11)+X38*(Inputs!$B$15-ILP_A_CostFocused!$F$12)+Y38*(Inputs!$B$16-ILP_A_CostFocused!$F$13)</f>
        <v>25038.452648579172</v>
      </c>
      <c r="AK38" s="45">
        <f t="shared" ca="1" si="7"/>
        <v>0</v>
      </c>
      <c r="AL38" s="45">
        <f t="shared" ca="1" si="8"/>
        <v>0</v>
      </c>
      <c r="AM38" s="45">
        <f t="shared" ca="1" si="9"/>
        <v>0</v>
      </c>
      <c r="AN38" s="45">
        <f t="shared" ca="1" si="10"/>
        <v>0</v>
      </c>
      <c r="AO38" s="45">
        <f ca="1">MIN(AL38,Inputs!$B$36)</f>
        <v>0</v>
      </c>
      <c r="AP38" s="45">
        <f ca="1">MIN(AN38,Inputs!$B$36-AO38)</f>
        <v>0</v>
      </c>
      <c r="AQ38" s="45">
        <f ca="1">MIN(AM38,Inputs!$B$36-AO38-AP38)</f>
        <v>0</v>
      </c>
      <c r="AR38" s="45">
        <f t="shared" ca="1" si="11"/>
        <v>0</v>
      </c>
      <c r="AS38" s="45">
        <f t="shared" ca="1" si="12"/>
        <v>0</v>
      </c>
      <c r="AT38" s="45">
        <f t="shared" ca="1" si="13"/>
        <v>0</v>
      </c>
      <c r="AU38" s="45">
        <f t="shared" ca="1" si="14"/>
        <v>0</v>
      </c>
      <c r="AV38" s="46">
        <f ca="1">AU38*Inputs!$B$35</f>
        <v>0</v>
      </c>
      <c r="AW38" s="46">
        <f ca="1">AR38*Inputs!$C$6+AT38*Inputs!$C$7+AS38*Inputs!$C$8</f>
        <v>0</v>
      </c>
      <c r="AX38" s="46">
        <f t="shared" ca="1" si="15"/>
        <v>47462442.173926041</v>
      </c>
      <c r="AY38" s="46">
        <f ca="1">IF(J38&gt;1,($CD$4)*Inputs!$B$55*((Z38+AA38+AB38)/(SUM(ILP_A_CostFocused!$C$9:$E$13))),0)</f>
        <v>0</v>
      </c>
      <c r="AZ38" s="46">
        <f t="shared" ca="1" si="16"/>
        <v>0</v>
      </c>
      <c r="BA38" s="41">
        <f t="shared" ca="1" si="17"/>
        <v>0</v>
      </c>
      <c r="BB38" s="41">
        <f t="shared" ca="1" si="18"/>
        <v>1</v>
      </c>
      <c r="BC38" s="41">
        <f t="shared" ca="1" si="19"/>
        <v>1</v>
      </c>
      <c r="BD38" s="41">
        <f t="shared" ca="1" si="20"/>
        <v>1</v>
      </c>
    </row>
    <row r="39" spans="1:56" ht="15" customHeight="1" x14ac:dyDescent="0.3">
      <c r="A39" s="41">
        <v>32</v>
      </c>
      <c r="B39" s="42">
        <f t="shared" ca="1" si="0"/>
        <v>0.87248709260787016</v>
      </c>
      <c r="C39" s="43">
        <f ca="1">IF(B39&lt;=Inputs!$C$40,Inputs!$D$40,IF(B39&lt;=Inputs!$C$41,Inputs!$D$41,Inputs!$D$42))</f>
        <v>1.1499999999999999</v>
      </c>
      <c r="D39" s="42">
        <f t="shared" ca="1" si="25"/>
        <v>0.80253290299267477</v>
      </c>
      <c r="E39" s="42">
        <f t="shared" ca="1" si="25"/>
        <v>0.32960197347199494</v>
      </c>
      <c r="F39" s="42">
        <f t="shared" ca="1" si="25"/>
        <v>0.97168897744123128</v>
      </c>
      <c r="G39" s="42">
        <f t="shared" ca="1" si="25"/>
        <v>0.91859922268781491</v>
      </c>
      <c r="H39" s="42">
        <f t="shared" ca="1" si="25"/>
        <v>0.5670129254620242</v>
      </c>
      <c r="I39" s="42">
        <f t="shared" ca="1" si="25"/>
        <v>0.54304797918422809</v>
      </c>
      <c r="J39" s="43">
        <f ca="1">IF(I39&lt;Inputs!$B$54,1+Inputs!$B$55,1)</f>
        <v>1</v>
      </c>
      <c r="K39" s="42">
        <f t="shared" ca="1" si="26"/>
        <v>0.59024344255755856</v>
      </c>
      <c r="L39" s="42">
        <f t="shared" ca="1" si="26"/>
        <v>0.6479222407634323</v>
      </c>
      <c r="M39" s="42">
        <f t="shared" ca="1" si="26"/>
        <v>0.68144363423908527</v>
      </c>
      <c r="N39" s="42">
        <f t="shared" ca="1" si="26"/>
        <v>0.58461339957762903</v>
      </c>
      <c r="O39" s="42">
        <f t="shared" ca="1" si="26"/>
        <v>0.51612851036131879</v>
      </c>
      <c r="P39" s="42">
        <f t="shared" ca="1" si="26"/>
        <v>0.60356175213482965</v>
      </c>
      <c r="Q39" s="42">
        <f t="shared" ca="1" si="26"/>
        <v>0.43338110855872769</v>
      </c>
      <c r="R39" s="42">
        <f t="shared" ca="1" si="26"/>
        <v>0.8268085024314088</v>
      </c>
      <c r="S39" s="42">
        <f t="shared" ca="1" si="26"/>
        <v>0.6224133438939401</v>
      </c>
      <c r="T39" s="42">
        <f t="shared" ca="1" si="26"/>
        <v>0.50166036180726292</v>
      </c>
      <c r="U39" s="44">
        <f ca="1">(IF(D39&gt;=Inputs!$E$12,1,IF(K39&lt;=Inputs!$C$46,Inputs!$D$46,IF(K39&lt;=Inputs!$C$47,Inputs!$D$47,Inputs!$D$48))))*((Inputs!$B$28+(P39-0.5)*2*Inputs!$B$53)/Inputs!$B$28)</f>
        <v>1.00104819587181</v>
      </c>
      <c r="V39" s="44">
        <f ca="1">(IF(E39&gt;=Inputs!$E$13,1,IF(L39&lt;=Inputs!$C$46,Inputs!$D$46,IF(L39&lt;=Inputs!$C$47,Inputs!$D$47,Inputs!$D$48))))*((Inputs!$B$29+(Q39-0.5)*2*Inputs!$B$53)/Inputs!$B$29)</f>
        <v>0.99932843859434206</v>
      </c>
      <c r="W39" s="44">
        <f ca="1">(IF(F39&gt;=Inputs!$E$14,1,IF(M39&lt;=Inputs!$C$46,Inputs!$D$46,IF(M39&lt;=Inputs!$C$47,Inputs!$D$47,Inputs!$D$48))))*((Inputs!$B$30+(R39-0.5)*2*Inputs!$B$53)/Inputs!$B$30)</f>
        <v>1.0032845075621246</v>
      </c>
      <c r="X39" s="44">
        <f ca="1">(IF(G39&gt;=Inputs!$E$15,1,IF(N39&lt;=Inputs!$C$46,Inputs!$D$46,IF(N39&lt;=Inputs!$C$47,Inputs!$D$47,Inputs!$D$48))))*((Inputs!$B$31+(S39-0.5)*2*Inputs!$B$53)/Inputs!$B$31)</f>
        <v>1.0012427750649131</v>
      </c>
      <c r="Y39" s="44">
        <f ca="1">(IF(H39&gt;=Inputs!$E$16,1,IF(O39&lt;=Inputs!$C$46,Inputs!$D$46,IF(O39&lt;=Inputs!$C$47,Inputs!$D$47,Inputs!$D$48))))*((Inputs!$B$32+(T39-0.5)*2*Inputs!$B$53)/Inputs!$B$32)</f>
        <v>1.0000167038411194</v>
      </c>
      <c r="Z39" s="45">
        <f ca="1">ILP_A_CostFocused!$C$9*U39+ILP_A_CostFocused!$C$10*V39+ILP_A_CostFocused!$C$11*W39+ILP_A_CostFocused!$C$12*X39+ILP_A_CostFocused!$C$13*Y39</f>
        <v>18020.817642337679</v>
      </c>
      <c r="AA39" s="45">
        <f ca="1">ILP_A_CostFocused!$D$9*U39+ILP_A_CostFocused!$D$10*V39+ILP_A_CostFocused!$D$11*W39+ILP_A_CostFocused!$D$12*X39+ILP_A_CostFocused!$D$13*Y39</f>
        <v>15011.580425574672</v>
      </c>
      <c r="AB39" s="45">
        <f ca="1">ILP_A_CostFocused!$E$9*U39+ILP_A_CostFocused!$E$10*V39+ILP_A_CostFocused!$E$11*W39+ILP_A_CostFocused!$E$12*X39+ILP_A_CostFocused!$E$13*Y39</f>
        <v>12004.323515529875</v>
      </c>
      <c r="AC39" s="45">
        <f ca="1">Inputs!$B$6*$C39</f>
        <v>20700</v>
      </c>
      <c r="AD39" s="45">
        <f ca="1">Inputs!$B$7*$C39</f>
        <v>17250</v>
      </c>
      <c r="AE39" s="45">
        <f ca="1">Inputs!$B$8*$C39</f>
        <v>13799.999999999998</v>
      </c>
      <c r="AF39" s="45">
        <f t="shared" ca="1" si="3"/>
        <v>2679.182357662321</v>
      </c>
      <c r="AG39" s="45">
        <f t="shared" ca="1" si="4"/>
        <v>2238.4195744253284</v>
      </c>
      <c r="AH39" s="45">
        <f t="shared" ca="1" si="5"/>
        <v>1795.6764844701229</v>
      </c>
      <c r="AI39" s="45">
        <f t="shared" ca="1" si="6"/>
        <v>6713.2784165577723</v>
      </c>
      <c r="AJ39" s="45">
        <f ca="1">U39*(Inputs!$B$12-ILP_A_CostFocused!$F$9)+V39*(Inputs!$B$13-ILP_A_CostFocused!$F$10)+W39*(Inputs!$B$14-ILP_A_CostFocused!$F$11)+X39*(Inputs!$B$15-ILP_A_CostFocused!$F$12)+Y39*(Inputs!$B$16-ILP_A_CostFocused!$F$13)</f>
        <v>25028.510147530898</v>
      </c>
      <c r="AK39" s="45">
        <f t="shared" ca="1" si="7"/>
        <v>6713.2784165577723</v>
      </c>
      <c r="AL39" s="45">
        <f t="shared" ca="1" si="8"/>
        <v>0</v>
      </c>
      <c r="AM39" s="45">
        <f t="shared" ca="1" si="9"/>
        <v>0</v>
      </c>
      <c r="AN39" s="45">
        <f t="shared" ca="1" si="10"/>
        <v>0</v>
      </c>
      <c r="AO39" s="45">
        <f ca="1">MIN(AL39,Inputs!$B$36)</f>
        <v>0</v>
      </c>
      <c r="AP39" s="45">
        <f ca="1">MIN(AN39,Inputs!$B$36-AO39)</f>
        <v>0</v>
      </c>
      <c r="AQ39" s="45">
        <f ca="1">MIN(AM39,Inputs!$B$36-AO39-AP39)</f>
        <v>0</v>
      </c>
      <c r="AR39" s="45">
        <f t="shared" ca="1" si="11"/>
        <v>0</v>
      </c>
      <c r="AS39" s="45">
        <f t="shared" ca="1" si="12"/>
        <v>0</v>
      </c>
      <c r="AT39" s="45">
        <f t="shared" ca="1" si="13"/>
        <v>0</v>
      </c>
      <c r="AU39" s="45">
        <f t="shared" ca="1" si="14"/>
        <v>0</v>
      </c>
      <c r="AV39" s="46">
        <f ca="1">AU39*Inputs!$B$35</f>
        <v>0</v>
      </c>
      <c r="AW39" s="46">
        <f ca="1">AR39*Inputs!$C$6+AT39*Inputs!$C$7+AS39*Inputs!$C$8</f>
        <v>0</v>
      </c>
      <c r="AX39" s="46">
        <f t="shared" ca="1" si="15"/>
        <v>47430748.538384199</v>
      </c>
      <c r="AY39" s="46">
        <f ca="1">IF(J39&gt;1,($CD$4)*Inputs!$B$55*((Z39+AA39+AB39)/(SUM(ILP_A_CostFocused!$C$9:$E$13))),0)</f>
        <v>0</v>
      </c>
      <c r="AZ39" s="46">
        <f t="shared" ca="1" si="16"/>
        <v>0</v>
      </c>
      <c r="BA39" s="41">
        <f t="shared" ca="1" si="17"/>
        <v>0</v>
      </c>
      <c r="BB39" s="41">
        <f t="shared" ca="1" si="18"/>
        <v>1</v>
      </c>
      <c r="BC39" s="41">
        <f t="shared" ca="1" si="19"/>
        <v>1</v>
      </c>
      <c r="BD39" s="41">
        <f t="shared" ca="1" si="20"/>
        <v>1</v>
      </c>
    </row>
    <row r="40" spans="1:56" ht="15" customHeight="1" x14ac:dyDescent="0.3">
      <c r="A40" s="41">
        <v>33</v>
      </c>
      <c r="B40" s="42">
        <f t="shared" ref="B40:B71" ca="1" si="27">RAND()</f>
        <v>0.44044675871306438</v>
      </c>
      <c r="C40" s="43">
        <f ca="1">IF(B40&lt;=Inputs!$C$40,Inputs!$D$40,IF(B40&lt;=Inputs!$C$41,Inputs!$D$41,Inputs!$D$42))</f>
        <v>1</v>
      </c>
      <c r="D40" s="42">
        <f t="shared" ca="1" si="25"/>
        <v>0.50891259817834056</v>
      </c>
      <c r="E40" s="42">
        <f t="shared" ca="1" si="25"/>
        <v>0.54097217572181533</v>
      </c>
      <c r="F40" s="42">
        <f t="shared" ca="1" si="25"/>
        <v>0.89815118569879637</v>
      </c>
      <c r="G40" s="42">
        <f t="shared" ca="1" si="25"/>
        <v>0.63944487781528236</v>
      </c>
      <c r="H40" s="42">
        <f t="shared" ca="1" si="25"/>
        <v>0.78003611766474223</v>
      </c>
      <c r="I40" s="42">
        <f t="shared" ca="1" si="25"/>
        <v>0.11716615122162277</v>
      </c>
      <c r="J40" s="43">
        <f ca="1">IF(I40&lt;Inputs!$B$54,1+Inputs!$B$55,1)</f>
        <v>1</v>
      </c>
      <c r="K40" s="42">
        <f t="shared" ca="1" si="26"/>
        <v>0.40710323746675703</v>
      </c>
      <c r="L40" s="42">
        <f t="shared" ca="1" si="26"/>
        <v>0.81883693053048856</v>
      </c>
      <c r="M40" s="42">
        <f t="shared" ca="1" si="26"/>
        <v>0.11606702221608378</v>
      </c>
      <c r="N40" s="42">
        <f t="shared" ca="1" si="26"/>
        <v>8.1227756406105689E-2</v>
      </c>
      <c r="O40" s="42">
        <f t="shared" ca="1" si="26"/>
        <v>0.89862652375061658</v>
      </c>
      <c r="P40" s="42">
        <f t="shared" ca="1" si="26"/>
        <v>0.31725784083891273</v>
      </c>
      <c r="Q40" s="42">
        <f t="shared" ca="1" si="26"/>
        <v>0.79155872250169812</v>
      </c>
      <c r="R40" s="42">
        <f t="shared" ca="1" si="26"/>
        <v>0.35780282084212589</v>
      </c>
      <c r="S40" s="42">
        <f t="shared" ca="1" si="26"/>
        <v>0.40222098505724568</v>
      </c>
      <c r="T40" s="42">
        <f t="shared" ca="1" si="26"/>
        <v>0.32206460489469413</v>
      </c>
      <c r="U40" s="44">
        <f ca="1">(IF(D40&gt;=Inputs!$E$12,1,IF(K40&lt;=Inputs!$C$46,Inputs!$D$46,IF(K40&lt;=Inputs!$C$47,Inputs!$D$47,Inputs!$D$48))))*((Inputs!$B$28+(P40-0.5)*2*Inputs!$B$53)/Inputs!$B$28)</f>
        <v>0.99815038300444248</v>
      </c>
      <c r="V40" s="44">
        <f ca="1">(IF(E40&gt;=Inputs!$E$13,1,IF(L40&lt;=Inputs!$C$46,Inputs!$D$46,IF(L40&lt;=Inputs!$C$47,Inputs!$D$47,Inputs!$D$48))))*((Inputs!$B$29+(Q40-0.5)*2*Inputs!$B$53)/Inputs!$B$29)</f>
        <v>1.0029391000252188</v>
      </c>
      <c r="W40" s="44">
        <f ca="1">(IF(F40&gt;=Inputs!$E$14,1,IF(M40&lt;=Inputs!$C$46,Inputs!$D$46,IF(M40&lt;=Inputs!$C$47,Inputs!$D$47,Inputs!$D$48))))*((Inputs!$B$30+(R40-0.5)*2*Inputs!$B$53)/Inputs!$B$30)</f>
        <v>0.99857088262152882</v>
      </c>
      <c r="X40" s="44">
        <f ca="1">(IF(G40&gt;=Inputs!$E$15,1,IF(N40&lt;=Inputs!$C$46,Inputs!$D$46,IF(N40&lt;=Inputs!$C$47,Inputs!$D$47,Inputs!$D$48))))*((Inputs!$B$31+(S40-0.5)*2*Inputs!$B$53)/Inputs!$B$31)</f>
        <v>0.99900731964525125</v>
      </c>
      <c r="Y40" s="44">
        <f ca="1">(IF(H40&gt;=Inputs!$E$16,1,IF(O40&lt;=Inputs!$C$46,Inputs!$D$46,IF(O40&lt;=Inputs!$C$47,Inputs!$D$47,Inputs!$D$48))))*((Inputs!$B$32+(T40-0.5)*2*Inputs!$B$53)/Inputs!$B$32)</f>
        <v>0.99820990548183797</v>
      </c>
      <c r="Z40" s="45">
        <f ca="1">ILP_A_CostFocused!$C$9*U40+ILP_A_CostFocused!$C$10*V40+ILP_A_CostFocused!$C$11*W40+ILP_A_CostFocused!$C$12*X40+ILP_A_CostFocused!$C$13*Y40</f>
        <v>17976.383216898525</v>
      </c>
      <c r="AA40" s="45">
        <f ca="1">ILP_A_CostFocused!$D$9*U40+ILP_A_CostFocused!$D$10*V40+ILP_A_CostFocused!$D$11*W40+ILP_A_CostFocused!$D$12*X40+ILP_A_CostFocused!$D$13*Y40</f>
        <v>15018.322361720338</v>
      </c>
      <c r="AB40" s="45">
        <f ca="1">ILP_A_CostFocused!$E$9*U40+ILP_A_CostFocused!$E$10*V40+ILP_A_CostFocused!$E$11*W40+ILP_A_CostFocused!$E$12*X40+ILP_A_CostFocused!$E$13*Y40</f>
        <v>12000.790437753036</v>
      </c>
      <c r="AC40" s="45">
        <f ca="1">Inputs!$B$6*$C40</f>
        <v>18000</v>
      </c>
      <c r="AD40" s="45">
        <f ca="1">Inputs!$B$7*$C40</f>
        <v>15000</v>
      </c>
      <c r="AE40" s="45">
        <f ca="1">Inputs!$B$8*$C40</f>
        <v>12000</v>
      </c>
      <c r="AF40" s="45">
        <f t="shared" ref="AF40:AF71" ca="1" si="28">MAX(0,AC40-Z40)</f>
        <v>23.616783101475448</v>
      </c>
      <c r="AG40" s="45">
        <f t="shared" ref="AG40:AG71" ca="1" si="29">MAX(0,AD40-AA40)</f>
        <v>0</v>
      </c>
      <c r="AH40" s="45">
        <f t="shared" ref="AH40:AH71" ca="1" si="30">MAX(0,AE40-AB40)</f>
        <v>0</v>
      </c>
      <c r="AI40" s="45">
        <f t="shared" ref="AI40:AI71" ca="1" si="31">SUM(AF40:AH40)</f>
        <v>23.616783101475448</v>
      </c>
      <c r="AJ40" s="45">
        <f ca="1">U40*(Inputs!$B$12-ILP_A_CostFocused!$F$9)+V40*(Inputs!$B$13-ILP_A_CostFocused!$F$10)+W40*(Inputs!$B$14-ILP_A_CostFocused!$F$11)+X40*(Inputs!$B$15-ILP_A_CostFocused!$F$12)+Y40*(Inputs!$B$16-ILP_A_CostFocused!$F$13)</f>
        <v>24958.715404102702</v>
      </c>
      <c r="AK40" s="45">
        <f t="shared" ref="AK40:AK71" ca="1" si="32">MIN(AI40,MAX(0,AJ40))</f>
        <v>23.616783101475448</v>
      </c>
      <c r="AL40" s="45">
        <f t="shared" ref="AL40:AL71" ca="1" si="33">AF40*(1-(IF(AI40&gt;0,AK40/AI40,0)))</f>
        <v>0</v>
      </c>
      <c r="AM40" s="45">
        <f t="shared" ref="AM40:AM71" ca="1" si="34">AG40*(1-(IF(AI40&gt;0,AK40/AI40,0)))</f>
        <v>0</v>
      </c>
      <c r="AN40" s="45">
        <f t="shared" ref="AN40:AN71" ca="1" si="35">AH40*(1-(IF(AI40&gt;0,AK40/AI40,0)))</f>
        <v>0</v>
      </c>
      <c r="AO40" s="45">
        <f ca="1">MIN(AL40,Inputs!$B$36)</f>
        <v>0</v>
      </c>
      <c r="AP40" s="45">
        <f ca="1">MIN(AN40,Inputs!$B$36-AO40)</f>
        <v>0</v>
      </c>
      <c r="AQ40" s="45">
        <f ca="1">MIN(AM40,Inputs!$B$36-AO40-AP40)</f>
        <v>0</v>
      </c>
      <c r="AR40" s="45">
        <f t="shared" ref="AR40:AR71" ca="1" si="36">AL40-AO40</f>
        <v>0</v>
      </c>
      <c r="AS40" s="45">
        <f t="shared" ref="AS40:AS71" ca="1" si="37">AN40-AP40</f>
        <v>0</v>
      </c>
      <c r="AT40" s="45">
        <f t="shared" ref="AT40:AT71" ca="1" si="38">AM40-AQ40</f>
        <v>0</v>
      </c>
      <c r="AU40" s="45">
        <f t="shared" ref="AU40:AU71" ca="1" si="39">AO40+AP40+AQ40</f>
        <v>0</v>
      </c>
      <c r="AV40" s="46">
        <f ca="1">AU40*Inputs!$B$35</f>
        <v>0</v>
      </c>
      <c r="AW40" s="46">
        <f ca="1">AR40*Inputs!$C$6+AT40*Inputs!$C$7+AS40*Inputs!$C$8</f>
        <v>0</v>
      </c>
      <c r="AX40" s="46">
        <f t="shared" ref="AX40:AX71" ca="1" si="40">Z40*$CA$4+AA40*$CB$4+AB40*$CC$4</f>
        <v>47388208.235779434</v>
      </c>
      <c r="AY40" s="46">
        <f ca="1">IF(J40&gt;1,($CD$4)*Inputs!$B$55*((Z40+AA40+AB40)/(SUM(ILP_A_CostFocused!$C$9:$E$13))),0)</f>
        <v>0</v>
      </c>
      <c r="AZ40" s="46">
        <f t="shared" ref="AZ40:AZ71" ca="1" si="41">AV40+AW40</f>
        <v>0</v>
      </c>
      <c r="BA40" s="41">
        <f t="shared" ref="BA40:BA71" ca="1" si="42">IF(AR40+AT40+AS40&gt;0,1,0)</f>
        <v>0</v>
      </c>
      <c r="BB40" s="41">
        <f t="shared" ref="BB40:BB71" ca="1" si="43">IF(AR40=0,1,0)</f>
        <v>1</v>
      </c>
      <c r="BC40" s="41">
        <f t="shared" ref="BC40:BC71" ca="1" si="44">IF(AT40=0,1,0)</f>
        <v>1</v>
      </c>
      <c r="BD40" s="41">
        <f t="shared" ref="BD40:BD71" ca="1" si="45">IF(AS40=0,1,0)</f>
        <v>1</v>
      </c>
    </row>
    <row r="41" spans="1:56" ht="15" customHeight="1" x14ac:dyDescent="0.3">
      <c r="A41" s="41">
        <v>34</v>
      </c>
      <c r="B41" s="42">
        <f t="shared" ca="1" si="27"/>
        <v>0.23872121466109086</v>
      </c>
      <c r="C41" s="43">
        <f ca="1">IF(B41&lt;=Inputs!$C$40,Inputs!$D$40,IF(B41&lt;=Inputs!$C$41,Inputs!$D$41,Inputs!$D$42))</f>
        <v>1</v>
      </c>
      <c r="D41" s="42">
        <f t="shared" ca="1" si="25"/>
        <v>0.66956992248576741</v>
      </c>
      <c r="E41" s="42">
        <f t="shared" ca="1" si="25"/>
        <v>0.8778518757730368</v>
      </c>
      <c r="F41" s="42">
        <f t="shared" ca="1" si="25"/>
        <v>0.91141407239253458</v>
      </c>
      <c r="G41" s="42">
        <f t="shared" ca="1" si="25"/>
        <v>0.36564807852625181</v>
      </c>
      <c r="H41" s="42">
        <f t="shared" ca="1" si="25"/>
        <v>0.74541928725573037</v>
      </c>
      <c r="I41" s="42">
        <f t="shared" ca="1" si="25"/>
        <v>0.19267459790425889</v>
      </c>
      <c r="J41" s="43">
        <f ca="1">IF(I41&lt;Inputs!$B$54,1+Inputs!$B$55,1)</f>
        <v>1</v>
      </c>
      <c r="K41" s="42">
        <f t="shared" ca="1" si="26"/>
        <v>0.14184732723416471</v>
      </c>
      <c r="L41" s="42">
        <f t="shared" ca="1" si="26"/>
        <v>0.96906583447600403</v>
      </c>
      <c r="M41" s="42">
        <f t="shared" ca="1" si="26"/>
        <v>0.59746858054821184</v>
      </c>
      <c r="N41" s="42">
        <f t="shared" ca="1" si="26"/>
        <v>0.83160462695395621</v>
      </c>
      <c r="O41" s="42">
        <f t="shared" ca="1" si="26"/>
        <v>0.7775436706567197</v>
      </c>
      <c r="P41" s="42">
        <f t="shared" ca="1" si="26"/>
        <v>0.43655063964978702</v>
      </c>
      <c r="Q41" s="42">
        <f t="shared" ca="1" si="26"/>
        <v>2.2712106918601038E-2</v>
      </c>
      <c r="R41" s="42">
        <f t="shared" ca="1" si="26"/>
        <v>0.90543667951770856</v>
      </c>
      <c r="S41" s="42">
        <f t="shared" ca="1" si="26"/>
        <v>0.40180988935210027</v>
      </c>
      <c r="T41" s="42">
        <f t="shared" ca="1" si="26"/>
        <v>4.8213954626858513E-2</v>
      </c>
      <c r="U41" s="44">
        <f ca="1">(IF(D41&gt;=Inputs!$E$12,1,IF(K41&lt;=Inputs!$C$46,Inputs!$D$46,IF(K41&lt;=Inputs!$C$47,Inputs!$D$47,Inputs!$D$48))))*((Inputs!$B$28+(P41-0.5)*2*Inputs!$B$53)/Inputs!$B$28)</f>
        <v>0.99935779999645535</v>
      </c>
      <c r="V41" s="44">
        <f ca="1">(IF(E41&gt;=Inputs!$E$13,1,IF(L41&lt;=Inputs!$C$46,Inputs!$D$46,IF(L41&lt;=Inputs!$C$47,Inputs!$D$47,Inputs!$D$48))))*((Inputs!$B$29+(Q41-0.5)*2*Inputs!$B$53)/Inputs!$B$29)</f>
        <v>0.99518863011006653</v>
      </c>
      <c r="W41" s="44">
        <f ca="1">(IF(F41&gt;=Inputs!$E$14,1,IF(M41&lt;=Inputs!$C$46,Inputs!$D$46,IF(M41&lt;=Inputs!$C$47,Inputs!$D$47,Inputs!$D$48))))*((Inputs!$B$30+(R41-0.5)*2*Inputs!$B$53)/Inputs!$B$30)</f>
        <v>1.0040747404976655</v>
      </c>
      <c r="X41" s="44">
        <f ca="1">(IF(G41&gt;=Inputs!$E$15,1,IF(N41&lt;=Inputs!$C$46,Inputs!$D$46,IF(N41&lt;=Inputs!$C$47,Inputs!$D$47,Inputs!$D$48))))*((Inputs!$B$31+(S41-0.5)*2*Inputs!$B$53)/Inputs!$B$31)</f>
        <v>0.9990031460847929</v>
      </c>
      <c r="Y41" s="44">
        <f ca="1">(IF(H41&gt;=Inputs!$E$16,1,IF(O41&lt;=Inputs!$C$46,Inputs!$D$46,IF(O41&lt;=Inputs!$C$47,Inputs!$D$47,Inputs!$D$48))))*((Inputs!$B$32+(T41-0.5)*2*Inputs!$B$53)/Inputs!$B$32)</f>
        <v>0.99545486875882161</v>
      </c>
      <c r="Z41" s="45">
        <f ca="1">ILP_A_CostFocused!$C$9*U41+ILP_A_CostFocused!$C$10*V41+ILP_A_CostFocused!$C$11*W41+ILP_A_CostFocused!$C$12*X41+ILP_A_CostFocused!$C$13*Y41</f>
        <v>17984.243250740241</v>
      </c>
      <c r="AA41" s="45">
        <f ca="1">ILP_A_CostFocused!$D$9*U41+ILP_A_CostFocused!$D$10*V41+ILP_A_CostFocused!$D$11*W41+ILP_A_CostFocused!$D$12*X41+ILP_A_CostFocused!$D$13*Y41</f>
        <v>14975.973087675462</v>
      </c>
      <c r="AB41" s="45">
        <f ca="1">ILP_A_CostFocused!$E$9*U41+ILP_A_CostFocused!$E$10*V41+ILP_A_CostFocused!$E$11*W41+ILP_A_CostFocused!$E$12*X41+ILP_A_CostFocused!$E$13*Y41</f>
        <v>11972.281584502798</v>
      </c>
      <c r="AC41" s="45">
        <f ca="1">Inputs!$B$6*$C41</f>
        <v>18000</v>
      </c>
      <c r="AD41" s="45">
        <f ca="1">Inputs!$B$7*$C41</f>
        <v>15000</v>
      </c>
      <c r="AE41" s="45">
        <f ca="1">Inputs!$B$8*$C41</f>
        <v>12000</v>
      </c>
      <c r="AF41" s="45">
        <f t="shared" ca="1" si="28"/>
        <v>15.75674925975909</v>
      </c>
      <c r="AG41" s="45">
        <f t="shared" ca="1" si="29"/>
        <v>24.026912324537989</v>
      </c>
      <c r="AH41" s="45">
        <f t="shared" ca="1" si="30"/>
        <v>27.718415497201931</v>
      </c>
      <c r="AI41" s="45">
        <f t="shared" ca="1" si="31"/>
        <v>67.50207708149901</v>
      </c>
      <c r="AJ41" s="45">
        <f ca="1">U41*(Inputs!$B$12-ILP_A_CostFocused!$F$9)+V41*(Inputs!$B$13-ILP_A_CostFocused!$F$10)+W41*(Inputs!$B$14-ILP_A_CostFocused!$F$11)+X41*(Inputs!$B$15-ILP_A_CostFocused!$F$12)+Y41*(Inputs!$B$16-ILP_A_CostFocused!$F$13)</f>
        <v>24962.700109435209</v>
      </c>
      <c r="AK41" s="45">
        <f t="shared" ca="1" si="32"/>
        <v>67.50207708149901</v>
      </c>
      <c r="AL41" s="45">
        <f t="shared" ca="1" si="33"/>
        <v>0</v>
      </c>
      <c r="AM41" s="45">
        <f t="shared" ca="1" si="34"/>
        <v>0</v>
      </c>
      <c r="AN41" s="45">
        <f t="shared" ca="1" si="35"/>
        <v>0</v>
      </c>
      <c r="AO41" s="45">
        <f ca="1">MIN(AL41,Inputs!$B$36)</f>
        <v>0</v>
      </c>
      <c r="AP41" s="45">
        <f ca="1">MIN(AN41,Inputs!$B$36-AO41)</f>
        <v>0</v>
      </c>
      <c r="AQ41" s="45">
        <f ca="1">MIN(AM41,Inputs!$B$36-AO41-AP41)</f>
        <v>0</v>
      </c>
      <c r="AR41" s="45">
        <f t="shared" ca="1" si="36"/>
        <v>0</v>
      </c>
      <c r="AS41" s="45">
        <f t="shared" ca="1" si="37"/>
        <v>0</v>
      </c>
      <c r="AT41" s="45">
        <f t="shared" ca="1" si="38"/>
        <v>0</v>
      </c>
      <c r="AU41" s="45">
        <f t="shared" ca="1" si="39"/>
        <v>0</v>
      </c>
      <c r="AV41" s="46">
        <f ca="1">AU41*Inputs!$B$35</f>
        <v>0</v>
      </c>
      <c r="AW41" s="46">
        <f ca="1">AR41*Inputs!$C$6+AT41*Inputs!$C$7+AS41*Inputs!$C$8</f>
        <v>0</v>
      </c>
      <c r="AX41" s="46">
        <f t="shared" ca="1" si="40"/>
        <v>47320733.240525998</v>
      </c>
      <c r="AY41" s="46">
        <f ca="1">IF(J41&gt;1,($CD$4)*Inputs!$B$55*((Z41+AA41+AB41)/(SUM(ILP_A_CostFocused!$C$9:$E$13))),0)</f>
        <v>0</v>
      </c>
      <c r="AZ41" s="46">
        <f t="shared" ca="1" si="41"/>
        <v>0</v>
      </c>
      <c r="BA41" s="41">
        <f t="shared" ca="1" si="42"/>
        <v>0</v>
      </c>
      <c r="BB41" s="41">
        <f t="shared" ca="1" si="43"/>
        <v>1</v>
      </c>
      <c r="BC41" s="41">
        <f t="shared" ca="1" si="44"/>
        <v>1</v>
      </c>
      <c r="BD41" s="41">
        <f t="shared" ca="1" si="45"/>
        <v>1</v>
      </c>
    </row>
    <row r="42" spans="1:56" ht="15" customHeight="1" x14ac:dyDescent="0.3">
      <c r="A42" s="41">
        <v>35</v>
      </c>
      <c r="B42" s="42">
        <f t="shared" ca="1" si="27"/>
        <v>0.58252197884414292</v>
      </c>
      <c r="C42" s="43">
        <f ca="1">IF(B42&lt;=Inputs!$C$40,Inputs!$D$40,IF(B42&lt;=Inputs!$C$41,Inputs!$D$41,Inputs!$D$42))</f>
        <v>1</v>
      </c>
      <c r="D42" s="42">
        <f t="shared" ca="1" si="25"/>
        <v>0.95311630886821352</v>
      </c>
      <c r="E42" s="42">
        <f t="shared" ca="1" si="25"/>
        <v>0.21579934746181395</v>
      </c>
      <c r="F42" s="42">
        <f t="shared" ca="1" si="25"/>
        <v>0.20374973058167178</v>
      </c>
      <c r="G42" s="42">
        <f t="shared" ca="1" si="25"/>
        <v>0.47067384245260857</v>
      </c>
      <c r="H42" s="42">
        <f t="shared" ca="1" si="25"/>
        <v>0.18443546016441592</v>
      </c>
      <c r="I42" s="42">
        <f t="shared" ca="1" si="25"/>
        <v>0.76291406452686616</v>
      </c>
      <c r="J42" s="43">
        <f ca="1">IF(I42&lt;Inputs!$B$54,1+Inputs!$B$55,1)</f>
        <v>1</v>
      </c>
      <c r="K42" s="42">
        <f t="shared" ca="1" si="26"/>
        <v>0.22833045184320477</v>
      </c>
      <c r="L42" s="42">
        <f t="shared" ca="1" si="26"/>
        <v>0.89837727355443986</v>
      </c>
      <c r="M42" s="42">
        <f t="shared" ca="1" si="26"/>
        <v>0.22427265592251466</v>
      </c>
      <c r="N42" s="42">
        <f t="shared" ca="1" si="26"/>
        <v>0.76360898038167657</v>
      </c>
      <c r="O42" s="42">
        <f t="shared" ca="1" si="26"/>
        <v>0.47546364144409425</v>
      </c>
      <c r="P42" s="42">
        <f t="shared" ca="1" si="26"/>
        <v>0.61331540532398376</v>
      </c>
      <c r="Q42" s="42">
        <f t="shared" ca="1" si="26"/>
        <v>0.55982250239929399</v>
      </c>
      <c r="R42" s="42">
        <f t="shared" ca="1" si="26"/>
        <v>0.22527886776700634</v>
      </c>
      <c r="S42" s="42">
        <f t="shared" ca="1" si="26"/>
        <v>0.41905765118084559</v>
      </c>
      <c r="T42" s="42">
        <f t="shared" ca="1" si="26"/>
        <v>0.68860922436425587</v>
      </c>
      <c r="U42" s="44">
        <f ca="1">(IF(D42&gt;=Inputs!$E$12,1,IF(K42&lt;=Inputs!$C$46,Inputs!$D$46,IF(K42&lt;=Inputs!$C$47,Inputs!$D$47,Inputs!$D$48))))*((Inputs!$B$28+(P42-0.5)*2*Inputs!$B$53)/Inputs!$B$28)</f>
        <v>1.001146917057935</v>
      </c>
      <c r="V42" s="44">
        <f ca="1">(IF(E42&gt;=Inputs!$E$13,1,IF(L42&lt;=Inputs!$C$46,Inputs!$D$46,IF(L42&lt;=Inputs!$C$47,Inputs!$D$47,Inputs!$D$48))))*((Inputs!$B$29+(Q42-0.5)*2*Inputs!$B$53)/Inputs!$B$29)</f>
        <v>1.0006030494193479</v>
      </c>
      <c r="W42" s="44">
        <f ca="1">(IF(F42&gt;=Inputs!$E$14,1,IF(M42&lt;=Inputs!$C$46,Inputs!$D$46,IF(M42&lt;=Inputs!$C$47,Inputs!$D$47,Inputs!$D$48))))*((Inputs!$B$30+(R42-0.5)*2*Inputs!$B$53)/Inputs!$B$30)</f>
        <v>0.99723898359564833</v>
      </c>
      <c r="X42" s="44">
        <f ca="1">(IF(G42&gt;=Inputs!$E$15,1,IF(N42&lt;=Inputs!$C$46,Inputs!$D$46,IF(N42&lt;=Inputs!$C$47,Inputs!$D$47,Inputs!$D$48))))*((Inputs!$B$31+(S42-0.5)*2*Inputs!$B$53)/Inputs!$B$31)</f>
        <v>0.99917825026579532</v>
      </c>
      <c r="Y42" s="44">
        <f ca="1">(IF(H42&gt;=Inputs!$E$16,1,IF(O42&lt;=Inputs!$C$46,Inputs!$D$46,IF(O42&lt;=Inputs!$C$47,Inputs!$D$47,Inputs!$D$48))))*((Inputs!$B$32+(T42-0.5)*2*Inputs!$B$53)/Inputs!$B$32)</f>
        <v>1.0018974771062803</v>
      </c>
      <c r="Z42" s="45">
        <f ca="1">ILP_A_CostFocused!$C$9*U42+ILP_A_CostFocused!$C$10*V42+ILP_A_CostFocused!$C$11*W42+ILP_A_CostFocused!$C$12*X42+ILP_A_CostFocused!$C$13*Y42</f>
        <v>17999.335045335527</v>
      </c>
      <c r="AA42" s="45">
        <f ca="1">ILP_A_CostFocused!$D$9*U42+ILP_A_CostFocused!$D$10*V42+ILP_A_CostFocused!$D$11*W42+ILP_A_CostFocused!$D$12*X42+ILP_A_CostFocused!$D$13*Y42</f>
        <v>14990.839398351569</v>
      </c>
      <c r="AB42" s="45">
        <f ca="1">ILP_A_CostFocused!$E$9*U42+ILP_A_CostFocused!$E$10*V42+ILP_A_CostFocused!$E$11*W42+ILP_A_CostFocused!$E$12*X42+ILP_A_CostFocused!$E$13*Y42</f>
        <v>12011.15244003</v>
      </c>
      <c r="AC42" s="45">
        <f ca="1">Inputs!$B$6*$C42</f>
        <v>18000</v>
      </c>
      <c r="AD42" s="45">
        <f ca="1">Inputs!$B$7*$C42</f>
        <v>15000</v>
      </c>
      <c r="AE42" s="45">
        <f ca="1">Inputs!$B$8*$C42</f>
        <v>12000</v>
      </c>
      <c r="AF42" s="45">
        <f t="shared" ca="1" si="28"/>
        <v>0.66495466447304352</v>
      </c>
      <c r="AG42" s="45">
        <f t="shared" ca="1" si="29"/>
        <v>9.1606016484311112</v>
      </c>
      <c r="AH42" s="45">
        <f t="shared" ca="1" si="30"/>
        <v>0</v>
      </c>
      <c r="AI42" s="45">
        <f t="shared" ca="1" si="31"/>
        <v>9.8255563129041548</v>
      </c>
      <c r="AJ42" s="45">
        <f ca="1">U42*(Inputs!$B$12-ILP_A_CostFocused!$F$9)+V42*(Inputs!$B$13-ILP_A_CostFocused!$F$10)+W42*(Inputs!$B$14-ILP_A_CostFocused!$F$11)+X42*(Inputs!$B$15-ILP_A_CostFocused!$F$12)+Y42*(Inputs!$B$16-ILP_A_CostFocused!$F$13)</f>
        <v>25008.174427607912</v>
      </c>
      <c r="AK42" s="45">
        <f t="shared" ca="1" si="32"/>
        <v>9.8255563129041548</v>
      </c>
      <c r="AL42" s="45">
        <f t="shared" ca="1" si="33"/>
        <v>0</v>
      </c>
      <c r="AM42" s="45">
        <f t="shared" ca="1" si="34"/>
        <v>0</v>
      </c>
      <c r="AN42" s="45">
        <f t="shared" ca="1" si="35"/>
        <v>0</v>
      </c>
      <c r="AO42" s="45">
        <f ca="1">MIN(AL42,Inputs!$B$36)</f>
        <v>0</v>
      </c>
      <c r="AP42" s="45">
        <f ca="1">MIN(AN42,Inputs!$B$36-AO42)</f>
        <v>0</v>
      </c>
      <c r="AQ42" s="45">
        <f ca="1">MIN(AM42,Inputs!$B$36-AO42-AP42)</f>
        <v>0</v>
      </c>
      <c r="AR42" s="45">
        <f t="shared" ca="1" si="36"/>
        <v>0</v>
      </c>
      <c r="AS42" s="45">
        <f t="shared" ca="1" si="37"/>
        <v>0</v>
      </c>
      <c r="AT42" s="45">
        <f t="shared" ca="1" si="38"/>
        <v>0</v>
      </c>
      <c r="AU42" s="45">
        <f t="shared" ca="1" si="39"/>
        <v>0</v>
      </c>
      <c r="AV42" s="46">
        <f ca="1">AU42*Inputs!$B$35</f>
        <v>0</v>
      </c>
      <c r="AW42" s="46">
        <f ca="1">AR42*Inputs!$C$6+AT42*Inputs!$C$7+AS42*Inputs!$C$8</f>
        <v>0</v>
      </c>
      <c r="AX42" s="46">
        <f t="shared" ca="1" si="40"/>
        <v>47394149.437799372</v>
      </c>
      <c r="AY42" s="46">
        <f ca="1">IF(J42&gt;1,($CD$4)*Inputs!$B$55*((Z42+AA42+AB42)/(SUM(ILP_A_CostFocused!$C$9:$E$13))),0)</f>
        <v>0</v>
      </c>
      <c r="AZ42" s="46">
        <f t="shared" ca="1" si="41"/>
        <v>0</v>
      </c>
      <c r="BA42" s="41">
        <f t="shared" ca="1" si="42"/>
        <v>0</v>
      </c>
      <c r="BB42" s="41">
        <f t="shared" ca="1" si="43"/>
        <v>1</v>
      </c>
      <c r="BC42" s="41">
        <f t="shared" ca="1" si="44"/>
        <v>1</v>
      </c>
      <c r="BD42" s="41">
        <f t="shared" ca="1" si="45"/>
        <v>1</v>
      </c>
    </row>
    <row r="43" spans="1:56" ht="15" customHeight="1" x14ac:dyDescent="0.3">
      <c r="A43" s="41">
        <v>36</v>
      </c>
      <c r="B43" s="42">
        <f t="shared" ca="1" si="27"/>
        <v>0.25332505524105209</v>
      </c>
      <c r="C43" s="43">
        <f ca="1">IF(B43&lt;=Inputs!$C$40,Inputs!$D$40,IF(B43&lt;=Inputs!$C$41,Inputs!$D$41,Inputs!$D$42))</f>
        <v>1</v>
      </c>
      <c r="D43" s="42">
        <f t="shared" ca="1" si="25"/>
        <v>0.71395523658970894</v>
      </c>
      <c r="E43" s="42">
        <f t="shared" ca="1" si="25"/>
        <v>0.15107441873239613</v>
      </c>
      <c r="F43" s="42">
        <f t="shared" ca="1" si="25"/>
        <v>0.19067012106321235</v>
      </c>
      <c r="G43" s="42">
        <f t="shared" ca="1" si="25"/>
        <v>0.66410776048693665</v>
      </c>
      <c r="H43" s="42">
        <f t="shared" ca="1" si="25"/>
        <v>0.15091820784609244</v>
      </c>
      <c r="I43" s="42">
        <f t="shared" ca="1" si="25"/>
        <v>0.28914295091644959</v>
      </c>
      <c r="J43" s="43">
        <f ca="1">IF(I43&lt;Inputs!$B$54,1+Inputs!$B$55,1)</f>
        <v>1</v>
      </c>
      <c r="K43" s="42">
        <f t="shared" ca="1" si="26"/>
        <v>0.98626502136741134</v>
      </c>
      <c r="L43" s="42">
        <f t="shared" ca="1" si="26"/>
        <v>0.97299874548342757</v>
      </c>
      <c r="M43" s="42">
        <f t="shared" ca="1" si="26"/>
        <v>0.92740664933533135</v>
      </c>
      <c r="N43" s="42">
        <f t="shared" ca="1" si="26"/>
        <v>0.61920908477176317</v>
      </c>
      <c r="O43" s="42">
        <f t="shared" ca="1" si="26"/>
        <v>0.2956023995877114</v>
      </c>
      <c r="P43" s="42">
        <f t="shared" ca="1" si="26"/>
        <v>0.39357527902524381</v>
      </c>
      <c r="Q43" s="42">
        <f t="shared" ca="1" si="26"/>
        <v>0.47759218826418515</v>
      </c>
      <c r="R43" s="42">
        <f t="shared" ca="1" si="26"/>
        <v>0.31586487584749834</v>
      </c>
      <c r="S43" s="42">
        <f t="shared" ca="1" si="26"/>
        <v>0.85419010960215458</v>
      </c>
      <c r="T43" s="42">
        <f t="shared" ca="1" si="26"/>
        <v>0.81440652053119056</v>
      </c>
      <c r="U43" s="44">
        <f ca="1">(IF(D43&gt;=Inputs!$E$12,1,IF(K43&lt;=Inputs!$C$46,Inputs!$D$46,IF(K43&lt;=Inputs!$C$47,Inputs!$D$47,Inputs!$D$48))))*((Inputs!$B$28+(P43-0.5)*2*Inputs!$B$53)/Inputs!$B$28)</f>
        <v>0.99892282671078192</v>
      </c>
      <c r="V43" s="44">
        <f ca="1">(IF(E43&gt;=Inputs!$E$13,1,IF(L43&lt;=Inputs!$C$46,Inputs!$D$46,IF(L43&lt;=Inputs!$C$47,Inputs!$D$47,Inputs!$D$48))))*((Inputs!$B$29+(Q43-0.5)*2*Inputs!$B$53)/Inputs!$B$29)</f>
        <v>0.99977411480105027</v>
      </c>
      <c r="W43" s="44">
        <f ca="1">(IF(F43&gt;=Inputs!$E$14,1,IF(M43&lt;=Inputs!$C$46,Inputs!$D$46,IF(M43&lt;=Inputs!$C$47,Inputs!$D$47,Inputs!$D$48))))*((Inputs!$B$30+(R43-0.5)*2*Inputs!$B$53)/Inputs!$B$30)</f>
        <v>0.99814939573716077</v>
      </c>
      <c r="X43" s="44">
        <f ca="1">(IF(G43&gt;=Inputs!$E$15,1,IF(N43&lt;=Inputs!$C$46,Inputs!$D$46,IF(N43&lt;=Inputs!$C$47,Inputs!$D$47,Inputs!$D$48))))*((Inputs!$B$31+(S43-0.5)*2*Inputs!$B$53)/Inputs!$B$31)</f>
        <v>1.0035958386761641</v>
      </c>
      <c r="Y43" s="44">
        <f ca="1">(IF(H43&gt;=Inputs!$E$16,1,IF(O43&lt;=Inputs!$C$46,Inputs!$D$46,IF(O43&lt;=Inputs!$C$47,Inputs!$D$47,Inputs!$D$48))))*((Inputs!$B$32+(T43-0.5)*2*Inputs!$B$53)/Inputs!$B$32)</f>
        <v>1.0031630434661085</v>
      </c>
      <c r="Z43" s="45">
        <f ca="1">ILP_A_CostFocused!$C$9*U43+ILP_A_CostFocused!$C$10*V43+ILP_A_CostFocused!$C$11*W43+ILP_A_CostFocused!$C$12*X43+ILP_A_CostFocused!$C$13*Y43</f>
        <v>18031.154323372146</v>
      </c>
      <c r="AA43" s="45">
        <f ca="1">ILP_A_CostFocused!$D$9*U43+ILP_A_CostFocused!$D$10*V43+ILP_A_CostFocused!$D$11*W43+ILP_A_CostFocused!$D$12*X43+ILP_A_CostFocused!$D$13*Y43</f>
        <v>14992.4187794302</v>
      </c>
      <c r="AB43" s="45">
        <f ca="1">ILP_A_CostFocused!$E$9*U43+ILP_A_CostFocused!$E$10*V43+ILP_A_CostFocused!$E$11*W43+ILP_A_CostFocused!$E$12*X43+ILP_A_CostFocused!$E$13*Y43</f>
        <v>11991.160103362672</v>
      </c>
      <c r="AC43" s="45">
        <f ca="1">Inputs!$B$6*$C43</f>
        <v>18000</v>
      </c>
      <c r="AD43" s="45">
        <f ca="1">Inputs!$B$7*$C43</f>
        <v>15000</v>
      </c>
      <c r="AE43" s="45">
        <f ca="1">Inputs!$B$8*$C43</f>
        <v>12000</v>
      </c>
      <c r="AF43" s="45">
        <f t="shared" ca="1" si="28"/>
        <v>0</v>
      </c>
      <c r="AG43" s="45">
        <f t="shared" ca="1" si="29"/>
        <v>7.5812205698002799</v>
      </c>
      <c r="AH43" s="45">
        <f t="shared" ca="1" si="30"/>
        <v>8.8398966373279109</v>
      </c>
      <c r="AI43" s="45">
        <f t="shared" ca="1" si="31"/>
        <v>16.421117207128191</v>
      </c>
      <c r="AJ43" s="45">
        <f ca="1">U43*(Inputs!$B$12-ILP_A_CostFocused!$F$9)+V43*(Inputs!$B$13-ILP_A_CostFocused!$F$10)+W43*(Inputs!$B$14-ILP_A_CostFocused!$F$11)+X43*(Inputs!$B$15-ILP_A_CostFocused!$F$12)+Y43*(Inputs!$B$16-ILP_A_CostFocused!$F$13)</f>
        <v>25031.407489110883</v>
      </c>
      <c r="AK43" s="45">
        <f t="shared" ca="1" si="32"/>
        <v>16.421117207128191</v>
      </c>
      <c r="AL43" s="45">
        <f t="shared" ca="1" si="33"/>
        <v>0</v>
      </c>
      <c r="AM43" s="45">
        <f t="shared" ca="1" si="34"/>
        <v>0</v>
      </c>
      <c r="AN43" s="45">
        <f t="shared" ca="1" si="35"/>
        <v>0</v>
      </c>
      <c r="AO43" s="45">
        <f ca="1">MIN(AL43,Inputs!$B$36)</f>
        <v>0</v>
      </c>
      <c r="AP43" s="45">
        <f ca="1">MIN(AN43,Inputs!$B$36-AO43)</f>
        <v>0</v>
      </c>
      <c r="AQ43" s="45">
        <f ca="1">MIN(AM43,Inputs!$B$36-AO43-AP43)</f>
        <v>0</v>
      </c>
      <c r="AR43" s="45">
        <f t="shared" ca="1" si="36"/>
        <v>0</v>
      </c>
      <c r="AS43" s="45">
        <f t="shared" ca="1" si="37"/>
        <v>0</v>
      </c>
      <c r="AT43" s="45">
        <f t="shared" ca="1" si="38"/>
        <v>0</v>
      </c>
      <c r="AU43" s="45">
        <f t="shared" ca="1" si="39"/>
        <v>0</v>
      </c>
      <c r="AV43" s="46">
        <f ca="1">AU43*Inputs!$B$35</f>
        <v>0</v>
      </c>
      <c r="AW43" s="46">
        <f ca="1">AR43*Inputs!$C$6+AT43*Inputs!$C$7+AS43*Inputs!$C$8</f>
        <v>0</v>
      </c>
      <c r="AX43" s="46">
        <f t="shared" ca="1" si="40"/>
        <v>47406922.204266727</v>
      </c>
      <c r="AY43" s="46">
        <f ca="1">IF(J43&gt;1,($CD$4)*Inputs!$B$55*((Z43+AA43+AB43)/(SUM(ILP_A_CostFocused!$C$9:$E$13))),0)</f>
        <v>0</v>
      </c>
      <c r="AZ43" s="46">
        <f t="shared" ca="1" si="41"/>
        <v>0</v>
      </c>
      <c r="BA43" s="41">
        <f t="shared" ca="1" si="42"/>
        <v>0</v>
      </c>
      <c r="BB43" s="41">
        <f t="shared" ca="1" si="43"/>
        <v>1</v>
      </c>
      <c r="BC43" s="41">
        <f t="shared" ca="1" si="44"/>
        <v>1</v>
      </c>
      <c r="BD43" s="41">
        <f t="shared" ca="1" si="45"/>
        <v>1</v>
      </c>
    </row>
    <row r="44" spans="1:56" ht="15" customHeight="1" x14ac:dyDescent="0.3">
      <c r="A44" s="41">
        <v>37</v>
      </c>
      <c r="B44" s="42">
        <f t="shared" ca="1" si="27"/>
        <v>0.84859564203505244</v>
      </c>
      <c r="C44" s="43">
        <f ca="1">IF(B44&lt;=Inputs!$C$40,Inputs!$D$40,IF(B44&lt;=Inputs!$C$41,Inputs!$D$41,Inputs!$D$42))</f>
        <v>1.1499999999999999</v>
      </c>
      <c r="D44" s="42">
        <f t="shared" ca="1" si="25"/>
        <v>0.95969132359333398</v>
      </c>
      <c r="E44" s="42">
        <f t="shared" ca="1" si="25"/>
        <v>0.91507841285632108</v>
      </c>
      <c r="F44" s="42">
        <f t="shared" ca="1" si="25"/>
        <v>0.29464361676375039</v>
      </c>
      <c r="G44" s="42">
        <f t="shared" ca="1" si="25"/>
        <v>0.31392065306143768</v>
      </c>
      <c r="H44" s="42">
        <f t="shared" ca="1" si="25"/>
        <v>0.98775855080637798</v>
      </c>
      <c r="I44" s="42">
        <f t="shared" ca="1" si="25"/>
        <v>0.14556751260167566</v>
      </c>
      <c r="J44" s="43">
        <f ca="1">IF(I44&lt;Inputs!$B$54,1+Inputs!$B$55,1)</f>
        <v>1</v>
      </c>
      <c r="K44" s="42">
        <f t="shared" ca="1" si="26"/>
        <v>0.85384591340712368</v>
      </c>
      <c r="L44" s="42">
        <f t="shared" ca="1" si="26"/>
        <v>1.805007214030363E-2</v>
      </c>
      <c r="M44" s="42">
        <f t="shared" ca="1" si="26"/>
        <v>1.0959253512955236E-2</v>
      </c>
      <c r="N44" s="42">
        <f t="shared" ca="1" si="26"/>
        <v>0.23105997357098351</v>
      </c>
      <c r="O44" s="42">
        <f t="shared" ca="1" si="26"/>
        <v>0.92989687437764623</v>
      </c>
      <c r="P44" s="42">
        <f t="shared" ca="1" si="26"/>
        <v>0.16653910478958023</v>
      </c>
      <c r="Q44" s="42">
        <f t="shared" ca="1" si="26"/>
        <v>0.33619227113879968</v>
      </c>
      <c r="R44" s="42">
        <f t="shared" ca="1" si="26"/>
        <v>0.87909873633268587</v>
      </c>
      <c r="S44" s="42">
        <f t="shared" ca="1" si="26"/>
        <v>0.32946392890327703</v>
      </c>
      <c r="T44" s="42">
        <f t="shared" ca="1" si="26"/>
        <v>0.80306407744552122</v>
      </c>
      <c r="U44" s="44">
        <f ca="1">(IF(D44&gt;=Inputs!$E$12,1,IF(K44&lt;=Inputs!$C$46,Inputs!$D$46,IF(K44&lt;=Inputs!$C$47,Inputs!$D$47,Inputs!$D$48))))*((Inputs!$B$28+(P44-0.5)*2*Inputs!$B$53)/Inputs!$B$28)</f>
        <v>0.99662488972459085</v>
      </c>
      <c r="V44" s="44">
        <f ca="1">(IF(E44&gt;=Inputs!$E$13,1,IF(L44&lt;=Inputs!$C$46,Inputs!$D$46,IF(L44&lt;=Inputs!$C$47,Inputs!$D$47,Inputs!$D$48))))*((Inputs!$B$29+(Q44-0.5)*2*Inputs!$B$53)/Inputs!$B$29)</f>
        <v>0.99834871241067336</v>
      </c>
      <c r="W44" s="44">
        <f ca="1">(IF(F44&gt;=Inputs!$E$14,1,IF(M44&lt;=Inputs!$C$46,Inputs!$D$46,IF(M44&lt;=Inputs!$C$47,Inputs!$D$47,Inputs!$D$48))))*((Inputs!$B$30+(R44-0.5)*2*Inputs!$B$53)/Inputs!$B$30)</f>
        <v>1.0038100375510823</v>
      </c>
      <c r="X44" s="44">
        <f ca="1">(IF(G44&gt;=Inputs!$E$15,1,IF(N44&lt;=Inputs!$C$46,Inputs!$D$46,IF(N44&lt;=Inputs!$C$47,Inputs!$D$47,Inputs!$D$48))))*((Inputs!$B$31+(S44-0.5)*2*Inputs!$B$53)/Inputs!$B$31)</f>
        <v>0.99826866932896718</v>
      </c>
      <c r="Y44" s="44">
        <f ca="1">(IF(H44&gt;=Inputs!$E$16,1,IF(O44&lt;=Inputs!$C$46,Inputs!$D$46,IF(O44&lt;=Inputs!$C$47,Inputs!$D$47,Inputs!$D$48))))*((Inputs!$B$32+(T44-0.5)*2*Inputs!$B$53)/Inputs!$B$32)</f>
        <v>1.0030489343807396</v>
      </c>
      <c r="Z44" s="45">
        <f ca="1">ILP_A_CostFocused!$C$9*U44+ILP_A_CostFocused!$C$10*V44+ILP_A_CostFocused!$C$11*W44+ILP_A_CostFocused!$C$12*X44+ILP_A_CostFocused!$C$13*Y44</f>
        <v>17957.152531166277</v>
      </c>
      <c r="AA44" s="45">
        <f ca="1">ILP_A_CostFocused!$D$9*U44+ILP_A_CostFocused!$D$10*V44+ILP_A_CostFocused!$D$11*W44+ILP_A_CostFocused!$D$12*X44+ILP_A_CostFocused!$D$13*Y44</f>
        <v>15002.346441415997</v>
      </c>
      <c r="AB44" s="45">
        <f ca="1">ILP_A_CostFocused!$E$9*U44+ILP_A_CostFocused!$E$10*V44+ILP_A_CostFocused!$E$11*W44+ILP_A_CostFocused!$E$12*X44+ILP_A_CostFocused!$E$13*Y44</f>
        <v>11967.773025588285</v>
      </c>
      <c r="AC44" s="45">
        <f ca="1">Inputs!$B$6*$C44</f>
        <v>20700</v>
      </c>
      <c r="AD44" s="45">
        <f ca="1">Inputs!$B$7*$C44</f>
        <v>17250</v>
      </c>
      <c r="AE44" s="45">
        <f ca="1">Inputs!$B$8*$C44</f>
        <v>13799.999999999998</v>
      </c>
      <c r="AF44" s="45">
        <f t="shared" ca="1" si="28"/>
        <v>2742.8474688337228</v>
      </c>
      <c r="AG44" s="45">
        <f t="shared" ca="1" si="29"/>
        <v>2247.6535585840029</v>
      </c>
      <c r="AH44" s="45">
        <f t="shared" ca="1" si="30"/>
        <v>1832.2269744117129</v>
      </c>
      <c r="AI44" s="45">
        <f t="shared" ca="1" si="31"/>
        <v>6822.7280018294387</v>
      </c>
      <c r="AJ44" s="45">
        <f ca="1">U44*(Inputs!$B$12-ILP_A_CostFocused!$F$9)+V44*(Inputs!$B$13-ILP_A_CostFocused!$F$10)+W44*(Inputs!$B$14-ILP_A_CostFocused!$F$11)+X44*(Inputs!$B$15-ILP_A_CostFocused!$F$12)+Y44*(Inputs!$B$16-ILP_A_CostFocused!$F$13)</f>
        <v>25070.096746995092</v>
      </c>
      <c r="AK44" s="45">
        <f t="shared" ca="1" si="32"/>
        <v>6822.7280018294387</v>
      </c>
      <c r="AL44" s="45">
        <f t="shared" ca="1" si="33"/>
        <v>0</v>
      </c>
      <c r="AM44" s="45">
        <f t="shared" ca="1" si="34"/>
        <v>0</v>
      </c>
      <c r="AN44" s="45">
        <f t="shared" ca="1" si="35"/>
        <v>0</v>
      </c>
      <c r="AO44" s="45">
        <f ca="1">MIN(AL44,Inputs!$B$36)</f>
        <v>0</v>
      </c>
      <c r="AP44" s="45">
        <f ca="1">MIN(AN44,Inputs!$B$36-AO44)</f>
        <v>0</v>
      </c>
      <c r="AQ44" s="45">
        <f ca="1">MIN(AM44,Inputs!$B$36-AO44-AP44)</f>
        <v>0</v>
      </c>
      <c r="AR44" s="45">
        <f t="shared" ca="1" si="36"/>
        <v>0</v>
      </c>
      <c r="AS44" s="45">
        <f t="shared" ca="1" si="37"/>
        <v>0</v>
      </c>
      <c r="AT44" s="45">
        <f t="shared" ca="1" si="38"/>
        <v>0</v>
      </c>
      <c r="AU44" s="45">
        <f t="shared" ca="1" si="39"/>
        <v>0</v>
      </c>
      <c r="AV44" s="46">
        <f ca="1">AU44*Inputs!$B$35</f>
        <v>0</v>
      </c>
      <c r="AW44" s="46">
        <f ca="1">AR44*Inputs!$C$6+AT44*Inputs!$C$7+AS44*Inputs!$C$8</f>
        <v>0</v>
      </c>
      <c r="AX44" s="46">
        <f t="shared" ca="1" si="40"/>
        <v>47315708.023030989</v>
      </c>
      <c r="AY44" s="46">
        <f ca="1">IF(J44&gt;1,($CD$4)*Inputs!$B$55*((Z44+AA44+AB44)/(SUM(ILP_A_CostFocused!$C$9:$E$13))),0)</f>
        <v>0</v>
      </c>
      <c r="AZ44" s="46">
        <f t="shared" ca="1" si="41"/>
        <v>0</v>
      </c>
      <c r="BA44" s="41">
        <f t="shared" ca="1" si="42"/>
        <v>0</v>
      </c>
      <c r="BB44" s="41">
        <f t="shared" ca="1" si="43"/>
        <v>1</v>
      </c>
      <c r="BC44" s="41">
        <f t="shared" ca="1" si="44"/>
        <v>1</v>
      </c>
      <c r="BD44" s="41">
        <f t="shared" ca="1" si="45"/>
        <v>1</v>
      </c>
    </row>
    <row r="45" spans="1:56" ht="15" customHeight="1" x14ac:dyDescent="0.3">
      <c r="A45" s="41">
        <v>38</v>
      </c>
      <c r="B45" s="42">
        <f t="shared" ca="1" si="27"/>
        <v>0.47643654644000344</v>
      </c>
      <c r="C45" s="43">
        <f ca="1">IF(B45&lt;=Inputs!$C$40,Inputs!$D$40,IF(B45&lt;=Inputs!$C$41,Inputs!$D$41,Inputs!$D$42))</f>
        <v>1</v>
      </c>
      <c r="D45" s="42">
        <f t="shared" ca="1" si="25"/>
        <v>0.96816883500301554</v>
      </c>
      <c r="E45" s="42">
        <f t="shared" ca="1" si="25"/>
        <v>0.33984209064404602</v>
      </c>
      <c r="F45" s="42">
        <f t="shared" ca="1" si="25"/>
        <v>0.43397747600993686</v>
      </c>
      <c r="G45" s="42">
        <f t="shared" ca="1" si="25"/>
        <v>0.17824949674641166</v>
      </c>
      <c r="H45" s="42">
        <f t="shared" ca="1" si="25"/>
        <v>0.31255506837795977</v>
      </c>
      <c r="I45" s="42">
        <f t="shared" ca="1" si="25"/>
        <v>0.77130588908173447</v>
      </c>
      <c r="J45" s="43">
        <f ca="1">IF(I45&lt;Inputs!$B$54,1+Inputs!$B$55,1)</f>
        <v>1</v>
      </c>
      <c r="K45" s="42">
        <f t="shared" ca="1" si="26"/>
        <v>0.82181803714517354</v>
      </c>
      <c r="L45" s="42">
        <f t="shared" ca="1" si="26"/>
        <v>8.7462057319242281E-2</v>
      </c>
      <c r="M45" s="42">
        <f t="shared" ca="1" si="26"/>
        <v>0.239829252580256</v>
      </c>
      <c r="N45" s="42">
        <f t="shared" ca="1" si="26"/>
        <v>9.9719420525517188E-2</v>
      </c>
      <c r="O45" s="42">
        <f t="shared" ca="1" si="26"/>
        <v>0.84501335502002772</v>
      </c>
      <c r="P45" s="42">
        <f t="shared" ca="1" si="26"/>
        <v>0.65969831690948144</v>
      </c>
      <c r="Q45" s="42">
        <f t="shared" ca="1" si="26"/>
        <v>0.43673369981295851</v>
      </c>
      <c r="R45" s="42">
        <f t="shared" ca="1" si="26"/>
        <v>0.35799036564253683</v>
      </c>
      <c r="S45" s="42">
        <f t="shared" ca="1" si="26"/>
        <v>0.42377592394325436</v>
      </c>
      <c r="T45" s="42">
        <f t="shared" ca="1" si="26"/>
        <v>0.22680171413368078</v>
      </c>
      <c r="U45" s="44">
        <f ca="1">(IF(D45&gt;=Inputs!$E$12,1,IF(K45&lt;=Inputs!$C$46,Inputs!$D$46,IF(K45&lt;=Inputs!$C$47,Inputs!$D$47,Inputs!$D$48))))*((Inputs!$B$28+(P45-0.5)*2*Inputs!$B$53)/Inputs!$B$28)</f>
        <v>1.0016163797258044</v>
      </c>
      <c r="V45" s="44">
        <f ca="1">(IF(E45&gt;=Inputs!$E$13,1,IF(L45&lt;=Inputs!$C$46,Inputs!$D$46,IF(L45&lt;=Inputs!$C$47,Inputs!$D$47,Inputs!$D$48))))*((Inputs!$B$29+(Q45-0.5)*2*Inputs!$B$53)/Inputs!$B$29)</f>
        <v>0.99936223487714682</v>
      </c>
      <c r="W45" s="44">
        <f ca="1">(IF(F45&gt;=Inputs!$E$14,1,IF(M45&lt;=Inputs!$C$46,Inputs!$D$46,IF(M45&lt;=Inputs!$C$47,Inputs!$D$47,Inputs!$D$48))))*((Inputs!$B$30+(R45-0.5)*2*Inputs!$B$53)/Inputs!$B$30)</f>
        <v>0.99857276749389479</v>
      </c>
      <c r="X45" s="44">
        <f ca="1">(IF(G45&gt;=Inputs!$E$15,1,IF(N45&lt;=Inputs!$C$46,Inputs!$D$46,IF(N45&lt;=Inputs!$C$47,Inputs!$D$47,Inputs!$D$48))))*((Inputs!$B$31+(S45-0.5)*2*Inputs!$B$53)/Inputs!$B$31)</f>
        <v>0.59953569090726855</v>
      </c>
      <c r="Y45" s="44">
        <f ca="1">(IF(H45&gt;=Inputs!$E$16,1,IF(O45&lt;=Inputs!$C$46,Inputs!$D$46,IF(O45&lt;=Inputs!$C$47,Inputs!$D$47,Inputs!$D$48))))*((Inputs!$B$32+(T45-0.5)*2*Inputs!$B$53)/Inputs!$B$32)</f>
        <v>0.99725152629913161</v>
      </c>
      <c r="Z45" s="45">
        <f ca="1">ILP_A_CostFocused!$C$9*U45+ILP_A_CostFocused!$C$10*V45+ILP_A_CostFocused!$C$11*W45+ILP_A_CostFocused!$C$12*X45+ILP_A_CostFocused!$C$13*Y45</f>
        <v>13686.425031077611</v>
      </c>
      <c r="AA45" s="45">
        <f ca="1">ILP_A_CostFocused!$D$9*U45+ILP_A_CostFocused!$D$10*V45+ILP_A_CostFocused!$D$11*W45+ILP_A_CostFocused!$D$12*X45+ILP_A_CostFocused!$D$13*Y45</f>
        <v>14578.678900739331</v>
      </c>
      <c r="AB45" s="45">
        <f ca="1">ILP_A_CostFocused!$E$9*U45+ILP_A_CostFocused!$E$10*V45+ILP_A_CostFocused!$E$11*W45+ILP_A_CostFocused!$E$12*X45+ILP_A_CostFocused!$E$13*Y45</f>
        <v>12008.576661436096</v>
      </c>
      <c r="AC45" s="45">
        <f ca="1">Inputs!$B$6*$C45</f>
        <v>18000</v>
      </c>
      <c r="AD45" s="45">
        <f ca="1">Inputs!$B$7*$C45</f>
        <v>15000</v>
      </c>
      <c r="AE45" s="45">
        <f ca="1">Inputs!$B$8*$C45</f>
        <v>12000</v>
      </c>
      <c r="AF45" s="45">
        <f t="shared" ca="1" si="28"/>
        <v>4313.5749689223885</v>
      </c>
      <c r="AG45" s="45">
        <f t="shared" ca="1" si="29"/>
        <v>421.32109926066914</v>
      </c>
      <c r="AH45" s="45">
        <f t="shared" ca="1" si="30"/>
        <v>0</v>
      </c>
      <c r="AI45" s="45">
        <f t="shared" ca="1" si="31"/>
        <v>4734.8960681830577</v>
      </c>
      <c r="AJ45" s="45">
        <f ca="1">U45*(Inputs!$B$12-ILP_A_CostFocused!$F$9)+V45*(Inputs!$B$13-ILP_A_CostFocused!$F$10)+W45*(Inputs!$B$14-ILP_A_CostFocused!$F$11)+X45*(Inputs!$B$15-ILP_A_CostFocused!$F$12)+Y45*(Inputs!$B$16-ILP_A_CostFocused!$F$13)</f>
        <v>24877.899933434717</v>
      </c>
      <c r="AK45" s="45">
        <f t="shared" ca="1" si="32"/>
        <v>4734.8960681830577</v>
      </c>
      <c r="AL45" s="45">
        <f t="shared" ca="1" si="33"/>
        <v>0</v>
      </c>
      <c r="AM45" s="45">
        <f t="shared" ca="1" si="34"/>
        <v>0</v>
      </c>
      <c r="AN45" s="45">
        <f t="shared" ca="1" si="35"/>
        <v>0</v>
      </c>
      <c r="AO45" s="45">
        <f ca="1">MIN(AL45,Inputs!$B$36)</f>
        <v>0</v>
      </c>
      <c r="AP45" s="45">
        <f ca="1">MIN(AN45,Inputs!$B$36-AO45)</f>
        <v>0</v>
      </c>
      <c r="AQ45" s="45">
        <f ca="1">MIN(AM45,Inputs!$B$36-AO45-AP45)</f>
        <v>0</v>
      </c>
      <c r="AR45" s="45">
        <f t="shared" ca="1" si="36"/>
        <v>0</v>
      </c>
      <c r="AS45" s="45">
        <f t="shared" ca="1" si="37"/>
        <v>0</v>
      </c>
      <c r="AT45" s="45">
        <f t="shared" ca="1" si="38"/>
        <v>0</v>
      </c>
      <c r="AU45" s="45">
        <f t="shared" ca="1" si="39"/>
        <v>0</v>
      </c>
      <c r="AV45" s="46">
        <f ca="1">AU45*Inputs!$B$35</f>
        <v>0</v>
      </c>
      <c r="AW45" s="46">
        <f ca="1">AR45*Inputs!$C$6+AT45*Inputs!$C$7+AS45*Inputs!$C$8</f>
        <v>0</v>
      </c>
      <c r="AX45" s="46">
        <f t="shared" ca="1" si="40"/>
        <v>42510287.821767479</v>
      </c>
      <c r="AY45" s="46">
        <f ca="1">IF(J45&gt;1,($CD$4)*Inputs!$B$55*((Z45+AA45+AB45)/(SUM(ILP_A_CostFocused!$C$9:$E$13))),0)</f>
        <v>0</v>
      </c>
      <c r="AZ45" s="46">
        <f t="shared" ca="1" si="41"/>
        <v>0</v>
      </c>
      <c r="BA45" s="41">
        <f t="shared" ca="1" si="42"/>
        <v>0</v>
      </c>
      <c r="BB45" s="41">
        <f t="shared" ca="1" si="43"/>
        <v>1</v>
      </c>
      <c r="BC45" s="41">
        <f t="shared" ca="1" si="44"/>
        <v>1</v>
      </c>
      <c r="BD45" s="41">
        <f t="shared" ca="1" si="45"/>
        <v>1</v>
      </c>
    </row>
    <row r="46" spans="1:56" ht="15" customHeight="1" x14ac:dyDescent="0.3">
      <c r="A46" s="41">
        <v>39</v>
      </c>
      <c r="B46" s="42">
        <f t="shared" ca="1" si="27"/>
        <v>0.3162736251336723</v>
      </c>
      <c r="C46" s="43">
        <f ca="1">IF(B46&lt;=Inputs!$C$40,Inputs!$D$40,IF(B46&lt;=Inputs!$C$41,Inputs!$D$41,Inputs!$D$42))</f>
        <v>1</v>
      </c>
      <c r="D46" s="42">
        <f t="shared" ca="1" si="25"/>
        <v>1.4561789792301494E-2</v>
      </c>
      <c r="E46" s="42">
        <f t="shared" ca="1" si="25"/>
        <v>0.88862145719210472</v>
      </c>
      <c r="F46" s="42">
        <f t="shared" ca="1" si="25"/>
        <v>0.25562508584692301</v>
      </c>
      <c r="G46" s="42">
        <f t="shared" ca="1" si="25"/>
        <v>0.80328031247884235</v>
      </c>
      <c r="H46" s="42">
        <f t="shared" ca="1" si="25"/>
        <v>0.92600758674341765</v>
      </c>
      <c r="I46" s="42">
        <f t="shared" ca="1" si="25"/>
        <v>0.35828556069524797</v>
      </c>
      <c r="J46" s="43">
        <f ca="1">IF(I46&lt;Inputs!$B$54,1+Inputs!$B$55,1)</f>
        <v>1</v>
      </c>
      <c r="K46" s="42">
        <f t="shared" ca="1" si="26"/>
        <v>0.63107882726992159</v>
      </c>
      <c r="L46" s="42">
        <f t="shared" ca="1" si="26"/>
        <v>0.40206709260530227</v>
      </c>
      <c r="M46" s="42">
        <f t="shared" ca="1" si="26"/>
        <v>0.98819331029559077</v>
      </c>
      <c r="N46" s="42">
        <f t="shared" ca="1" si="26"/>
        <v>0.5003479665869569</v>
      </c>
      <c r="O46" s="42">
        <f t="shared" ca="1" si="26"/>
        <v>0.21538144024535244</v>
      </c>
      <c r="P46" s="42">
        <f t="shared" ca="1" si="26"/>
        <v>0.58675491383806611</v>
      </c>
      <c r="Q46" s="42">
        <f t="shared" ca="1" si="26"/>
        <v>0.90682740941728923</v>
      </c>
      <c r="R46" s="42">
        <f t="shared" ca="1" si="26"/>
        <v>0.46864225466755793</v>
      </c>
      <c r="S46" s="42">
        <f t="shared" ca="1" si="26"/>
        <v>0.87995967401151653</v>
      </c>
      <c r="T46" s="42">
        <f t="shared" ca="1" si="26"/>
        <v>0.92280154352619426</v>
      </c>
      <c r="U46" s="44">
        <f ca="1">(IF(D46&gt;=Inputs!$E$12,1,IF(K46&lt;=Inputs!$C$46,Inputs!$D$46,IF(K46&lt;=Inputs!$C$47,Inputs!$D$47,Inputs!$D$48))))*((Inputs!$B$28+(P46-0.5)*2*Inputs!$B$53)/Inputs!$B$28)</f>
        <v>0.30026342585173499</v>
      </c>
      <c r="V46" s="44">
        <f ca="1">(IF(E46&gt;=Inputs!$E$13,1,IF(L46&lt;=Inputs!$C$46,Inputs!$D$46,IF(L46&lt;=Inputs!$C$47,Inputs!$D$47,Inputs!$D$48))))*((Inputs!$B$29+(Q46-0.5)*2*Inputs!$B$53)/Inputs!$B$29)</f>
        <v>1.0041010827562227</v>
      </c>
      <c r="W46" s="44">
        <f ca="1">(IF(F46&gt;=Inputs!$E$14,1,IF(M46&lt;=Inputs!$C$46,Inputs!$D$46,IF(M46&lt;=Inputs!$C$47,Inputs!$D$47,Inputs!$D$48))))*((Inputs!$B$30+(R46-0.5)*2*Inputs!$B$53)/Inputs!$B$30)</f>
        <v>0.99968484678057845</v>
      </c>
      <c r="X46" s="44">
        <f ca="1">(IF(G46&gt;=Inputs!$E$15,1,IF(N46&lt;=Inputs!$C$46,Inputs!$D$46,IF(N46&lt;=Inputs!$C$47,Inputs!$D$47,Inputs!$D$48))))*((Inputs!$B$31+(S46-0.5)*2*Inputs!$B$53)/Inputs!$B$31)</f>
        <v>1.0038574586194062</v>
      </c>
      <c r="Y46" s="44">
        <f ca="1">(IF(H46&gt;=Inputs!$E$16,1,IF(O46&lt;=Inputs!$C$46,Inputs!$D$46,IF(O46&lt;=Inputs!$C$47,Inputs!$D$47,Inputs!$D$48))))*((Inputs!$B$32+(T46-0.5)*2*Inputs!$B$53)/Inputs!$B$32)</f>
        <v>1.0042535366551932</v>
      </c>
      <c r="Z46" s="45">
        <f ca="1">ILP_A_CostFocused!$C$9*U46+ILP_A_CostFocused!$C$10*V46+ILP_A_CostFocused!$C$11*W46+ILP_A_CostFocused!$C$12*X46+ILP_A_CostFocused!$C$13*Y46</f>
        <v>13065.494933029673</v>
      </c>
      <c r="AA46" s="45">
        <f ca="1">ILP_A_CostFocused!$D$9*U46+ILP_A_CostFocused!$D$10*V46+ILP_A_CostFocused!$D$11*W46+ILP_A_CostFocused!$D$12*X46+ILP_A_CostFocused!$D$13*Y46</f>
        <v>15039.27488956508</v>
      </c>
      <c r="AB46" s="45">
        <f ca="1">ILP_A_CostFocused!$E$9*U46+ILP_A_CostFocused!$E$10*V46+ILP_A_CostFocused!$E$11*W46+ILP_A_CostFocused!$E$12*X46+ILP_A_CostFocused!$E$13*Y46</f>
        <v>6981.5818633623612</v>
      </c>
      <c r="AC46" s="45">
        <f ca="1">Inputs!$B$6*$C46</f>
        <v>18000</v>
      </c>
      <c r="AD46" s="45">
        <f ca="1">Inputs!$B$7*$C46</f>
        <v>15000</v>
      </c>
      <c r="AE46" s="45">
        <f ca="1">Inputs!$B$8*$C46</f>
        <v>12000</v>
      </c>
      <c r="AF46" s="45">
        <f t="shared" ca="1" si="28"/>
        <v>4934.5050669703269</v>
      </c>
      <c r="AG46" s="45">
        <f t="shared" ca="1" si="29"/>
        <v>0</v>
      </c>
      <c r="AH46" s="45">
        <f t="shared" ca="1" si="30"/>
        <v>5018.4181366376388</v>
      </c>
      <c r="AI46" s="45">
        <f t="shared" ca="1" si="31"/>
        <v>9952.9232036079666</v>
      </c>
      <c r="AJ46" s="45">
        <f ca="1">U46*(Inputs!$B$12-ILP_A_CostFocused!$F$9)+V46*(Inputs!$B$13-ILP_A_CostFocused!$F$10)+W46*(Inputs!$B$14-ILP_A_CostFocused!$F$11)+X46*(Inputs!$B$15-ILP_A_CostFocused!$F$12)+Y46*(Inputs!$B$16-ILP_A_CostFocused!$F$13)</f>
        <v>23881.273847666056</v>
      </c>
      <c r="AK46" s="45">
        <f t="shared" ca="1" si="32"/>
        <v>9952.9232036079666</v>
      </c>
      <c r="AL46" s="45">
        <f t="shared" ca="1" si="33"/>
        <v>0</v>
      </c>
      <c r="AM46" s="45">
        <f t="shared" ca="1" si="34"/>
        <v>0</v>
      </c>
      <c r="AN46" s="45">
        <f t="shared" ca="1" si="35"/>
        <v>0</v>
      </c>
      <c r="AO46" s="45">
        <f ca="1">MIN(AL46,Inputs!$B$36)</f>
        <v>0</v>
      </c>
      <c r="AP46" s="45">
        <f ca="1">MIN(AN46,Inputs!$B$36-AO46)</f>
        <v>0</v>
      </c>
      <c r="AQ46" s="45">
        <f ca="1">MIN(AM46,Inputs!$B$36-AO46-AP46)</f>
        <v>0</v>
      </c>
      <c r="AR46" s="45">
        <f t="shared" ca="1" si="36"/>
        <v>0</v>
      </c>
      <c r="AS46" s="45">
        <f t="shared" ca="1" si="37"/>
        <v>0</v>
      </c>
      <c r="AT46" s="45">
        <f t="shared" ca="1" si="38"/>
        <v>0</v>
      </c>
      <c r="AU46" s="45">
        <f t="shared" ca="1" si="39"/>
        <v>0</v>
      </c>
      <c r="AV46" s="46">
        <f ca="1">AU46*Inputs!$B$35</f>
        <v>0</v>
      </c>
      <c r="AW46" s="46">
        <f ca="1">AR46*Inputs!$C$6+AT46*Inputs!$C$7+AS46*Inputs!$C$8</f>
        <v>0</v>
      </c>
      <c r="AX46" s="46">
        <f t="shared" ca="1" si="40"/>
        <v>36899765.922694743</v>
      </c>
      <c r="AY46" s="46">
        <f ca="1">IF(J46&gt;1,($CD$4)*Inputs!$B$55*((Z46+AA46+AB46)/(SUM(ILP_A_CostFocused!$C$9:$E$13))),0)</f>
        <v>0</v>
      </c>
      <c r="AZ46" s="46">
        <f t="shared" ca="1" si="41"/>
        <v>0</v>
      </c>
      <c r="BA46" s="41">
        <f t="shared" ca="1" si="42"/>
        <v>0</v>
      </c>
      <c r="BB46" s="41">
        <f t="shared" ca="1" si="43"/>
        <v>1</v>
      </c>
      <c r="BC46" s="41">
        <f t="shared" ca="1" si="44"/>
        <v>1</v>
      </c>
      <c r="BD46" s="41">
        <f t="shared" ca="1" si="45"/>
        <v>1</v>
      </c>
    </row>
    <row r="47" spans="1:56" ht="15" customHeight="1" x14ac:dyDescent="0.3">
      <c r="A47" s="41">
        <v>40</v>
      </c>
      <c r="B47" s="42">
        <f t="shared" ca="1" si="27"/>
        <v>0.28460499103514225</v>
      </c>
      <c r="C47" s="43">
        <f ca="1">IF(B47&lt;=Inputs!$C$40,Inputs!$D$40,IF(B47&lt;=Inputs!$C$41,Inputs!$D$41,Inputs!$D$42))</f>
        <v>1</v>
      </c>
      <c r="D47" s="42">
        <f t="shared" ca="1" si="25"/>
        <v>0.79052252641903675</v>
      </c>
      <c r="E47" s="42">
        <f t="shared" ca="1" si="25"/>
        <v>0.35336998974856315</v>
      </c>
      <c r="F47" s="42">
        <f t="shared" ca="1" si="25"/>
        <v>0.47634126941204968</v>
      </c>
      <c r="G47" s="42">
        <f t="shared" ca="1" si="25"/>
        <v>0.67177492543142125</v>
      </c>
      <c r="H47" s="42">
        <f t="shared" ca="1" si="25"/>
        <v>0.47244376610325767</v>
      </c>
      <c r="I47" s="42">
        <f t="shared" ca="1" si="25"/>
        <v>0.25806612519047123</v>
      </c>
      <c r="J47" s="43">
        <f ca="1">IF(I47&lt;Inputs!$B$54,1+Inputs!$B$55,1)</f>
        <v>1</v>
      </c>
      <c r="K47" s="42">
        <f t="shared" ca="1" si="26"/>
        <v>0.54083739959525756</v>
      </c>
      <c r="L47" s="42">
        <f t="shared" ca="1" si="26"/>
        <v>0.12029600775741278</v>
      </c>
      <c r="M47" s="42">
        <f t="shared" ca="1" si="26"/>
        <v>0.47878566949633061</v>
      </c>
      <c r="N47" s="42">
        <f t="shared" ca="1" si="26"/>
        <v>0.6839755251498536</v>
      </c>
      <c r="O47" s="42">
        <f t="shared" ca="1" si="26"/>
        <v>0.35867849393007278</v>
      </c>
      <c r="P47" s="42">
        <f t="shared" ca="1" si="26"/>
        <v>8.8265688209428039E-2</v>
      </c>
      <c r="Q47" s="42">
        <f t="shared" ca="1" si="26"/>
        <v>0.24162114793271749</v>
      </c>
      <c r="R47" s="42">
        <f t="shared" ca="1" si="26"/>
        <v>0.82148821491598711</v>
      </c>
      <c r="S47" s="42">
        <f t="shared" ca="1" si="26"/>
        <v>0.1875231544076742</v>
      </c>
      <c r="T47" s="42">
        <f t="shared" ca="1" si="26"/>
        <v>0.65117442193372155</v>
      </c>
      <c r="U47" s="44">
        <f ca="1">(IF(D47&gt;=Inputs!$E$12,1,IF(K47&lt;=Inputs!$C$46,Inputs!$D$46,IF(K47&lt;=Inputs!$C$47,Inputs!$D$47,Inputs!$D$48))))*((Inputs!$B$28+(P47-0.5)*2*Inputs!$B$53)/Inputs!$B$28)</f>
        <v>0.99583264866608734</v>
      </c>
      <c r="V47" s="44">
        <f ca="1">(IF(E47&gt;=Inputs!$E$13,1,IF(L47&lt;=Inputs!$C$46,Inputs!$D$46,IF(L47&lt;=Inputs!$C$47,Inputs!$D$47,Inputs!$D$48))))*((Inputs!$B$29+(Q47-0.5)*2*Inputs!$B$53)/Inputs!$B$29)</f>
        <v>0.99739537447512816</v>
      </c>
      <c r="W47" s="44">
        <f ca="1">(IF(F47&gt;=Inputs!$E$14,1,IF(M47&lt;=Inputs!$C$46,Inputs!$D$46,IF(M47&lt;=Inputs!$C$47,Inputs!$D$47,Inputs!$D$48))))*((Inputs!$B$30+(R47-0.5)*2*Inputs!$B$53)/Inputs!$B$30)</f>
        <v>1.0032310373358391</v>
      </c>
      <c r="X47" s="44">
        <f ca="1">(IF(G47&gt;=Inputs!$E$15,1,IF(N47&lt;=Inputs!$C$46,Inputs!$D$46,IF(N47&lt;=Inputs!$C$47,Inputs!$D$47,Inputs!$D$48))))*((Inputs!$B$31+(S47-0.5)*2*Inputs!$B$53)/Inputs!$B$31)</f>
        <v>0.99682764623764142</v>
      </c>
      <c r="Y47" s="44">
        <f ca="1">(IF(H47&gt;=Inputs!$E$16,1,IF(O47&lt;=Inputs!$C$46,Inputs!$D$46,IF(O47&lt;=Inputs!$C$47,Inputs!$D$47,Inputs!$D$48))))*((Inputs!$B$32+(T47-0.5)*2*Inputs!$B$53)/Inputs!$B$32)</f>
        <v>1.001520869435953</v>
      </c>
      <c r="Z47" s="45">
        <f ca="1">ILP_A_CostFocused!$C$9*U47+ILP_A_CostFocused!$C$10*V47+ILP_A_CostFocused!$C$11*W47+ILP_A_CostFocused!$C$12*X47+ILP_A_CostFocused!$C$13*Y47</f>
        <v>17935.871169633552</v>
      </c>
      <c r="AA47" s="45">
        <f ca="1">ILP_A_CostFocused!$D$9*U47+ILP_A_CostFocused!$D$10*V47+ILP_A_CostFocused!$D$11*W47+ILP_A_CostFocused!$D$12*X47+ILP_A_CostFocused!$D$13*Y47</f>
        <v>14989.413135371027</v>
      </c>
      <c r="AB47" s="45">
        <f ca="1">ILP_A_CostFocused!$E$9*U47+ILP_A_CostFocused!$E$10*V47+ILP_A_CostFocused!$E$11*W47+ILP_A_CostFocused!$E$12*X47+ILP_A_CostFocused!$E$13*Y47</f>
        <v>11957.492867876445</v>
      </c>
      <c r="AC47" s="45">
        <f ca="1">Inputs!$B$6*$C47</f>
        <v>18000</v>
      </c>
      <c r="AD47" s="45">
        <f ca="1">Inputs!$B$7*$C47</f>
        <v>15000</v>
      </c>
      <c r="AE47" s="45">
        <f ca="1">Inputs!$B$8*$C47</f>
        <v>12000</v>
      </c>
      <c r="AF47" s="45">
        <f t="shared" ca="1" si="28"/>
        <v>64.128830366447801</v>
      </c>
      <c r="AG47" s="45">
        <f t="shared" ca="1" si="29"/>
        <v>10.586864628972762</v>
      </c>
      <c r="AH47" s="45">
        <f t="shared" ca="1" si="30"/>
        <v>42.507132123555493</v>
      </c>
      <c r="AI47" s="45">
        <f t="shared" ca="1" si="31"/>
        <v>117.22282711897606</v>
      </c>
      <c r="AJ47" s="45">
        <f ca="1">U47*(Inputs!$B$12-ILP_A_CostFocused!$F$9)+V47*(Inputs!$B$13-ILP_A_CostFocused!$F$10)+W47*(Inputs!$B$14-ILP_A_CostFocused!$F$11)+X47*(Inputs!$B$15-ILP_A_CostFocused!$F$12)+Y47*(Inputs!$B$16-ILP_A_CostFocused!$F$13)</f>
        <v>25040.828730185069</v>
      </c>
      <c r="AK47" s="45">
        <f t="shared" ca="1" si="32"/>
        <v>117.22282711897606</v>
      </c>
      <c r="AL47" s="45">
        <f t="shared" ca="1" si="33"/>
        <v>0</v>
      </c>
      <c r="AM47" s="45">
        <f t="shared" ca="1" si="34"/>
        <v>0</v>
      </c>
      <c r="AN47" s="45">
        <f t="shared" ca="1" si="35"/>
        <v>0</v>
      </c>
      <c r="AO47" s="45">
        <f ca="1">MIN(AL47,Inputs!$B$36)</f>
        <v>0</v>
      </c>
      <c r="AP47" s="45">
        <f ca="1">MIN(AN47,Inputs!$B$36-AO47)</f>
        <v>0</v>
      </c>
      <c r="AQ47" s="45">
        <f ca="1">MIN(AM47,Inputs!$B$36-AO47-AP47)</f>
        <v>0</v>
      </c>
      <c r="AR47" s="45">
        <f t="shared" ca="1" si="36"/>
        <v>0</v>
      </c>
      <c r="AS47" s="45">
        <f t="shared" ca="1" si="37"/>
        <v>0</v>
      </c>
      <c r="AT47" s="45">
        <f t="shared" ca="1" si="38"/>
        <v>0</v>
      </c>
      <c r="AU47" s="45">
        <f t="shared" ca="1" si="39"/>
        <v>0</v>
      </c>
      <c r="AV47" s="46">
        <f ca="1">AU47*Inputs!$B$35</f>
        <v>0</v>
      </c>
      <c r="AW47" s="46">
        <f ca="1">AR47*Inputs!$C$6+AT47*Inputs!$C$7+AS47*Inputs!$C$8</f>
        <v>0</v>
      </c>
      <c r="AX47" s="46">
        <f t="shared" ca="1" si="40"/>
        <v>47268977.472755931</v>
      </c>
      <c r="AY47" s="46">
        <f ca="1">IF(J47&gt;1,($CD$4)*Inputs!$B$55*((Z47+AA47+AB47)/(SUM(ILP_A_CostFocused!$C$9:$E$13))),0)</f>
        <v>0</v>
      </c>
      <c r="AZ47" s="46">
        <f t="shared" ca="1" si="41"/>
        <v>0</v>
      </c>
      <c r="BA47" s="41">
        <f t="shared" ca="1" si="42"/>
        <v>0</v>
      </c>
      <c r="BB47" s="41">
        <f t="shared" ca="1" si="43"/>
        <v>1</v>
      </c>
      <c r="BC47" s="41">
        <f t="shared" ca="1" si="44"/>
        <v>1</v>
      </c>
      <c r="BD47" s="41">
        <f t="shared" ca="1" si="45"/>
        <v>1</v>
      </c>
    </row>
    <row r="48" spans="1:56" ht="15" customHeight="1" x14ac:dyDescent="0.3">
      <c r="A48" s="41">
        <v>41</v>
      </c>
      <c r="B48" s="42">
        <f t="shared" ca="1" si="27"/>
        <v>0.698891650162492</v>
      </c>
      <c r="C48" s="43">
        <f ca="1">IF(B48&lt;=Inputs!$C$40,Inputs!$D$40,IF(B48&lt;=Inputs!$C$41,Inputs!$D$41,Inputs!$D$42))</f>
        <v>1</v>
      </c>
      <c r="D48" s="42">
        <f t="shared" ref="D48:I57" ca="1" si="46">RAND()</f>
        <v>0.84217191755446386</v>
      </c>
      <c r="E48" s="42">
        <f t="shared" ca="1" si="46"/>
        <v>4.166607378711773E-3</v>
      </c>
      <c r="F48" s="42">
        <f t="shared" ca="1" si="46"/>
        <v>0.78582902668402488</v>
      </c>
      <c r="G48" s="42">
        <f t="shared" ca="1" si="46"/>
        <v>2.2559276662821537E-2</v>
      </c>
      <c r="H48" s="42">
        <f t="shared" ca="1" si="46"/>
        <v>0.16745358032616742</v>
      </c>
      <c r="I48" s="42">
        <f t="shared" ca="1" si="46"/>
        <v>0.56085929520582911</v>
      </c>
      <c r="J48" s="43">
        <f ca="1">IF(I48&lt;Inputs!$B$54,1+Inputs!$B$55,1)</f>
        <v>1</v>
      </c>
      <c r="K48" s="42">
        <f t="shared" ref="K48:T57" ca="1" si="47">RAND()</f>
        <v>0.98119337772357906</v>
      </c>
      <c r="L48" s="42">
        <f t="shared" ca="1" si="47"/>
        <v>3.4371901218354206E-2</v>
      </c>
      <c r="M48" s="42">
        <f t="shared" ca="1" si="47"/>
        <v>0.83599764216352357</v>
      </c>
      <c r="N48" s="42">
        <f t="shared" ca="1" si="47"/>
        <v>0.86925335984789653</v>
      </c>
      <c r="O48" s="42">
        <f t="shared" ca="1" si="47"/>
        <v>0.34776678001711392</v>
      </c>
      <c r="P48" s="42">
        <f t="shared" ca="1" si="47"/>
        <v>0.2011123419019285</v>
      </c>
      <c r="Q48" s="42">
        <f t="shared" ca="1" si="47"/>
        <v>0.6422305076352165</v>
      </c>
      <c r="R48" s="42">
        <f t="shared" ca="1" si="47"/>
        <v>0.16439012964416977</v>
      </c>
      <c r="S48" s="42">
        <f t="shared" ca="1" si="47"/>
        <v>0.65692161850860198</v>
      </c>
      <c r="T48" s="42">
        <f t="shared" ca="1" si="47"/>
        <v>0.43947505030198231</v>
      </c>
      <c r="U48" s="44">
        <f ca="1">(IF(D48&gt;=Inputs!$E$12,1,IF(K48&lt;=Inputs!$C$46,Inputs!$D$46,IF(K48&lt;=Inputs!$C$47,Inputs!$D$47,Inputs!$D$48))))*((Inputs!$B$28+(P48-0.5)*2*Inputs!$B$53)/Inputs!$B$28)</f>
        <v>0.99697482127431103</v>
      </c>
      <c r="V48" s="44">
        <f ca="1">(IF(E48&gt;=Inputs!$E$13,1,IF(L48&lt;=Inputs!$C$46,Inputs!$D$46,IF(L48&lt;=Inputs!$C$47,Inputs!$D$47,Inputs!$D$48))))*((Inputs!$B$29+(Q48-0.5)*2*Inputs!$B$53)/Inputs!$B$29)</f>
        <v>0.60086026516714852</v>
      </c>
      <c r="W48" s="44">
        <f ca="1">(IF(F48&gt;=Inputs!$E$14,1,IF(M48&lt;=Inputs!$C$46,Inputs!$D$46,IF(M48&lt;=Inputs!$C$47,Inputs!$D$47,Inputs!$D$48))))*((Inputs!$B$30+(R48-0.5)*2*Inputs!$B$53)/Inputs!$B$30)</f>
        <v>0.99662703647883588</v>
      </c>
      <c r="X48" s="44">
        <f ca="1">(IF(G48&gt;=Inputs!$E$15,1,IF(N48&lt;=Inputs!$C$46,Inputs!$D$46,IF(N48&lt;=Inputs!$C$47,Inputs!$D$47,Inputs!$D$48))))*((Inputs!$B$31+(S48-0.5)*2*Inputs!$B$53)/Inputs!$B$31)</f>
        <v>0</v>
      </c>
      <c r="Y48" s="44">
        <f ca="1">(IF(H48&gt;=Inputs!$E$16,1,IF(O48&lt;=Inputs!$C$46,Inputs!$D$46,IF(O48&lt;=Inputs!$C$47,Inputs!$D$47,Inputs!$D$48))))*((Inputs!$B$32+(T48-0.5)*2*Inputs!$B$53)/Inputs!$B$32)</f>
        <v>0.99939109708553309</v>
      </c>
      <c r="Z48" s="45">
        <f ca="1">ILP_A_CostFocused!$C$9*U48+ILP_A_CostFocused!$C$10*V48+ILP_A_CostFocused!$C$11*W48+ILP_A_CostFocused!$C$12*X48+ILP_A_CostFocused!$C$13*Y48</f>
        <v>7143.360632237609</v>
      </c>
      <c r="AA48" s="45">
        <f ca="1">ILP_A_CostFocused!$D$9*U48+ILP_A_CostFocused!$D$10*V48+ILP_A_CostFocused!$D$11*W48+ILP_A_CostFocused!$D$12*X48+ILP_A_CostFocused!$D$13*Y48</f>
        <v>10370.945028168939</v>
      </c>
      <c r="AB48" s="45">
        <f ca="1">ILP_A_CostFocused!$E$9*U48+ILP_A_CostFocused!$E$10*V48+ILP_A_CostFocused!$E$11*W48+ILP_A_CostFocused!$E$12*X48+ILP_A_CostFocused!$E$13*Y48</f>
        <v>10062.347985977352</v>
      </c>
      <c r="AC48" s="45">
        <f ca="1">Inputs!$B$6*$C48</f>
        <v>18000</v>
      </c>
      <c r="AD48" s="45">
        <f ca="1">Inputs!$B$7*$C48</f>
        <v>15000</v>
      </c>
      <c r="AE48" s="45">
        <f ca="1">Inputs!$B$8*$C48</f>
        <v>12000</v>
      </c>
      <c r="AF48" s="45">
        <f t="shared" ca="1" si="28"/>
        <v>10856.639367762391</v>
      </c>
      <c r="AG48" s="45">
        <f t="shared" ca="1" si="29"/>
        <v>4629.0549718310613</v>
      </c>
      <c r="AH48" s="45">
        <f t="shared" ca="1" si="30"/>
        <v>1937.6520140226476</v>
      </c>
      <c r="AI48" s="45">
        <f t="shared" ca="1" si="31"/>
        <v>17423.3463536161</v>
      </c>
      <c r="AJ48" s="45">
        <f ca="1">U48*(Inputs!$B$12-ILP_A_CostFocused!$F$9)+V48*(Inputs!$B$13-ILP_A_CostFocused!$F$10)+W48*(Inputs!$B$14-ILP_A_CostFocused!$F$11)+X48*(Inputs!$B$15-ILP_A_CostFocused!$F$12)+Y48*(Inputs!$B$16-ILP_A_CostFocused!$F$13)</f>
        <v>24734.005136853018</v>
      </c>
      <c r="AK48" s="45">
        <f t="shared" ca="1" si="32"/>
        <v>17423.3463536161</v>
      </c>
      <c r="AL48" s="45">
        <f t="shared" ca="1" si="33"/>
        <v>0</v>
      </c>
      <c r="AM48" s="45">
        <f t="shared" ca="1" si="34"/>
        <v>0</v>
      </c>
      <c r="AN48" s="45">
        <f t="shared" ca="1" si="35"/>
        <v>0</v>
      </c>
      <c r="AO48" s="45">
        <f ca="1">MIN(AL48,Inputs!$B$36)</f>
        <v>0</v>
      </c>
      <c r="AP48" s="45">
        <f ca="1">MIN(AN48,Inputs!$B$36-AO48)</f>
        <v>0</v>
      </c>
      <c r="AQ48" s="45">
        <f ca="1">MIN(AM48,Inputs!$B$36-AO48-AP48)</f>
        <v>0</v>
      </c>
      <c r="AR48" s="45">
        <f t="shared" ca="1" si="36"/>
        <v>0</v>
      </c>
      <c r="AS48" s="45">
        <f t="shared" ca="1" si="37"/>
        <v>0</v>
      </c>
      <c r="AT48" s="45">
        <f t="shared" ca="1" si="38"/>
        <v>0</v>
      </c>
      <c r="AU48" s="45">
        <f t="shared" ca="1" si="39"/>
        <v>0</v>
      </c>
      <c r="AV48" s="46">
        <f ca="1">AU48*Inputs!$B$35</f>
        <v>0</v>
      </c>
      <c r="AW48" s="46">
        <f ca="1">AR48*Inputs!$C$6+AT48*Inputs!$C$7+AS48*Inputs!$C$8</f>
        <v>0</v>
      </c>
      <c r="AX48" s="46">
        <f t="shared" ca="1" si="40"/>
        <v>29216975.183171228</v>
      </c>
      <c r="AY48" s="46">
        <f ca="1">IF(J48&gt;1,($CD$4)*Inputs!$B$55*((Z48+AA48+AB48)/(SUM(ILP_A_CostFocused!$C$9:$E$13))),0)</f>
        <v>0</v>
      </c>
      <c r="AZ48" s="46">
        <f t="shared" ca="1" si="41"/>
        <v>0</v>
      </c>
      <c r="BA48" s="41">
        <f t="shared" ca="1" si="42"/>
        <v>0</v>
      </c>
      <c r="BB48" s="41">
        <f t="shared" ca="1" si="43"/>
        <v>1</v>
      </c>
      <c r="BC48" s="41">
        <f t="shared" ca="1" si="44"/>
        <v>1</v>
      </c>
      <c r="BD48" s="41">
        <f t="shared" ca="1" si="45"/>
        <v>1</v>
      </c>
    </row>
    <row r="49" spans="1:56" ht="15" customHeight="1" x14ac:dyDescent="0.3">
      <c r="A49" s="41">
        <v>42</v>
      </c>
      <c r="B49" s="42">
        <f t="shared" ca="1" si="27"/>
        <v>0.67474077393024678</v>
      </c>
      <c r="C49" s="43">
        <f ca="1">IF(B49&lt;=Inputs!$C$40,Inputs!$D$40,IF(B49&lt;=Inputs!$C$41,Inputs!$D$41,Inputs!$D$42))</f>
        <v>1</v>
      </c>
      <c r="D49" s="42">
        <f t="shared" ca="1" si="46"/>
        <v>0.59823410943850142</v>
      </c>
      <c r="E49" s="42">
        <f t="shared" ca="1" si="46"/>
        <v>0.21444106732921331</v>
      </c>
      <c r="F49" s="42">
        <f t="shared" ca="1" si="46"/>
        <v>0.25216872595991968</v>
      </c>
      <c r="G49" s="42">
        <f t="shared" ca="1" si="46"/>
        <v>9.9418837690570916E-2</v>
      </c>
      <c r="H49" s="42">
        <f t="shared" ca="1" si="46"/>
        <v>0.87450924178752931</v>
      </c>
      <c r="I49" s="42">
        <f t="shared" ca="1" si="46"/>
        <v>0.84928220582137604</v>
      </c>
      <c r="J49" s="43">
        <f ca="1">IF(I49&lt;Inputs!$B$54,1+Inputs!$B$55,1)</f>
        <v>1</v>
      </c>
      <c r="K49" s="42">
        <f t="shared" ca="1" si="47"/>
        <v>3.6328099955453941E-2</v>
      </c>
      <c r="L49" s="42">
        <f t="shared" ca="1" si="47"/>
        <v>0.66706341433298344</v>
      </c>
      <c r="M49" s="42">
        <f t="shared" ca="1" si="47"/>
        <v>0.78920634130172962</v>
      </c>
      <c r="N49" s="42">
        <f t="shared" ca="1" si="47"/>
        <v>0.48232089405299849</v>
      </c>
      <c r="O49" s="42">
        <f t="shared" ca="1" si="47"/>
        <v>0.54771049337899835</v>
      </c>
      <c r="P49" s="42">
        <f t="shared" ca="1" si="47"/>
        <v>0.7520000781766244</v>
      </c>
      <c r="Q49" s="42">
        <f t="shared" ca="1" si="47"/>
        <v>0.43645015744481019</v>
      </c>
      <c r="R49" s="42">
        <f t="shared" ca="1" si="47"/>
        <v>0.25079973731682903</v>
      </c>
      <c r="S49" s="42">
        <f t="shared" ca="1" si="47"/>
        <v>0.47189553006688945</v>
      </c>
      <c r="T49" s="42">
        <f t="shared" ca="1" si="47"/>
        <v>0.92819672872244596</v>
      </c>
      <c r="U49" s="44">
        <f ca="1">(IF(D49&gt;=Inputs!$E$12,1,IF(K49&lt;=Inputs!$C$46,Inputs!$D$46,IF(K49&lt;=Inputs!$C$47,Inputs!$D$47,Inputs!$D$48))))*((Inputs!$B$28+(P49-0.5)*2*Inputs!$B$53)/Inputs!$B$28)</f>
        <v>1.0025506080787108</v>
      </c>
      <c r="V49" s="44">
        <f ca="1">(IF(E49&gt;=Inputs!$E$13,1,IF(L49&lt;=Inputs!$C$46,Inputs!$D$46,IF(L49&lt;=Inputs!$C$47,Inputs!$D$47,Inputs!$D$48))))*((Inputs!$B$29+(Q49-0.5)*2*Inputs!$B$53)/Inputs!$B$29)</f>
        <v>0.99935937658714524</v>
      </c>
      <c r="W49" s="44">
        <f ca="1">(IF(F49&gt;=Inputs!$E$14,1,IF(M49&lt;=Inputs!$C$46,Inputs!$D$46,IF(M49&lt;=Inputs!$C$47,Inputs!$D$47,Inputs!$D$48))))*((Inputs!$B$30+(R49-0.5)*2*Inputs!$B$53)/Inputs!$B$30)</f>
        <v>0.99749547474690281</v>
      </c>
      <c r="X49" s="44">
        <f ca="1">(IF(G49&gt;=Inputs!$E$15,1,IF(N49&lt;=Inputs!$C$46,Inputs!$D$46,IF(N49&lt;=Inputs!$C$47,Inputs!$D$47,Inputs!$D$48))))*((Inputs!$B$31+(S49-0.5)*2*Inputs!$B$53)/Inputs!$B$31)</f>
        <v>0.29991440262964536</v>
      </c>
      <c r="Y49" s="44">
        <f ca="1">(IF(H49&gt;=Inputs!$E$16,1,IF(O49&lt;=Inputs!$C$46,Inputs!$D$46,IF(O49&lt;=Inputs!$C$47,Inputs!$D$47,Inputs!$D$48))))*((Inputs!$B$32+(T49-0.5)*2*Inputs!$B$53)/Inputs!$B$32)</f>
        <v>1.0043078141722579</v>
      </c>
      <c r="Z49" s="45">
        <f ca="1">ILP_A_CostFocused!$C$9*U49+ILP_A_CostFocused!$C$10*V49+ILP_A_CostFocused!$C$11*W49+ILP_A_CostFocused!$C$12*X49+ILP_A_CostFocused!$C$13*Y49</f>
        <v>10457.159098195631</v>
      </c>
      <c r="AA49" s="45">
        <f ca="1">ILP_A_CostFocused!$D$9*U49+ILP_A_CostFocused!$D$10*V49+ILP_A_CostFocused!$D$11*W49+ILP_A_CostFocused!$D$12*X49+ILP_A_CostFocused!$D$13*Y49</f>
        <v>14267.674544206122</v>
      </c>
      <c r="AB49" s="45">
        <f ca="1">ILP_A_CostFocused!$E$9*U49+ILP_A_CostFocused!$E$10*V49+ILP_A_CostFocused!$E$11*W49+ILP_A_CostFocused!$E$12*X49+ILP_A_CostFocused!$E$13*Y49</f>
        <v>12015.289385785014</v>
      </c>
      <c r="AC49" s="45">
        <f ca="1">Inputs!$B$6*$C49</f>
        <v>18000</v>
      </c>
      <c r="AD49" s="45">
        <f ca="1">Inputs!$B$7*$C49</f>
        <v>15000</v>
      </c>
      <c r="AE49" s="45">
        <f ca="1">Inputs!$B$8*$C49</f>
        <v>12000</v>
      </c>
      <c r="AF49" s="45">
        <f t="shared" ca="1" si="28"/>
        <v>7542.8409018043694</v>
      </c>
      <c r="AG49" s="45">
        <f t="shared" ca="1" si="29"/>
        <v>732.32545579387806</v>
      </c>
      <c r="AH49" s="45">
        <f t="shared" ca="1" si="30"/>
        <v>0</v>
      </c>
      <c r="AI49" s="45">
        <f t="shared" ca="1" si="31"/>
        <v>8275.1663575982475</v>
      </c>
      <c r="AJ49" s="45">
        <f ca="1">U49*(Inputs!$B$12-ILP_A_CostFocused!$F$9)+V49*(Inputs!$B$13-ILP_A_CostFocused!$F$10)+W49*(Inputs!$B$14-ILP_A_CostFocused!$F$11)+X49*(Inputs!$B$15-ILP_A_CostFocused!$F$12)+Y49*(Inputs!$B$16-ILP_A_CostFocused!$F$13)</f>
        <v>24922.749189141992</v>
      </c>
      <c r="AK49" s="45">
        <f t="shared" ca="1" si="32"/>
        <v>8275.1663575982475</v>
      </c>
      <c r="AL49" s="45">
        <f t="shared" ca="1" si="33"/>
        <v>0</v>
      </c>
      <c r="AM49" s="45">
        <f t="shared" ca="1" si="34"/>
        <v>0</v>
      </c>
      <c r="AN49" s="45">
        <f t="shared" ca="1" si="35"/>
        <v>0</v>
      </c>
      <c r="AO49" s="45">
        <f ca="1">MIN(AL49,Inputs!$B$36)</f>
        <v>0</v>
      </c>
      <c r="AP49" s="45">
        <f ca="1">MIN(AN49,Inputs!$B$36-AO49)</f>
        <v>0</v>
      </c>
      <c r="AQ49" s="45">
        <f ca="1">MIN(AM49,Inputs!$B$36-AO49-AP49)</f>
        <v>0</v>
      </c>
      <c r="AR49" s="45">
        <f t="shared" ca="1" si="36"/>
        <v>0</v>
      </c>
      <c r="AS49" s="45">
        <f t="shared" ca="1" si="37"/>
        <v>0</v>
      </c>
      <c r="AT49" s="45">
        <f t="shared" ca="1" si="38"/>
        <v>0</v>
      </c>
      <c r="AU49" s="45">
        <f t="shared" ca="1" si="39"/>
        <v>0</v>
      </c>
      <c r="AV49" s="46">
        <f ca="1">AU49*Inputs!$B$35</f>
        <v>0</v>
      </c>
      <c r="AW49" s="46">
        <f ca="1">AR49*Inputs!$C$6+AT49*Inputs!$C$7+AS49*Inputs!$C$8</f>
        <v>0</v>
      </c>
      <c r="AX49" s="46">
        <f t="shared" ca="1" si="40"/>
        <v>38860372.321833998</v>
      </c>
      <c r="AY49" s="46">
        <f ca="1">IF(J49&gt;1,($CD$4)*Inputs!$B$55*((Z49+AA49+AB49)/(SUM(ILP_A_CostFocused!$C$9:$E$13))),0)</f>
        <v>0</v>
      </c>
      <c r="AZ49" s="46">
        <f t="shared" ca="1" si="41"/>
        <v>0</v>
      </c>
      <c r="BA49" s="41">
        <f t="shared" ca="1" si="42"/>
        <v>0</v>
      </c>
      <c r="BB49" s="41">
        <f t="shared" ca="1" si="43"/>
        <v>1</v>
      </c>
      <c r="BC49" s="41">
        <f t="shared" ca="1" si="44"/>
        <v>1</v>
      </c>
      <c r="BD49" s="41">
        <f t="shared" ca="1" si="45"/>
        <v>1</v>
      </c>
    </row>
    <row r="50" spans="1:56" ht="15" customHeight="1" x14ac:dyDescent="0.3">
      <c r="A50" s="41">
        <v>43</v>
      </c>
      <c r="B50" s="42">
        <f t="shared" ca="1" si="27"/>
        <v>0.21344870781638714</v>
      </c>
      <c r="C50" s="43">
        <f ca="1">IF(B50&lt;=Inputs!$C$40,Inputs!$D$40,IF(B50&lt;=Inputs!$C$41,Inputs!$D$41,Inputs!$D$42))</f>
        <v>1</v>
      </c>
      <c r="D50" s="42">
        <f t="shared" ca="1" si="46"/>
        <v>0.91020096063977973</v>
      </c>
      <c r="E50" s="42">
        <f t="shared" ca="1" si="46"/>
        <v>0.75549278674525588</v>
      </c>
      <c r="F50" s="42">
        <f t="shared" ca="1" si="46"/>
        <v>0.970791805533473</v>
      </c>
      <c r="G50" s="42">
        <f t="shared" ca="1" si="46"/>
        <v>0.95916417608902182</v>
      </c>
      <c r="H50" s="42">
        <f t="shared" ca="1" si="46"/>
        <v>0.45600139871945267</v>
      </c>
      <c r="I50" s="42">
        <f t="shared" ca="1" si="46"/>
        <v>0.54763510199419507</v>
      </c>
      <c r="J50" s="43">
        <f ca="1">IF(I50&lt;Inputs!$B$54,1+Inputs!$B$55,1)</f>
        <v>1</v>
      </c>
      <c r="K50" s="42">
        <f t="shared" ca="1" si="47"/>
        <v>0.44369422927737689</v>
      </c>
      <c r="L50" s="42">
        <f t="shared" ca="1" si="47"/>
        <v>0.10342630591209023</v>
      </c>
      <c r="M50" s="42">
        <f t="shared" ca="1" si="47"/>
        <v>0.27146386752605567</v>
      </c>
      <c r="N50" s="42">
        <f t="shared" ca="1" si="47"/>
        <v>6.7922700049259932E-2</v>
      </c>
      <c r="O50" s="42">
        <f t="shared" ca="1" si="47"/>
        <v>6.6955854499491707E-2</v>
      </c>
      <c r="P50" s="42">
        <f t="shared" ca="1" si="47"/>
        <v>0.99350679780486684</v>
      </c>
      <c r="Q50" s="42">
        <f t="shared" ca="1" si="47"/>
        <v>0.41651088010728832</v>
      </c>
      <c r="R50" s="42">
        <f t="shared" ca="1" si="47"/>
        <v>0.46047160902196771</v>
      </c>
      <c r="S50" s="42">
        <f t="shared" ca="1" si="47"/>
        <v>1.1511117956066741E-3</v>
      </c>
      <c r="T50" s="42">
        <f t="shared" ca="1" si="47"/>
        <v>0.70367297299192644</v>
      </c>
      <c r="U50" s="44">
        <f ca="1">(IF(D50&gt;=Inputs!$E$12,1,IF(K50&lt;=Inputs!$C$46,Inputs!$D$46,IF(K50&lt;=Inputs!$C$47,Inputs!$D$47,Inputs!$D$48))))*((Inputs!$B$28+(P50-0.5)*2*Inputs!$B$53)/Inputs!$B$28)</f>
        <v>1.0049950080749481</v>
      </c>
      <c r="V50" s="44">
        <f ca="1">(IF(E50&gt;=Inputs!$E$13,1,IF(L50&lt;=Inputs!$C$46,Inputs!$D$46,IF(L50&lt;=Inputs!$C$47,Inputs!$D$47,Inputs!$D$48))))*((Inputs!$B$29+(Q50-0.5)*2*Inputs!$B$53)/Inputs!$B$29)</f>
        <v>0.99915837580753319</v>
      </c>
      <c r="W50" s="44">
        <f ca="1">(IF(F50&gt;=Inputs!$E$14,1,IF(M50&lt;=Inputs!$C$46,Inputs!$D$46,IF(M50&lt;=Inputs!$C$47,Inputs!$D$47,Inputs!$D$48))))*((Inputs!$B$30+(R50-0.5)*2*Inputs!$B$53)/Inputs!$B$30)</f>
        <v>0.99960272973891429</v>
      </c>
      <c r="X50" s="44">
        <f ca="1">(IF(G50&gt;=Inputs!$E$15,1,IF(N50&lt;=Inputs!$C$46,Inputs!$D$46,IF(N50&lt;=Inputs!$C$47,Inputs!$D$47,Inputs!$D$48))))*((Inputs!$B$31+(S50-0.5)*2*Inputs!$B$53)/Inputs!$B$31)</f>
        <v>0.99493554428218889</v>
      </c>
      <c r="Y50" s="44">
        <f ca="1">(IF(H50&gt;=Inputs!$E$16,1,IF(O50&lt;=Inputs!$C$46,Inputs!$D$46,IF(O50&lt;=Inputs!$C$47,Inputs!$D$47,Inputs!$D$48))))*((Inputs!$B$32+(T50-0.5)*2*Inputs!$B$53)/Inputs!$B$32)</f>
        <v>1.0020490238731583</v>
      </c>
      <c r="Z50" s="45">
        <f ca="1">ILP_A_CostFocused!$C$9*U50+ILP_A_CostFocused!$C$10*V50+ILP_A_CostFocused!$C$11*W50+ILP_A_CostFocused!$C$12*X50+ILP_A_CostFocused!$C$13*Y50</f>
        <v>17980.754312747733</v>
      </c>
      <c r="AA50" s="45">
        <f ca="1">ILP_A_CostFocused!$D$9*U50+ILP_A_CostFocused!$D$10*V50+ILP_A_CostFocused!$D$11*W50+ILP_A_CostFocused!$D$12*X50+ILP_A_CostFocused!$D$13*Y50</f>
        <v>14985.281231535424</v>
      </c>
      <c r="AB50" s="45">
        <f ca="1">ILP_A_CostFocused!$E$9*U50+ILP_A_CostFocused!$E$10*V50+ILP_A_CostFocused!$E$11*W50+ILP_A_CostFocused!$E$12*X50+ILP_A_CostFocused!$E$13*Y50</f>
        <v>12031.924262015786</v>
      </c>
      <c r="AC50" s="45">
        <f ca="1">Inputs!$B$6*$C50</f>
        <v>18000</v>
      </c>
      <c r="AD50" s="45">
        <f ca="1">Inputs!$B$7*$C50</f>
        <v>15000</v>
      </c>
      <c r="AE50" s="45">
        <f ca="1">Inputs!$B$8*$C50</f>
        <v>12000</v>
      </c>
      <c r="AF50" s="45">
        <f t="shared" ca="1" si="28"/>
        <v>19.245687252267089</v>
      </c>
      <c r="AG50" s="45">
        <f t="shared" ca="1" si="29"/>
        <v>14.718768464575987</v>
      </c>
      <c r="AH50" s="45">
        <f t="shared" ca="1" si="30"/>
        <v>0</v>
      </c>
      <c r="AI50" s="45">
        <f t="shared" ca="1" si="31"/>
        <v>33.964455716843077</v>
      </c>
      <c r="AJ50" s="45">
        <f ca="1">U50*(Inputs!$B$12-ILP_A_CostFocused!$F$9)+V50*(Inputs!$B$13-ILP_A_CostFocused!$F$10)+W50*(Inputs!$B$14-ILP_A_CostFocused!$F$11)+X50*(Inputs!$B$15-ILP_A_CostFocused!$F$12)+Y50*(Inputs!$B$16-ILP_A_CostFocused!$F$13)</f>
        <v>25034.974960295218</v>
      </c>
      <c r="AK50" s="45">
        <f t="shared" ca="1" si="32"/>
        <v>33.964455716843077</v>
      </c>
      <c r="AL50" s="45">
        <f t="shared" ca="1" si="33"/>
        <v>0</v>
      </c>
      <c r="AM50" s="45">
        <f t="shared" ca="1" si="34"/>
        <v>0</v>
      </c>
      <c r="AN50" s="45">
        <f t="shared" ca="1" si="35"/>
        <v>0</v>
      </c>
      <c r="AO50" s="45">
        <f ca="1">MIN(AL50,Inputs!$B$36)</f>
        <v>0</v>
      </c>
      <c r="AP50" s="45">
        <f ca="1">MIN(AN50,Inputs!$B$36-AO50)</f>
        <v>0</v>
      </c>
      <c r="AQ50" s="45">
        <f ca="1">MIN(AM50,Inputs!$B$36-AO50-AP50)</f>
        <v>0</v>
      </c>
      <c r="AR50" s="45">
        <f t="shared" ca="1" si="36"/>
        <v>0</v>
      </c>
      <c r="AS50" s="45">
        <f t="shared" ca="1" si="37"/>
        <v>0</v>
      </c>
      <c r="AT50" s="45">
        <f t="shared" ca="1" si="38"/>
        <v>0</v>
      </c>
      <c r="AU50" s="45">
        <f t="shared" ca="1" si="39"/>
        <v>0</v>
      </c>
      <c r="AV50" s="46">
        <f ca="1">AU50*Inputs!$B$35</f>
        <v>0</v>
      </c>
      <c r="AW50" s="46">
        <f ca="1">AR50*Inputs!$C$6+AT50*Inputs!$C$7+AS50*Inputs!$C$8</f>
        <v>0</v>
      </c>
      <c r="AX50" s="46">
        <f t="shared" ca="1" si="40"/>
        <v>47391677.851602666</v>
      </c>
      <c r="AY50" s="46">
        <f ca="1">IF(J50&gt;1,($CD$4)*Inputs!$B$55*((Z50+AA50+AB50)/(SUM(ILP_A_CostFocused!$C$9:$E$13))),0)</f>
        <v>0</v>
      </c>
      <c r="AZ50" s="46">
        <f t="shared" ca="1" si="41"/>
        <v>0</v>
      </c>
      <c r="BA50" s="41">
        <f t="shared" ca="1" si="42"/>
        <v>0</v>
      </c>
      <c r="BB50" s="41">
        <f t="shared" ca="1" si="43"/>
        <v>1</v>
      </c>
      <c r="BC50" s="41">
        <f t="shared" ca="1" si="44"/>
        <v>1</v>
      </c>
      <c r="BD50" s="41">
        <f t="shared" ca="1" si="45"/>
        <v>1</v>
      </c>
    </row>
    <row r="51" spans="1:56" ht="15" customHeight="1" x14ac:dyDescent="0.3">
      <c r="A51" s="41">
        <v>44</v>
      </c>
      <c r="B51" s="42">
        <f t="shared" ca="1" si="27"/>
        <v>0.72690989511522486</v>
      </c>
      <c r="C51" s="43">
        <f ca="1">IF(B51&lt;=Inputs!$C$40,Inputs!$D$40,IF(B51&lt;=Inputs!$C$41,Inputs!$D$41,Inputs!$D$42))</f>
        <v>1</v>
      </c>
      <c r="D51" s="42">
        <f t="shared" ca="1" si="46"/>
        <v>0.8252007302417006</v>
      </c>
      <c r="E51" s="42">
        <f t="shared" ca="1" si="46"/>
        <v>0.70388891924727226</v>
      </c>
      <c r="F51" s="42">
        <f t="shared" ca="1" si="46"/>
        <v>0.74728432069650197</v>
      </c>
      <c r="G51" s="42">
        <f t="shared" ca="1" si="46"/>
        <v>0.50369392179753725</v>
      </c>
      <c r="H51" s="42">
        <f t="shared" ca="1" si="46"/>
        <v>0.37020747494060635</v>
      </c>
      <c r="I51" s="42">
        <f t="shared" ca="1" si="46"/>
        <v>9.3394053529817889E-2</v>
      </c>
      <c r="J51" s="43">
        <f ca="1">IF(I51&lt;Inputs!$B$54,1+Inputs!$B$55,1)</f>
        <v>1</v>
      </c>
      <c r="K51" s="42">
        <f t="shared" ca="1" si="47"/>
        <v>0.38234528306311744</v>
      </c>
      <c r="L51" s="42">
        <f t="shared" ca="1" si="47"/>
        <v>0.40814288033879353</v>
      </c>
      <c r="M51" s="42">
        <f t="shared" ca="1" si="47"/>
        <v>0.98974783296929059</v>
      </c>
      <c r="N51" s="42">
        <f t="shared" ca="1" si="47"/>
        <v>0.50530041965390071</v>
      </c>
      <c r="O51" s="42">
        <f t="shared" ca="1" si="47"/>
        <v>0.75098469147807256</v>
      </c>
      <c r="P51" s="42">
        <f t="shared" ca="1" si="47"/>
        <v>0.97681425478036976</v>
      </c>
      <c r="Q51" s="42">
        <f t="shared" ca="1" si="47"/>
        <v>0.71051256749133451</v>
      </c>
      <c r="R51" s="42">
        <f t="shared" ca="1" si="47"/>
        <v>0.62021559481790534</v>
      </c>
      <c r="S51" s="42">
        <f t="shared" ca="1" si="47"/>
        <v>0.38299739462810856</v>
      </c>
      <c r="T51" s="42">
        <f t="shared" ca="1" si="47"/>
        <v>0.30533486914766339</v>
      </c>
      <c r="U51" s="44">
        <f ca="1">(IF(D51&gt;=Inputs!$E$12,1,IF(K51&lt;=Inputs!$C$46,Inputs!$D$46,IF(K51&lt;=Inputs!$C$47,Inputs!$D$47,Inputs!$D$48))))*((Inputs!$B$28+(P51-0.5)*2*Inputs!$B$53)/Inputs!$B$28)</f>
        <v>1.0048260552103276</v>
      </c>
      <c r="V51" s="44">
        <f ca="1">(IF(E51&gt;=Inputs!$E$13,1,IF(L51&lt;=Inputs!$C$46,Inputs!$D$46,IF(L51&lt;=Inputs!$C$47,Inputs!$D$47,Inputs!$D$48))))*((Inputs!$B$29+(Q51-0.5)*2*Inputs!$B$53)/Inputs!$B$29)</f>
        <v>1.0021221024948723</v>
      </c>
      <c r="W51" s="44">
        <f ca="1">(IF(F51&gt;=Inputs!$E$14,1,IF(M51&lt;=Inputs!$C$46,Inputs!$D$46,IF(M51&lt;=Inputs!$C$47,Inputs!$D$47,Inputs!$D$48))))*((Inputs!$B$30+(R51-0.5)*2*Inputs!$B$53)/Inputs!$B$30)</f>
        <v>1.0012081969328432</v>
      </c>
      <c r="X51" s="44">
        <f ca="1">(IF(G51&gt;=Inputs!$E$15,1,IF(N51&lt;=Inputs!$C$46,Inputs!$D$46,IF(N51&lt;=Inputs!$C$47,Inputs!$D$47,Inputs!$D$48))))*((Inputs!$B$31+(S51-0.5)*2*Inputs!$B$53)/Inputs!$B$31)</f>
        <v>0.99881215629064068</v>
      </c>
      <c r="Y51" s="44">
        <f ca="1">(IF(H51&gt;=Inputs!$E$16,1,IF(O51&lt;=Inputs!$C$46,Inputs!$D$46,IF(O51&lt;=Inputs!$C$47,Inputs!$D$47,Inputs!$D$48))))*((Inputs!$B$32+(T51-0.5)*2*Inputs!$B$53)/Inputs!$B$32)</f>
        <v>0.99804159828116368</v>
      </c>
      <c r="Z51" s="45">
        <f ca="1">ILP_A_CostFocused!$C$9*U51+ILP_A_CostFocused!$C$10*V51+ILP_A_CostFocused!$C$11*W51+ILP_A_CostFocused!$C$12*X51+ILP_A_CostFocused!$C$13*Y51</f>
        <v>18021.680937614317</v>
      </c>
      <c r="AA51" s="45">
        <f ca="1">ILP_A_CostFocused!$D$9*U51+ILP_A_CostFocused!$D$10*V51+ILP_A_CostFocused!$D$11*W51+ILP_A_CostFocused!$D$12*X51+ILP_A_CostFocused!$D$13*Y51</f>
        <v>15023.904142595864</v>
      </c>
      <c r="AB51" s="45">
        <f ca="1">ILP_A_CostFocused!$E$9*U51+ILP_A_CostFocused!$E$10*V51+ILP_A_CostFocused!$E$11*W51+ILP_A_CostFocused!$E$12*X51+ILP_A_CostFocused!$E$13*Y51</f>
        <v>12044.933689489746</v>
      </c>
      <c r="AC51" s="45">
        <f ca="1">Inputs!$B$6*$C51</f>
        <v>18000</v>
      </c>
      <c r="AD51" s="45">
        <f ca="1">Inputs!$B$7*$C51</f>
        <v>15000</v>
      </c>
      <c r="AE51" s="45">
        <f ca="1">Inputs!$B$8*$C51</f>
        <v>12000</v>
      </c>
      <c r="AF51" s="45">
        <f t="shared" ca="1" si="28"/>
        <v>0</v>
      </c>
      <c r="AG51" s="45">
        <f t="shared" ca="1" si="29"/>
        <v>0</v>
      </c>
      <c r="AH51" s="45">
        <f t="shared" ca="1" si="30"/>
        <v>0</v>
      </c>
      <c r="AI51" s="45">
        <f t="shared" ca="1" si="31"/>
        <v>0</v>
      </c>
      <c r="AJ51" s="45">
        <f ca="1">U51*(Inputs!$B$12-ILP_A_CostFocused!$F$9)+V51*(Inputs!$B$13-ILP_A_CostFocused!$F$10)+W51*(Inputs!$B$14-ILP_A_CostFocused!$F$11)+X51*(Inputs!$B$15-ILP_A_CostFocused!$F$12)+Y51*(Inputs!$B$16-ILP_A_CostFocused!$F$13)</f>
        <v>24988.483958425633</v>
      </c>
      <c r="AK51" s="45">
        <f t="shared" ca="1" si="32"/>
        <v>0</v>
      </c>
      <c r="AL51" s="45">
        <f t="shared" ca="1" si="33"/>
        <v>0</v>
      </c>
      <c r="AM51" s="45">
        <f t="shared" ca="1" si="34"/>
        <v>0</v>
      </c>
      <c r="AN51" s="45">
        <f t="shared" ca="1" si="35"/>
        <v>0</v>
      </c>
      <c r="AO51" s="45">
        <f ca="1">MIN(AL51,Inputs!$B$36)</f>
        <v>0</v>
      </c>
      <c r="AP51" s="45">
        <f ca="1">MIN(AN51,Inputs!$B$36-AO51)</f>
        <v>0</v>
      </c>
      <c r="AQ51" s="45">
        <f ca="1">MIN(AM51,Inputs!$B$36-AO51-AP51)</f>
        <v>0</v>
      </c>
      <c r="AR51" s="45">
        <f t="shared" ca="1" si="36"/>
        <v>0</v>
      </c>
      <c r="AS51" s="45">
        <f t="shared" ca="1" si="37"/>
        <v>0</v>
      </c>
      <c r="AT51" s="45">
        <f t="shared" ca="1" si="38"/>
        <v>0</v>
      </c>
      <c r="AU51" s="45">
        <f t="shared" ca="1" si="39"/>
        <v>0</v>
      </c>
      <c r="AV51" s="46">
        <f ca="1">AU51*Inputs!$B$35</f>
        <v>0</v>
      </c>
      <c r="AW51" s="46">
        <f ca="1">AR51*Inputs!$C$6+AT51*Inputs!$C$7+AS51*Inputs!$C$8</f>
        <v>0</v>
      </c>
      <c r="AX51" s="46">
        <f t="shared" ca="1" si="40"/>
        <v>47488702.774663895</v>
      </c>
      <c r="AY51" s="46">
        <f ca="1">IF(J51&gt;1,($CD$4)*Inputs!$B$55*((Z51+AA51+AB51)/(SUM(ILP_A_CostFocused!$C$9:$E$13))),0)</f>
        <v>0</v>
      </c>
      <c r="AZ51" s="46">
        <f t="shared" ca="1" si="41"/>
        <v>0</v>
      </c>
      <c r="BA51" s="41">
        <f t="shared" ca="1" si="42"/>
        <v>0</v>
      </c>
      <c r="BB51" s="41">
        <f t="shared" ca="1" si="43"/>
        <v>1</v>
      </c>
      <c r="BC51" s="41">
        <f t="shared" ca="1" si="44"/>
        <v>1</v>
      </c>
      <c r="BD51" s="41">
        <f t="shared" ca="1" si="45"/>
        <v>1</v>
      </c>
    </row>
    <row r="52" spans="1:56" ht="15" customHeight="1" x14ac:dyDescent="0.3">
      <c r="A52" s="41">
        <v>45</v>
      </c>
      <c r="B52" s="42">
        <f t="shared" ca="1" si="27"/>
        <v>0.41655682594633037</v>
      </c>
      <c r="C52" s="43">
        <f ca="1">IF(B52&lt;=Inputs!$C$40,Inputs!$D$40,IF(B52&lt;=Inputs!$C$41,Inputs!$D$41,Inputs!$D$42))</f>
        <v>1</v>
      </c>
      <c r="D52" s="42">
        <f t="shared" ca="1" si="46"/>
        <v>0.22947212592802191</v>
      </c>
      <c r="E52" s="42">
        <f t="shared" ca="1" si="46"/>
        <v>0.58095041740159847</v>
      </c>
      <c r="F52" s="42">
        <f t="shared" ca="1" si="46"/>
        <v>0.34678103677526217</v>
      </c>
      <c r="G52" s="42">
        <f t="shared" ca="1" si="46"/>
        <v>0.37021325410565098</v>
      </c>
      <c r="H52" s="42">
        <f t="shared" ca="1" si="46"/>
        <v>0.85442023080212459</v>
      </c>
      <c r="I52" s="42">
        <f t="shared" ca="1" si="46"/>
        <v>0.28227264063149904</v>
      </c>
      <c r="J52" s="43">
        <f ca="1">IF(I52&lt;Inputs!$B$54,1+Inputs!$B$55,1)</f>
        <v>1</v>
      </c>
      <c r="K52" s="42">
        <f t="shared" ca="1" si="47"/>
        <v>0.16743723173310576</v>
      </c>
      <c r="L52" s="42">
        <f t="shared" ca="1" si="47"/>
        <v>0.65034707829775051</v>
      </c>
      <c r="M52" s="42">
        <f t="shared" ca="1" si="47"/>
        <v>0.41365466277546903</v>
      </c>
      <c r="N52" s="42">
        <f t="shared" ca="1" si="47"/>
        <v>0.83028123294639022</v>
      </c>
      <c r="O52" s="42">
        <f t="shared" ca="1" si="47"/>
        <v>0.63790484367437494</v>
      </c>
      <c r="P52" s="42">
        <f t="shared" ca="1" si="47"/>
        <v>0.45877777181964952</v>
      </c>
      <c r="Q52" s="42">
        <f t="shared" ca="1" si="47"/>
        <v>0.53291731747117788</v>
      </c>
      <c r="R52" s="42">
        <f t="shared" ca="1" si="47"/>
        <v>0.18883535524175654</v>
      </c>
      <c r="S52" s="42">
        <f t="shared" ca="1" si="47"/>
        <v>0.2108757118822735</v>
      </c>
      <c r="T52" s="42">
        <f t="shared" ca="1" si="47"/>
        <v>3.4095859475565371E-2</v>
      </c>
      <c r="U52" s="44">
        <f ca="1">(IF(D52&gt;=Inputs!$E$12,1,IF(K52&lt;=Inputs!$C$46,Inputs!$D$46,IF(K52&lt;=Inputs!$C$47,Inputs!$D$47,Inputs!$D$48))))*((Inputs!$B$28+(P52-0.5)*2*Inputs!$B$53)/Inputs!$B$28)</f>
        <v>0.9995827709698345</v>
      </c>
      <c r="V52" s="44">
        <f ca="1">(IF(E52&gt;=Inputs!$E$13,1,IF(L52&lt;=Inputs!$C$46,Inputs!$D$46,IF(L52&lt;=Inputs!$C$47,Inputs!$D$47,Inputs!$D$48))))*((Inputs!$B$29+(Q52-0.5)*2*Inputs!$B$53)/Inputs!$B$29)</f>
        <v>1.0003318277970885</v>
      </c>
      <c r="W52" s="44">
        <f ca="1">(IF(F52&gt;=Inputs!$E$14,1,IF(M52&lt;=Inputs!$C$46,Inputs!$D$46,IF(M52&lt;=Inputs!$C$47,Inputs!$D$47,Inputs!$D$48))))*((Inputs!$B$30+(R52-0.5)*2*Inputs!$B$53)/Inputs!$B$30)</f>
        <v>0.9968727171381081</v>
      </c>
      <c r="X52" s="44">
        <f ca="1">(IF(G52&gt;=Inputs!$E$15,1,IF(N52&lt;=Inputs!$C$46,Inputs!$D$46,IF(N52&lt;=Inputs!$C$47,Inputs!$D$47,Inputs!$D$48))))*((Inputs!$B$31+(S52-0.5)*2*Inputs!$B$53)/Inputs!$B$31)</f>
        <v>0.99706472803941393</v>
      </c>
      <c r="Y52" s="44">
        <f ca="1">(IF(H52&gt;=Inputs!$E$16,1,IF(O52&lt;=Inputs!$C$46,Inputs!$D$46,IF(O52&lt;=Inputs!$C$47,Inputs!$D$47,Inputs!$D$48))))*((Inputs!$B$32+(T52-0.5)*2*Inputs!$B$53)/Inputs!$B$32)</f>
        <v>0.99531283560840611</v>
      </c>
      <c r="Z52" s="45">
        <f ca="1">ILP_A_CostFocused!$C$9*U52+ILP_A_CostFocused!$C$10*V52+ILP_A_CostFocused!$C$11*W52+ILP_A_CostFocused!$C$12*X52+ILP_A_CostFocused!$C$13*Y52</f>
        <v>17965.360930809278</v>
      </c>
      <c r="AA52" s="45">
        <f ca="1">ILP_A_CostFocused!$D$9*U52+ILP_A_CostFocused!$D$10*V52+ILP_A_CostFocused!$D$11*W52+ILP_A_CostFocused!$D$12*X52+ILP_A_CostFocused!$D$13*Y52</f>
        <v>14984.418604121778</v>
      </c>
      <c r="AB52" s="45">
        <f ca="1">ILP_A_CostFocused!$E$9*U52+ILP_A_CostFocused!$E$10*V52+ILP_A_CostFocused!$E$11*W52+ILP_A_CostFocused!$E$12*X52+ILP_A_CostFocused!$E$13*Y52</f>
        <v>11998.588724408834</v>
      </c>
      <c r="AC52" s="45">
        <f ca="1">Inputs!$B$6*$C52</f>
        <v>18000</v>
      </c>
      <c r="AD52" s="45">
        <f ca="1">Inputs!$B$7*$C52</f>
        <v>15000</v>
      </c>
      <c r="AE52" s="45">
        <f ca="1">Inputs!$B$8*$C52</f>
        <v>12000</v>
      </c>
      <c r="AF52" s="45">
        <f t="shared" ca="1" si="28"/>
        <v>34.639069190721784</v>
      </c>
      <c r="AG52" s="45">
        <f t="shared" ca="1" si="29"/>
        <v>15.581395878221883</v>
      </c>
      <c r="AH52" s="45">
        <f t="shared" ca="1" si="30"/>
        <v>1.4112755911664863</v>
      </c>
      <c r="AI52" s="45">
        <f t="shared" ca="1" si="31"/>
        <v>51.631740660110154</v>
      </c>
      <c r="AJ52" s="45">
        <f ca="1">U52*(Inputs!$B$12-ILP_A_CostFocused!$F$9)+V52*(Inputs!$B$13-ILP_A_CostFocused!$F$10)+W52*(Inputs!$B$14-ILP_A_CostFocused!$F$11)+X52*(Inputs!$B$15-ILP_A_CostFocused!$F$12)+Y52*(Inputs!$B$16-ILP_A_CostFocused!$F$13)</f>
        <v>24903.416258731169</v>
      </c>
      <c r="AK52" s="45">
        <f t="shared" ca="1" si="32"/>
        <v>51.631740660110154</v>
      </c>
      <c r="AL52" s="45">
        <f t="shared" ca="1" si="33"/>
        <v>0</v>
      </c>
      <c r="AM52" s="45">
        <f t="shared" ca="1" si="34"/>
        <v>0</v>
      </c>
      <c r="AN52" s="45">
        <f t="shared" ca="1" si="35"/>
        <v>0</v>
      </c>
      <c r="AO52" s="45">
        <f ca="1">MIN(AL52,Inputs!$B$36)</f>
        <v>0</v>
      </c>
      <c r="AP52" s="45">
        <f ca="1">MIN(AN52,Inputs!$B$36-AO52)</f>
        <v>0</v>
      </c>
      <c r="AQ52" s="45">
        <f ca="1">MIN(AM52,Inputs!$B$36-AO52-AP52)</f>
        <v>0</v>
      </c>
      <c r="AR52" s="45">
        <f t="shared" ca="1" si="36"/>
        <v>0</v>
      </c>
      <c r="AS52" s="45">
        <f t="shared" ca="1" si="37"/>
        <v>0</v>
      </c>
      <c r="AT52" s="45">
        <f t="shared" ca="1" si="38"/>
        <v>0</v>
      </c>
      <c r="AU52" s="45">
        <f t="shared" ca="1" si="39"/>
        <v>0</v>
      </c>
      <c r="AV52" s="46">
        <f ca="1">AU52*Inputs!$B$35</f>
        <v>0</v>
      </c>
      <c r="AW52" s="46">
        <f ca="1">AR52*Inputs!$C$6+AT52*Inputs!$C$7+AS52*Inputs!$C$8</f>
        <v>0</v>
      </c>
      <c r="AX52" s="46">
        <f t="shared" ca="1" si="40"/>
        <v>47338718.696105197</v>
      </c>
      <c r="AY52" s="46">
        <f ca="1">IF(J52&gt;1,($CD$4)*Inputs!$B$55*((Z52+AA52+AB52)/(SUM(ILP_A_CostFocused!$C$9:$E$13))),0)</f>
        <v>0</v>
      </c>
      <c r="AZ52" s="46">
        <f t="shared" ca="1" si="41"/>
        <v>0</v>
      </c>
      <c r="BA52" s="41">
        <f t="shared" ca="1" si="42"/>
        <v>0</v>
      </c>
      <c r="BB52" s="41">
        <f t="shared" ca="1" si="43"/>
        <v>1</v>
      </c>
      <c r="BC52" s="41">
        <f t="shared" ca="1" si="44"/>
        <v>1</v>
      </c>
      <c r="BD52" s="41">
        <f t="shared" ca="1" si="45"/>
        <v>1</v>
      </c>
    </row>
    <row r="53" spans="1:56" ht="15" customHeight="1" x14ac:dyDescent="0.3">
      <c r="A53" s="41">
        <v>46</v>
      </c>
      <c r="B53" s="42">
        <f t="shared" ca="1" si="27"/>
        <v>0.37810835841177026</v>
      </c>
      <c r="C53" s="43">
        <f ca="1">IF(B53&lt;=Inputs!$C$40,Inputs!$D$40,IF(B53&lt;=Inputs!$C$41,Inputs!$D$41,Inputs!$D$42))</f>
        <v>1</v>
      </c>
      <c r="D53" s="42">
        <f t="shared" ca="1" si="46"/>
        <v>9.6153861513448957E-2</v>
      </c>
      <c r="E53" s="42">
        <f t="shared" ca="1" si="46"/>
        <v>0.56644098239248908</v>
      </c>
      <c r="F53" s="42">
        <f t="shared" ca="1" si="46"/>
        <v>0.49128065995502013</v>
      </c>
      <c r="G53" s="42">
        <f t="shared" ca="1" si="46"/>
        <v>0.51423895887168758</v>
      </c>
      <c r="H53" s="42">
        <f t="shared" ca="1" si="46"/>
        <v>0.75938161899437773</v>
      </c>
      <c r="I53" s="42">
        <f t="shared" ca="1" si="46"/>
        <v>0.71818735814363388</v>
      </c>
      <c r="J53" s="43">
        <f ca="1">IF(I53&lt;Inputs!$B$54,1+Inputs!$B$55,1)</f>
        <v>1</v>
      </c>
      <c r="K53" s="42">
        <f t="shared" ca="1" si="47"/>
        <v>0.88481160814699378</v>
      </c>
      <c r="L53" s="42">
        <f t="shared" ca="1" si="47"/>
        <v>0.27724329054508134</v>
      </c>
      <c r="M53" s="42">
        <f t="shared" ca="1" si="47"/>
        <v>0.65955243932370067</v>
      </c>
      <c r="N53" s="42">
        <f t="shared" ca="1" si="47"/>
        <v>2.262979683275812E-2</v>
      </c>
      <c r="O53" s="42">
        <f t="shared" ca="1" si="47"/>
        <v>0.47431051718085637</v>
      </c>
      <c r="P53" s="42">
        <f t="shared" ca="1" si="47"/>
        <v>0.48964966298897106</v>
      </c>
      <c r="Q53" s="42">
        <f t="shared" ca="1" si="47"/>
        <v>0.46206497429240256</v>
      </c>
      <c r="R53" s="42">
        <f t="shared" ca="1" si="47"/>
        <v>0.98202586012095161</v>
      </c>
      <c r="S53" s="42">
        <f t="shared" ca="1" si="47"/>
        <v>3.0736105095627186E-2</v>
      </c>
      <c r="T53" s="42">
        <f t="shared" ca="1" si="47"/>
        <v>0.4491286500694075</v>
      </c>
      <c r="U53" s="44">
        <f ca="1">(IF(D53&gt;=Inputs!$E$12,1,IF(K53&lt;=Inputs!$C$46,Inputs!$D$46,IF(K53&lt;=Inputs!$C$47,Inputs!$D$47,Inputs!$D$48))))*((Inputs!$B$28+(P53-0.5)*2*Inputs!$B$53)/Inputs!$B$28)</f>
        <v>0.99989523950393688</v>
      </c>
      <c r="V53" s="44">
        <f ca="1">(IF(E53&gt;=Inputs!$E$13,1,IF(L53&lt;=Inputs!$C$46,Inputs!$D$46,IF(L53&lt;=Inputs!$C$47,Inputs!$D$47,Inputs!$D$48))))*((Inputs!$B$29+(Q53-0.5)*2*Inputs!$B$53)/Inputs!$B$29)</f>
        <v>0.99961759046665721</v>
      </c>
      <c r="W53" s="44">
        <f ca="1">(IF(F53&gt;=Inputs!$E$14,1,IF(M53&lt;=Inputs!$C$46,Inputs!$D$46,IF(M53&lt;=Inputs!$C$47,Inputs!$D$47,Inputs!$D$48))))*((Inputs!$B$30+(R53-0.5)*2*Inputs!$B$53)/Inputs!$B$30)</f>
        <v>1.0048444810062407</v>
      </c>
      <c r="X53" s="44">
        <f ca="1">(IF(G53&gt;=Inputs!$E$15,1,IF(N53&lt;=Inputs!$C$46,Inputs!$D$46,IF(N53&lt;=Inputs!$C$47,Inputs!$D$47,Inputs!$D$48))))*((Inputs!$B$31+(S53-0.5)*2*Inputs!$B$53)/Inputs!$B$31)</f>
        <v>0.99523589954411806</v>
      </c>
      <c r="Y53" s="44">
        <f ca="1">(IF(H53&gt;=Inputs!$E$16,1,IF(O53&lt;=Inputs!$C$46,Inputs!$D$46,IF(O53&lt;=Inputs!$C$47,Inputs!$D$47,Inputs!$D$48))))*((Inputs!$B$32+(T53-0.5)*2*Inputs!$B$53)/Inputs!$B$32)</f>
        <v>0.99948821579546687</v>
      </c>
      <c r="Z53" s="45">
        <f ca="1">ILP_A_CostFocused!$C$9*U53+ILP_A_CostFocused!$C$10*V53+ILP_A_CostFocused!$C$11*W53+ILP_A_CostFocused!$C$12*X53+ILP_A_CostFocused!$C$13*Y53</f>
        <v>17947.769006389539</v>
      </c>
      <c r="AA53" s="45">
        <f ca="1">ILP_A_CostFocused!$D$9*U53+ILP_A_CostFocused!$D$10*V53+ILP_A_CostFocused!$D$11*W53+ILP_A_CostFocused!$D$12*X53+ILP_A_CostFocused!$D$13*Y53</f>
        <v>15015.824447145993</v>
      </c>
      <c r="AB53" s="45">
        <f ca="1">ILP_A_CostFocused!$E$9*U53+ILP_A_CostFocused!$E$10*V53+ILP_A_CostFocused!$E$11*W53+ILP_A_CostFocused!$E$12*X53+ILP_A_CostFocused!$E$13*Y53</f>
        <v>11997.410158668301</v>
      </c>
      <c r="AC53" s="45">
        <f ca="1">Inputs!$B$6*$C53</f>
        <v>18000</v>
      </c>
      <c r="AD53" s="45">
        <f ca="1">Inputs!$B$7*$C53</f>
        <v>15000</v>
      </c>
      <c r="AE53" s="45">
        <f ca="1">Inputs!$B$8*$C53</f>
        <v>12000</v>
      </c>
      <c r="AF53" s="45">
        <f t="shared" ca="1" si="28"/>
        <v>52.230993610461155</v>
      </c>
      <c r="AG53" s="45">
        <f t="shared" ca="1" si="29"/>
        <v>0</v>
      </c>
      <c r="AH53" s="45">
        <f t="shared" ca="1" si="30"/>
        <v>2.5898413316990627</v>
      </c>
      <c r="AI53" s="45">
        <f t="shared" ca="1" si="31"/>
        <v>54.820834942160218</v>
      </c>
      <c r="AJ53" s="45">
        <f ca="1">U53*(Inputs!$B$12-ILP_A_CostFocused!$F$9)+V53*(Inputs!$B$13-ILP_A_CostFocused!$F$10)+W53*(Inputs!$B$14-ILP_A_CostFocused!$F$11)+X53*(Inputs!$B$15-ILP_A_CostFocused!$F$12)+Y53*(Inputs!$B$16-ILP_A_CostFocused!$F$13)</f>
        <v>25030.098770934906</v>
      </c>
      <c r="AK53" s="45">
        <f t="shared" ca="1" si="32"/>
        <v>54.820834942160218</v>
      </c>
      <c r="AL53" s="45">
        <f t="shared" ca="1" si="33"/>
        <v>0</v>
      </c>
      <c r="AM53" s="45">
        <f t="shared" ca="1" si="34"/>
        <v>0</v>
      </c>
      <c r="AN53" s="45">
        <f t="shared" ca="1" si="35"/>
        <v>0</v>
      </c>
      <c r="AO53" s="45">
        <f ca="1">MIN(AL53,Inputs!$B$36)</f>
        <v>0</v>
      </c>
      <c r="AP53" s="45">
        <f ca="1">MIN(AN53,Inputs!$B$36-AO53)</f>
        <v>0</v>
      </c>
      <c r="AQ53" s="45">
        <f ca="1">MIN(AM53,Inputs!$B$36-AO53-AP53)</f>
        <v>0</v>
      </c>
      <c r="AR53" s="45">
        <f t="shared" ca="1" si="36"/>
        <v>0</v>
      </c>
      <c r="AS53" s="45">
        <f t="shared" ca="1" si="37"/>
        <v>0</v>
      </c>
      <c r="AT53" s="45">
        <f t="shared" ca="1" si="38"/>
        <v>0</v>
      </c>
      <c r="AU53" s="45">
        <f t="shared" ca="1" si="39"/>
        <v>0</v>
      </c>
      <c r="AV53" s="46">
        <f ca="1">AU53*Inputs!$B$35</f>
        <v>0</v>
      </c>
      <c r="AW53" s="46">
        <f ca="1">AR53*Inputs!$C$6+AT53*Inputs!$C$7+AS53*Inputs!$C$8</f>
        <v>0</v>
      </c>
      <c r="AX53" s="46">
        <f t="shared" ca="1" si="40"/>
        <v>47352405.298838362</v>
      </c>
      <c r="AY53" s="46">
        <f ca="1">IF(J53&gt;1,($CD$4)*Inputs!$B$55*((Z53+AA53+AB53)/(SUM(ILP_A_CostFocused!$C$9:$E$13))),0)</f>
        <v>0</v>
      </c>
      <c r="AZ53" s="46">
        <f t="shared" ca="1" si="41"/>
        <v>0</v>
      </c>
      <c r="BA53" s="41">
        <f t="shared" ca="1" si="42"/>
        <v>0</v>
      </c>
      <c r="BB53" s="41">
        <f t="shared" ca="1" si="43"/>
        <v>1</v>
      </c>
      <c r="BC53" s="41">
        <f t="shared" ca="1" si="44"/>
        <v>1</v>
      </c>
      <c r="BD53" s="41">
        <f t="shared" ca="1" si="45"/>
        <v>1</v>
      </c>
    </row>
    <row r="54" spans="1:56" ht="15" customHeight="1" x14ac:dyDescent="0.3">
      <c r="A54" s="41">
        <v>47</v>
      </c>
      <c r="B54" s="42">
        <f t="shared" ca="1" si="27"/>
        <v>0.92095895207780221</v>
      </c>
      <c r="C54" s="43">
        <f ca="1">IF(B54&lt;=Inputs!$C$40,Inputs!$D$40,IF(B54&lt;=Inputs!$C$41,Inputs!$D$41,Inputs!$D$42))</f>
        <v>1.1499999999999999</v>
      </c>
      <c r="D54" s="42">
        <f t="shared" ca="1" si="46"/>
        <v>3.450900394159051E-2</v>
      </c>
      <c r="E54" s="42">
        <f t="shared" ca="1" si="46"/>
        <v>7.8582807188298243E-2</v>
      </c>
      <c r="F54" s="42">
        <f t="shared" ca="1" si="46"/>
        <v>0.46367452687791166</v>
      </c>
      <c r="G54" s="42">
        <f t="shared" ca="1" si="46"/>
        <v>0.66249595442331921</v>
      </c>
      <c r="H54" s="42">
        <f t="shared" ca="1" si="46"/>
        <v>0.8128303302483747</v>
      </c>
      <c r="I54" s="42">
        <f t="shared" ca="1" si="46"/>
        <v>0.66356592144533422</v>
      </c>
      <c r="J54" s="43">
        <f ca="1">IF(I54&lt;Inputs!$B$54,1+Inputs!$B$55,1)</f>
        <v>1</v>
      </c>
      <c r="K54" s="42">
        <f t="shared" ca="1" si="47"/>
        <v>0.24060700350366981</v>
      </c>
      <c r="L54" s="42">
        <f t="shared" ca="1" si="47"/>
        <v>4.7659500789594023E-2</v>
      </c>
      <c r="M54" s="42">
        <f t="shared" ca="1" si="47"/>
        <v>0.33859188807610419</v>
      </c>
      <c r="N54" s="42">
        <f t="shared" ca="1" si="47"/>
        <v>3.4585522492813103E-2</v>
      </c>
      <c r="O54" s="42">
        <f t="shared" ca="1" si="47"/>
        <v>0.87171418525105715</v>
      </c>
      <c r="P54" s="42">
        <f t="shared" ca="1" si="47"/>
        <v>0.94025759559777089</v>
      </c>
      <c r="Q54" s="42">
        <f t="shared" ca="1" si="47"/>
        <v>5.4199757707745766E-2</v>
      </c>
      <c r="R54" s="42">
        <f t="shared" ca="1" si="47"/>
        <v>0.37339601684526313</v>
      </c>
      <c r="S54" s="42">
        <f t="shared" ca="1" si="47"/>
        <v>0.24253053182376616</v>
      </c>
      <c r="T54" s="42">
        <f t="shared" ca="1" si="47"/>
        <v>0.53694579833248757</v>
      </c>
      <c r="U54" s="44">
        <f ca="1">(IF(D54&gt;=Inputs!$E$12,1,IF(K54&lt;=Inputs!$C$46,Inputs!$D$46,IF(K54&lt;=Inputs!$C$47,Inputs!$D$47,Inputs!$D$48))))*((Inputs!$B$28+(P54-0.5)*2*Inputs!$B$53)/Inputs!$B$28)</f>
        <v>0.60267362912306344</v>
      </c>
      <c r="V54" s="44">
        <f ca="1">(IF(E54&gt;=Inputs!$E$13,1,IF(L54&lt;=Inputs!$C$46,Inputs!$D$46,IF(L54&lt;=Inputs!$C$47,Inputs!$D$47,Inputs!$D$48))))*((Inputs!$B$29+(Q54-0.5)*2*Inputs!$B$53)/Inputs!$B$29)</f>
        <v>0.59730362756678068</v>
      </c>
      <c r="W54" s="44">
        <f ca="1">(IF(F54&gt;=Inputs!$E$14,1,IF(M54&lt;=Inputs!$C$46,Inputs!$D$46,IF(M54&lt;=Inputs!$C$47,Inputs!$D$47,Inputs!$D$48))))*((Inputs!$B$30+(R54-0.5)*2*Inputs!$B$53)/Inputs!$B$30)</f>
        <v>0.99872759815924883</v>
      </c>
      <c r="X54" s="44">
        <f ca="1">(IF(G54&gt;=Inputs!$E$15,1,IF(N54&lt;=Inputs!$C$46,Inputs!$D$46,IF(N54&lt;=Inputs!$C$47,Inputs!$D$47,Inputs!$D$48))))*((Inputs!$B$31+(S54-0.5)*2*Inputs!$B$53)/Inputs!$B$31)</f>
        <v>0.99738609676978451</v>
      </c>
      <c r="Y54" s="44">
        <f ca="1">(IF(H54&gt;=Inputs!$E$16,1,IF(O54&lt;=Inputs!$C$46,Inputs!$D$46,IF(O54&lt;=Inputs!$C$47,Inputs!$D$47,Inputs!$D$48))))*((Inputs!$B$32+(T54-0.5)*2*Inputs!$B$53)/Inputs!$B$32)</f>
        <v>1.0003716881119968</v>
      </c>
      <c r="Z54" s="45">
        <f ca="1">ILP_A_CostFocused!$C$9*U54+ILP_A_CostFocused!$C$10*V54+ILP_A_CostFocused!$C$11*W54+ILP_A_CostFocused!$C$12*X54+ILP_A_CostFocused!$C$13*Y54</f>
        <v>15110.547414662778</v>
      </c>
      <c r="AA54" s="45">
        <f ca="1">ILP_A_CostFocused!$D$9*U54+ILP_A_CostFocused!$D$10*V54+ILP_A_CostFocused!$D$11*W54+ILP_A_CostFocused!$D$12*X54+ILP_A_CostFocused!$D$13*Y54</f>
        <v>11366.729905639264</v>
      </c>
      <c r="AB54" s="45">
        <f ca="1">ILP_A_CostFocused!$E$9*U54+ILP_A_CostFocused!$E$10*V54+ILP_A_CostFocused!$E$11*W54+ILP_A_CostFocused!$E$12*X54+ILP_A_CostFocused!$E$13*Y54</f>
        <v>7206.3075420066034</v>
      </c>
      <c r="AC54" s="45">
        <f ca="1">Inputs!$B$6*$C54</f>
        <v>20700</v>
      </c>
      <c r="AD54" s="45">
        <f ca="1">Inputs!$B$7*$C54</f>
        <v>17250</v>
      </c>
      <c r="AE54" s="45">
        <f ca="1">Inputs!$B$8*$C54</f>
        <v>13799.999999999998</v>
      </c>
      <c r="AF54" s="45">
        <f t="shared" ca="1" si="28"/>
        <v>5589.4525853372215</v>
      </c>
      <c r="AG54" s="45">
        <f t="shared" ca="1" si="29"/>
        <v>5883.270094360736</v>
      </c>
      <c r="AH54" s="45">
        <f t="shared" ca="1" si="30"/>
        <v>6593.6924579933948</v>
      </c>
      <c r="AI54" s="45">
        <f t="shared" ca="1" si="31"/>
        <v>18066.415137691351</v>
      </c>
      <c r="AJ54" s="45">
        <f ca="1">U54*(Inputs!$B$12-ILP_A_CostFocused!$F$9)+V54*(Inputs!$B$13-ILP_A_CostFocused!$F$10)+W54*(Inputs!$B$14-ILP_A_CostFocused!$F$11)+X54*(Inputs!$B$15-ILP_A_CostFocused!$F$12)+Y54*(Inputs!$B$16-ILP_A_CostFocused!$F$13)</f>
        <v>24279.1112485829</v>
      </c>
      <c r="AK54" s="45">
        <f t="shared" ca="1" si="32"/>
        <v>18066.415137691351</v>
      </c>
      <c r="AL54" s="45">
        <f t="shared" ca="1" si="33"/>
        <v>0</v>
      </c>
      <c r="AM54" s="45">
        <f t="shared" ca="1" si="34"/>
        <v>0</v>
      </c>
      <c r="AN54" s="45">
        <f t="shared" ca="1" si="35"/>
        <v>0</v>
      </c>
      <c r="AO54" s="45">
        <f ca="1">MIN(AL54,Inputs!$B$36)</f>
        <v>0</v>
      </c>
      <c r="AP54" s="45">
        <f ca="1">MIN(AN54,Inputs!$B$36-AO54)</f>
        <v>0</v>
      </c>
      <c r="AQ54" s="45">
        <f ca="1">MIN(AM54,Inputs!$B$36-AO54-AP54)</f>
        <v>0</v>
      </c>
      <c r="AR54" s="45">
        <f t="shared" ca="1" si="36"/>
        <v>0</v>
      </c>
      <c r="AS54" s="45">
        <f t="shared" ca="1" si="37"/>
        <v>0</v>
      </c>
      <c r="AT54" s="45">
        <f t="shared" ca="1" si="38"/>
        <v>0</v>
      </c>
      <c r="AU54" s="45">
        <f t="shared" ca="1" si="39"/>
        <v>0</v>
      </c>
      <c r="AV54" s="46">
        <f ca="1">AU54*Inputs!$B$35</f>
        <v>0</v>
      </c>
      <c r="AW54" s="46">
        <f ca="1">AR54*Inputs!$C$6+AT54*Inputs!$C$7+AS54*Inputs!$C$8</f>
        <v>0</v>
      </c>
      <c r="AX54" s="46">
        <f t="shared" ca="1" si="40"/>
        <v>35381105.694808297</v>
      </c>
      <c r="AY54" s="46">
        <f ca="1">IF(J54&gt;1,($CD$4)*Inputs!$B$55*((Z54+AA54+AB54)/(SUM(ILP_A_CostFocused!$C$9:$E$13))),0)</f>
        <v>0</v>
      </c>
      <c r="AZ54" s="46">
        <f t="shared" ca="1" si="41"/>
        <v>0</v>
      </c>
      <c r="BA54" s="41">
        <f t="shared" ca="1" si="42"/>
        <v>0</v>
      </c>
      <c r="BB54" s="41">
        <f t="shared" ca="1" si="43"/>
        <v>1</v>
      </c>
      <c r="BC54" s="41">
        <f t="shared" ca="1" si="44"/>
        <v>1</v>
      </c>
      <c r="BD54" s="41">
        <f t="shared" ca="1" si="45"/>
        <v>1</v>
      </c>
    </row>
    <row r="55" spans="1:56" ht="15" customHeight="1" x14ac:dyDescent="0.3">
      <c r="A55" s="41">
        <v>48</v>
      </c>
      <c r="B55" s="42">
        <f t="shared" ca="1" si="27"/>
        <v>0.79206118616726606</v>
      </c>
      <c r="C55" s="43">
        <f ca="1">IF(B55&lt;=Inputs!$C$40,Inputs!$D$40,IF(B55&lt;=Inputs!$C$41,Inputs!$D$41,Inputs!$D$42))</f>
        <v>1.1499999999999999</v>
      </c>
      <c r="D55" s="42">
        <f t="shared" ca="1" si="46"/>
        <v>8.0642612237274758E-2</v>
      </c>
      <c r="E55" s="42">
        <f t="shared" ca="1" si="46"/>
        <v>0.79018650189413608</v>
      </c>
      <c r="F55" s="42">
        <f t="shared" ca="1" si="46"/>
        <v>0.14005750827549635</v>
      </c>
      <c r="G55" s="42">
        <f t="shared" ca="1" si="46"/>
        <v>0.51573914546628929</v>
      </c>
      <c r="H55" s="42">
        <f t="shared" ca="1" si="46"/>
        <v>0.40945362028997023</v>
      </c>
      <c r="I55" s="42">
        <f t="shared" ca="1" si="46"/>
        <v>0.27085414233799621</v>
      </c>
      <c r="J55" s="43">
        <f ca="1">IF(I55&lt;Inputs!$B$54,1+Inputs!$B$55,1)</f>
        <v>1</v>
      </c>
      <c r="K55" s="42">
        <f t="shared" ca="1" si="47"/>
        <v>0.61677650127539174</v>
      </c>
      <c r="L55" s="42">
        <f t="shared" ca="1" si="47"/>
        <v>0.64884119772232851</v>
      </c>
      <c r="M55" s="42">
        <f t="shared" ca="1" si="47"/>
        <v>0.82565418691125314</v>
      </c>
      <c r="N55" s="42">
        <f t="shared" ca="1" si="47"/>
        <v>5.5474808907019502E-2</v>
      </c>
      <c r="O55" s="42">
        <f t="shared" ca="1" si="47"/>
        <v>0.17218189804590511</v>
      </c>
      <c r="P55" s="42">
        <f t="shared" ca="1" si="47"/>
        <v>0.40238318805701723</v>
      </c>
      <c r="Q55" s="42">
        <f t="shared" ca="1" si="47"/>
        <v>0.47367023031435884</v>
      </c>
      <c r="R55" s="42">
        <f t="shared" ca="1" si="47"/>
        <v>0.29085700786007573</v>
      </c>
      <c r="S55" s="42">
        <f t="shared" ca="1" si="47"/>
        <v>0.7022362645870015</v>
      </c>
      <c r="T55" s="42">
        <f t="shared" ca="1" si="47"/>
        <v>0.31558658068688994</v>
      </c>
      <c r="U55" s="44">
        <f ca="1">(IF(D55&gt;=Inputs!$E$12,1,IF(K55&lt;=Inputs!$C$46,Inputs!$D$46,IF(K55&lt;=Inputs!$C$47,Inputs!$D$47,Inputs!$D$48))))*((Inputs!$B$28+(P55-0.5)*2*Inputs!$B$53)/Inputs!$B$28)</f>
        <v>0.99901197558762167</v>
      </c>
      <c r="V55" s="44">
        <f ca="1">(IF(E55&gt;=Inputs!$E$13,1,IF(L55&lt;=Inputs!$C$46,Inputs!$D$46,IF(L55&lt;=Inputs!$C$47,Inputs!$D$47,Inputs!$D$48))))*((Inputs!$B$29+(Q55-0.5)*2*Inputs!$B$53)/Inputs!$B$29)</f>
        <v>0.99973457893462059</v>
      </c>
      <c r="W55" s="44">
        <f ca="1">(IF(F55&gt;=Inputs!$E$14,1,IF(M55&lt;=Inputs!$C$46,Inputs!$D$46,IF(M55&lt;=Inputs!$C$47,Inputs!$D$47,Inputs!$D$48))))*((Inputs!$B$30+(R55-0.5)*2*Inputs!$B$53)/Inputs!$B$30)</f>
        <v>0.99789806038050333</v>
      </c>
      <c r="X55" s="44">
        <f ca="1">(IF(G55&gt;=Inputs!$E$15,1,IF(N55&lt;=Inputs!$C$46,Inputs!$D$46,IF(N55&lt;=Inputs!$C$47,Inputs!$D$47,Inputs!$D$48))))*((Inputs!$B$31+(S55-0.5)*2*Inputs!$B$53)/Inputs!$B$31)</f>
        <v>1.0020531600465685</v>
      </c>
      <c r="Y55" s="44">
        <f ca="1">(IF(H55&gt;=Inputs!$E$16,1,IF(O55&lt;=Inputs!$C$46,Inputs!$D$46,IF(O55&lt;=Inputs!$C$47,Inputs!$D$47,Inputs!$D$48))))*((Inputs!$B$32+(T55-0.5)*2*Inputs!$B$53)/Inputs!$B$32)</f>
        <v>0.99814473421214178</v>
      </c>
      <c r="Z55" s="45">
        <f ca="1">ILP_A_CostFocused!$C$9*U55+ILP_A_CostFocused!$C$10*V55+ILP_A_CostFocused!$C$11*W55+ILP_A_CostFocused!$C$12*X55+ILP_A_CostFocused!$C$13*Y55</f>
        <v>18015.123941828351</v>
      </c>
      <c r="AA55" s="45">
        <f ca="1">ILP_A_CostFocused!$D$9*U55+ILP_A_CostFocused!$D$10*V55+ILP_A_CostFocused!$D$11*W55+ILP_A_CostFocused!$D$12*X55+ILP_A_CostFocused!$D$13*Y55</f>
        <v>14989.237774353991</v>
      </c>
      <c r="AB55" s="45">
        <f ca="1">ILP_A_CostFocused!$E$9*U55+ILP_A_CostFocused!$E$10*V55+ILP_A_CostFocused!$E$11*W55+ILP_A_CostFocused!$E$12*X55+ILP_A_CostFocused!$E$13*Y55</f>
        <v>11991.612203117054</v>
      </c>
      <c r="AC55" s="45">
        <f ca="1">Inputs!$B$6*$C55</f>
        <v>20700</v>
      </c>
      <c r="AD55" s="45">
        <f ca="1">Inputs!$B$7*$C55</f>
        <v>17250</v>
      </c>
      <c r="AE55" s="45">
        <f ca="1">Inputs!$B$8*$C55</f>
        <v>13799.999999999998</v>
      </c>
      <c r="AF55" s="45">
        <f t="shared" ca="1" si="28"/>
        <v>2684.8760581716488</v>
      </c>
      <c r="AG55" s="45">
        <f t="shared" ca="1" si="29"/>
        <v>2260.762225646009</v>
      </c>
      <c r="AH55" s="45">
        <f t="shared" ca="1" si="30"/>
        <v>1808.3877968829438</v>
      </c>
      <c r="AI55" s="45">
        <f t="shared" ca="1" si="31"/>
        <v>6754.0260807006016</v>
      </c>
      <c r="AJ55" s="45">
        <f ca="1">U55*(Inputs!$B$12-ILP_A_CostFocused!$F$9)+V55*(Inputs!$B$13-ILP_A_CostFocused!$F$10)+W55*(Inputs!$B$14-ILP_A_CostFocused!$F$11)+X55*(Inputs!$B$15-ILP_A_CostFocused!$F$12)+Y55*(Inputs!$B$16-ILP_A_CostFocused!$F$13)</f>
        <v>24953.98551387473</v>
      </c>
      <c r="AK55" s="45">
        <f t="shared" ca="1" si="32"/>
        <v>6754.0260807006016</v>
      </c>
      <c r="AL55" s="45">
        <f t="shared" ca="1" si="33"/>
        <v>0</v>
      </c>
      <c r="AM55" s="45">
        <f t="shared" ca="1" si="34"/>
        <v>0</v>
      </c>
      <c r="AN55" s="45">
        <f t="shared" ca="1" si="35"/>
        <v>0</v>
      </c>
      <c r="AO55" s="45">
        <f ca="1">MIN(AL55,Inputs!$B$36)</f>
        <v>0</v>
      </c>
      <c r="AP55" s="45">
        <f ca="1">MIN(AN55,Inputs!$B$36-AO55)</f>
        <v>0</v>
      </c>
      <c r="AQ55" s="45">
        <f ca="1">MIN(AM55,Inputs!$B$36-AO55-AP55)</f>
        <v>0</v>
      </c>
      <c r="AR55" s="45">
        <f t="shared" ca="1" si="36"/>
        <v>0</v>
      </c>
      <c r="AS55" s="45">
        <f t="shared" ca="1" si="37"/>
        <v>0</v>
      </c>
      <c r="AT55" s="45">
        <f t="shared" ca="1" si="38"/>
        <v>0</v>
      </c>
      <c r="AU55" s="45">
        <f t="shared" ca="1" si="39"/>
        <v>0</v>
      </c>
      <c r="AV55" s="46">
        <f ca="1">AU55*Inputs!$B$35</f>
        <v>0</v>
      </c>
      <c r="AW55" s="46">
        <f ca="1">AR55*Inputs!$C$6+AT55*Inputs!$C$7+AS55*Inputs!$C$8</f>
        <v>0</v>
      </c>
      <c r="AX55" s="46">
        <f t="shared" ca="1" si="40"/>
        <v>47387532.555367589</v>
      </c>
      <c r="AY55" s="46">
        <f ca="1">IF(J55&gt;1,($CD$4)*Inputs!$B$55*((Z55+AA55+AB55)/(SUM(ILP_A_CostFocused!$C$9:$E$13))),0)</f>
        <v>0</v>
      </c>
      <c r="AZ55" s="46">
        <f t="shared" ca="1" si="41"/>
        <v>0</v>
      </c>
      <c r="BA55" s="41">
        <f t="shared" ca="1" si="42"/>
        <v>0</v>
      </c>
      <c r="BB55" s="41">
        <f t="shared" ca="1" si="43"/>
        <v>1</v>
      </c>
      <c r="BC55" s="41">
        <f t="shared" ca="1" si="44"/>
        <v>1</v>
      </c>
      <c r="BD55" s="41">
        <f t="shared" ca="1" si="45"/>
        <v>1</v>
      </c>
    </row>
    <row r="56" spans="1:56" ht="15" customHeight="1" x14ac:dyDescent="0.3">
      <c r="A56" s="41">
        <v>49</v>
      </c>
      <c r="B56" s="42">
        <f t="shared" ca="1" si="27"/>
        <v>0.14927623849265503</v>
      </c>
      <c r="C56" s="43">
        <f ca="1">IF(B56&lt;=Inputs!$C$40,Inputs!$D$40,IF(B56&lt;=Inputs!$C$41,Inputs!$D$41,Inputs!$D$42))</f>
        <v>0.9</v>
      </c>
      <c r="D56" s="42">
        <f t="shared" ca="1" si="46"/>
        <v>0.45741697238939694</v>
      </c>
      <c r="E56" s="42">
        <f t="shared" ca="1" si="46"/>
        <v>0.77036750642296759</v>
      </c>
      <c r="F56" s="42">
        <f t="shared" ca="1" si="46"/>
        <v>0.56142662445252356</v>
      </c>
      <c r="G56" s="42">
        <f t="shared" ca="1" si="46"/>
        <v>0.67041805198977888</v>
      </c>
      <c r="H56" s="42">
        <f t="shared" ca="1" si="46"/>
        <v>0.77681598056067136</v>
      </c>
      <c r="I56" s="42">
        <f t="shared" ca="1" si="46"/>
        <v>0.83918581527655167</v>
      </c>
      <c r="J56" s="43">
        <f ca="1">IF(I56&lt;Inputs!$B$54,1+Inputs!$B$55,1)</f>
        <v>1</v>
      </c>
      <c r="K56" s="42">
        <f t="shared" ca="1" si="47"/>
        <v>0.85285432448474119</v>
      </c>
      <c r="L56" s="42">
        <f t="shared" ca="1" si="47"/>
        <v>0.14815589900497284</v>
      </c>
      <c r="M56" s="42">
        <f t="shared" ca="1" si="47"/>
        <v>0.50256733684274102</v>
      </c>
      <c r="N56" s="42">
        <f t="shared" ca="1" si="47"/>
        <v>0.15620882307040884</v>
      </c>
      <c r="O56" s="42">
        <f t="shared" ca="1" si="47"/>
        <v>0.35541865777074488</v>
      </c>
      <c r="P56" s="42">
        <f t="shared" ca="1" si="47"/>
        <v>0.356792004766181</v>
      </c>
      <c r="Q56" s="42">
        <f t="shared" ca="1" si="47"/>
        <v>0.59962197010091245</v>
      </c>
      <c r="R56" s="42">
        <f t="shared" ca="1" si="47"/>
        <v>0.38133876978100145</v>
      </c>
      <c r="S56" s="42">
        <f t="shared" ca="1" si="47"/>
        <v>0.31216021999321919</v>
      </c>
      <c r="T56" s="42">
        <f t="shared" ca="1" si="47"/>
        <v>0.11783469176588379</v>
      </c>
      <c r="U56" s="44">
        <f ca="1">(IF(D56&gt;=Inputs!$E$12,1,IF(K56&lt;=Inputs!$C$46,Inputs!$D$46,IF(K56&lt;=Inputs!$C$47,Inputs!$D$47,Inputs!$D$48))))*((Inputs!$B$28+(P56-0.5)*2*Inputs!$B$53)/Inputs!$B$28)</f>
        <v>0.99855052636403019</v>
      </c>
      <c r="V56" s="44">
        <f ca="1">(IF(E56&gt;=Inputs!$E$13,1,IF(L56&lt;=Inputs!$C$46,Inputs!$D$46,IF(L56&lt;=Inputs!$C$47,Inputs!$D$47,Inputs!$D$48))))*((Inputs!$B$29+(Q56-0.5)*2*Inputs!$B$53)/Inputs!$B$29)</f>
        <v>1.0010042537308561</v>
      </c>
      <c r="W56" s="44">
        <f ca="1">(IF(F56&gt;=Inputs!$E$14,1,IF(M56&lt;=Inputs!$C$46,Inputs!$D$46,IF(M56&lt;=Inputs!$C$47,Inputs!$D$47,Inputs!$D$48))))*((Inputs!$B$30+(R56-0.5)*2*Inputs!$B$53)/Inputs!$B$30)</f>
        <v>0.99880742482191964</v>
      </c>
      <c r="X56" s="44">
        <f ca="1">(IF(G56&gt;=Inputs!$E$15,1,IF(N56&lt;=Inputs!$C$46,Inputs!$D$46,IF(N56&lt;=Inputs!$C$47,Inputs!$D$47,Inputs!$D$48))))*((Inputs!$B$31+(S56-0.5)*2*Inputs!$B$53)/Inputs!$B$31)</f>
        <v>0.99809299715729161</v>
      </c>
      <c r="Y56" s="44">
        <f ca="1">(IF(H56&gt;=Inputs!$E$16,1,IF(O56&lt;=Inputs!$C$46,Inputs!$D$46,IF(O56&lt;=Inputs!$C$47,Inputs!$D$47,Inputs!$D$48))))*((Inputs!$B$32+(T56-0.5)*2*Inputs!$B$53)/Inputs!$B$32)</f>
        <v>0.99615527858919395</v>
      </c>
      <c r="Z56" s="45">
        <f ca="1">ILP_A_CostFocused!$C$9*U56+ILP_A_CostFocused!$C$10*V56+ILP_A_CostFocused!$C$11*W56+ILP_A_CostFocused!$C$12*X56+ILP_A_CostFocused!$C$13*Y56</f>
        <v>17969.184087128047</v>
      </c>
      <c r="AA56" s="45">
        <f ca="1">ILP_A_CostFocused!$D$9*U56+ILP_A_CostFocused!$D$10*V56+ILP_A_CostFocused!$D$11*W56+ILP_A_CostFocused!$D$12*X56+ILP_A_CostFocused!$D$13*Y56</f>
        <v>15001.154116291302</v>
      </c>
      <c r="AB56" s="45">
        <f ca="1">ILP_A_CostFocused!$E$9*U56+ILP_A_CostFocused!$E$10*V56+ILP_A_CostFocused!$E$11*W56+ILP_A_CostFocused!$E$12*X56+ILP_A_CostFocused!$E$13*Y56</f>
        <v>11994.384207729127</v>
      </c>
      <c r="AC56" s="45">
        <f ca="1">Inputs!$B$6*$C56</f>
        <v>16200</v>
      </c>
      <c r="AD56" s="45">
        <f ca="1">Inputs!$B$7*$C56</f>
        <v>13500</v>
      </c>
      <c r="AE56" s="45">
        <f ca="1">Inputs!$B$8*$C56</f>
        <v>10800</v>
      </c>
      <c r="AF56" s="45">
        <f t="shared" ca="1" si="28"/>
        <v>0</v>
      </c>
      <c r="AG56" s="45">
        <f t="shared" ca="1" si="29"/>
        <v>0</v>
      </c>
      <c r="AH56" s="45">
        <f t="shared" ca="1" si="30"/>
        <v>0</v>
      </c>
      <c r="AI56" s="45">
        <f t="shared" ca="1" si="31"/>
        <v>0</v>
      </c>
      <c r="AJ56" s="45">
        <f ca="1">U56*(Inputs!$B$12-ILP_A_CostFocused!$F$9)+V56*(Inputs!$B$13-ILP_A_CostFocused!$F$10)+W56*(Inputs!$B$14-ILP_A_CostFocused!$F$11)+X56*(Inputs!$B$15-ILP_A_CostFocused!$F$12)+Y56*(Inputs!$B$16-ILP_A_CostFocused!$F$13)</f>
        <v>24930.087230318357</v>
      </c>
      <c r="AK56" s="45">
        <f t="shared" ca="1" si="32"/>
        <v>0</v>
      </c>
      <c r="AL56" s="45">
        <f t="shared" ca="1" si="33"/>
        <v>0</v>
      </c>
      <c r="AM56" s="45">
        <f t="shared" ca="1" si="34"/>
        <v>0</v>
      </c>
      <c r="AN56" s="45">
        <f t="shared" ca="1" si="35"/>
        <v>0</v>
      </c>
      <c r="AO56" s="45">
        <f ca="1">MIN(AL56,Inputs!$B$36)</f>
        <v>0</v>
      </c>
      <c r="AP56" s="45">
        <f ca="1">MIN(AN56,Inputs!$B$36-AO56)</f>
        <v>0</v>
      </c>
      <c r="AQ56" s="45">
        <f ca="1">MIN(AM56,Inputs!$B$36-AO56-AP56)</f>
        <v>0</v>
      </c>
      <c r="AR56" s="45">
        <f t="shared" ca="1" si="36"/>
        <v>0</v>
      </c>
      <c r="AS56" s="45">
        <f t="shared" ca="1" si="37"/>
        <v>0</v>
      </c>
      <c r="AT56" s="45">
        <f t="shared" ca="1" si="38"/>
        <v>0</v>
      </c>
      <c r="AU56" s="45">
        <f t="shared" ca="1" si="39"/>
        <v>0</v>
      </c>
      <c r="AV56" s="46">
        <f ca="1">AU56*Inputs!$B$35</f>
        <v>0</v>
      </c>
      <c r="AW56" s="46">
        <f ca="1">AR56*Inputs!$C$6+AT56*Inputs!$C$7+AS56*Inputs!$C$8</f>
        <v>0</v>
      </c>
      <c r="AX56" s="46">
        <f t="shared" ca="1" si="40"/>
        <v>47355737.13059368</v>
      </c>
      <c r="AY56" s="46">
        <f ca="1">IF(J56&gt;1,($CD$4)*Inputs!$B$55*((Z56+AA56+AB56)/(SUM(ILP_A_CostFocused!$C$9:$E$13))),0)</f>
        <v>0</v>
      </c>
      <c r="AZ56" s="46">
        <f t="shared" ca="1" si="41"/>
        <v>0</v>
      </c>
      <c r="BA56" s="41">
        <f t="shared" ca="1" si="42"/>
        <v>0</v>
      </c>
      <c r="BB56" s="41">
        <f t="shared" ca="1" si="43"/>
        <v>1</v>
      </c>
      <c r="BC56" s="41">
        <f t="shared" ca="1" si="44"/>
        <v>1</v>
      </c>
      <c r="BD56" s="41">
        <f t="shared" ca="1" si="45"/>
        <v>1</v>
      </c>
    </row>
    <row r="57" spans="1:56" ht="15" customHeight="1" x14ac:dyDescent="0.3">
      <c r="A57" s="41">
        <v>50</v>
      </c>
      <c r="B57" s="42">
        <f t="shared" ca="1" si="27"/>
        <v>0.10361205604587642</v>
      </c>
      <c r="C57" s="43">
        <f ca="1">IF(B57&lt;=Inputs!$C$40,Inputs!$D$40,IF(B57&lt;=Inputs!$C$41,Inputs!$D$41,Inputs!$D$42))</f>
        <v>0.9</v>
      </c>
      <c r="D57" s="42">
        <f t="shared" ca="1" si="46"/>
        <v>0.41900015142351155</v>
      </c>
      <c r="E57" s="42">
        <f t="shared" ca="1" si="46"/>
        <v>0.63155928859109045</v>
      </c>
      <c r="F57" s="42">
        <f t="shared" ca="1" si="46"/>
        <v>0.95472399043734124</v>
      </c>
      <c r="G57" s="42">
        <f t="shared" ca="1" si="46"/>
        <v>0.6481544002641153</v>
      </c>
      <c r="H57" s="42">
        <f t="shared" ca="1" si="46"/>
        <v>0.14040412169543626</v>
      </c>
      <c r="I57" s="42">
        <f t="shared" ca="1" si="46"/>
        <v>0.11587397752233386</v>
      </c>
      <c r="J57" s="43">
        <f ca="1">IF(I57&lt;Inputs!$B$54,1+Inputs!$B$55,1)</f>
        <v>1</v>
      </c>
      <c r="K57" s="42">
        <f t="shared" ca="1" si="47"/>
        <v>0.60797975781376767</v>
      </c>
      <c r="L57" s="42">
        <f t="shared" ca="1" si="47"/>
        <v>0.66733293684826345</v>
      </c>
      <c r="M57" s="42">
        <f t="shared" ca="1" si="47"/>
        <v>0.30631426515939653</v>
      </c>
      <c r="N57" s="42">
        <f t="shared" ca="1" si="47"/>
        <v>0.32552195759509817</v>
      </c>
      <c r="O57" s="42">
        <f t="shared" ca="1" si="47"/>
        <v>6.2443732475172209E-2</v>
      </c>
      <c r="P57" s="42">
        <f t="shared" ca="1" si="47"/>
        <v>0.14179067097257569</v>
      </c>
      <c r="Q57" s="42">
        <f t="shared" ca="1" si="47"/>
        <v>0.18835409518285073</v>
      </c>
      <c r="R57" s="42">
        <f t="shared" ca="1" si="47"/>
        <v>0.51045319507926556</v>
      </c>
      <c r="S57" s="42">
        <f t="shared" ca="1" si="47"/>
        <v>0.91594054527240698</v>
      </c>
      <c r="T57" s="42">
        <f t="shared" ca="1" si="47"/>
        <v>0.35445844396146364</v>
      </c>
      <c r="U57" s="44">
        <f ca="1">(IF(D57&gt;=Inputs!$E$12,1,IF(K57&lt;=Inputs!$C$46,Inputs!$D$46,IF(K57&lt;=Inputs!$C$47,Inputs!$D$47,Inputs!$D$48))))*((Inputs!$B$28+(P57-0.5)*2*Inputs!$B$53)/Inputs!$B$28)</f>
        <v>0.99637439950377105</v>
      </c>
      <c r="V57" s="44">
        <f ca="1">(IF(E57&gt;=Inputs!$E$13,1,IF(L57&lt;=Inputs!$C$46,Inputs!$D$46,IF(L57&lt;=Inputs!$C$47,Inputs!$D$47,Inputs!$D$48))))*((Inputs!$B$29+(Q57-0.5)*2*Inputs!$B$53)/Inputs!$B$29)</f>
        <v>0.9968584082175691</v>
      </c>
      <c r="W57" s="44">
        <f ca="1">(IF(F57&gt;=Inputs!$E$14,1,IF(M57&lt;=Inputs!$C$46,Inputs!$D$46,IF(M57&lt;=Inputs!$C$47,Inputs!$D$47,Inputs!$D$48))))*((Inputs!$B$30+(R57-0.5)*2*Inputs!$B$53)/Inputs!$B$30)</f>
        <v>1.0001050572369776</v>
      </c>
      <c r="X57" s="44">
        <f ca="1">(IF(G57&gt;=Inputs!$E$15,1,IF(N57&lt;=Inputs!$C$46,Inputs!$D$46,IF(N57&lt;=Inputs!$C$47,Inputs!$D$47,Inputs!$D$48))))*((Inputs!$B$31+(S57-0.5)*2*Inputs!$B$53)/Inputs!$B$31)</f>
        <v>1.0042227466525118</v>
      </c>
      <c r="Y57" s="44">
        <f ca="1">(IF(H57&gt;=Inputs!$E$16,1,IF(O57&lt;=Inputs!$C$46,Inputs!$D$46,IF(O57&lt;=Inputs!$C$47,Inputs!$D$47,Inputs!$D$48))))*((Inputs!$B$32+(T57-0.5)*2*Inputs!$B$53)/Inputs!$B$32)</f>
        <v>0.99853579923502489</v>
      </c>
      <c r="Z57" s="45">
        <f ca="1">ILP_A_CostFocused!$C$9*U57+ILP_A_CostFocused!$C$10*V57+ILP_A_CostFocused!$C$11*W57+ILP_A_CostFocused!$C$12*X57+ILP_A_CostFocused!$C$13*Y57</f>
        <v>18019.543933041092</v>
      </c>
      <c r="AA57" s="45">
        <f ca="1">ILP_A_CostFocused!$D$9*U57+ILP_A_CostFocused!$D$10*V57+ILP_A_CostFocused!$D$11*W57+ILP_A_CostFocused!$D$12*X57+ILP_A_CostFocused!$D$13*Y57</f>
        <v>14976.556060583833</v>
      </c>
      <c r="AB57" s="45">
        <f ca="1">ILP_A_CostFocused!$E$9*U57+ILP_A_CostFocused!$E$10*V57+ILP_A_CostFocused!$E$11*W57+ILP_A_CostFocused!$E$12*X57+ILP_A_CostFocused!$E$13*Y57</f>
        <v>11958.816035871483</v>
      </c>
      <c r="AC57" s="45">
        <f ca="1">Inputs!$B$6*$C57</f>
        <v>16200</v>
      </c>
      <c r="AD57" s="45">
        <f ca="1">Inputs!$B$7*$C57</f>
        <v>13500</v>
      </c>
      <c r="AE57" s="45">
        <f ca="1">Inputs!$B$8*$C57</f>
        <v>10800</v>
      </c>
      <c r="AF57" s="45">
        <f t="shared" ca="1" si="28"/>
        <v>0</v>
      </c>
      <c r="AG57" s="45">
        <f t="shared" ca="1" si="29"/>
        <v>0</v>
      </c>
      <c r="AH57" s="45">
        <f t="shared" ca="1" si="30"/>
        <v>0</v>
      </c>
      <c r="AI57" s="45">
        <f t="shared" ca="1" si="31"/>
        <v>0</v>
      </c>
      <c r="AJ57" s="45">
        <f ca="1">U57*(Inputs!$B$12-ILP_A_CostFocused!$F$9)+V57*(Inputs!$B$13-ILP_A_CostFocused!$F$10)+W57*(Inputs!$B$14-ILP_A_CostFocused!$F$11)+X57*(Inputs!$B$15-ILP_A_CostFocused!$F$12)+Y57*(Inputs!$B$16-ILP_A_CostFocused!$F$13)</f>
        <v>24973.167770046119</v>
      </c>
      <c r="AK57" s="45">
        <f t="shared" ca="1" si="32"/>
        <v>0</v>
      </c>
      <c r="AL57" s="45">
        <f t="shared" ca="1" si="33"/>
        <v>0</v>
      </c>
      <c r="AM57" s="45">
        <f t="shared" ca="1" si="34"/>
        <v>0</v>
      </c>
      <c r="AN57" s="45">
        <f t="shared" ca="1" si="35"/>
        <v>0</v>
      </c>
      <c r="AO57" s="45">
        <f ca="1">MIN(AL57,Inputs!$B$36)</f>
        <v>0</v>
      </c>
      <c r="AP57" s="45">
        <f ca="1">MIN(AN57,Inputs!$B$36-AO57)</f>
        <v>0</v>
      </c>
      <c r="AQ57" s="45">
        <f ca="1">MIN(AM57,Inputs!$B$36-AO57-AP57)</f>
        <v>0</v>
      </c>
      <c r="AR57" s="45">
        <f t="shared" ca="1" si="36"/>
        <v>0</v>
      </c>
      <c r="AS57" s="45">
        <f t="shared" ca="1" si="37"/>
        <v>0</v>
      </c>
      <c r="AT57" s="45">
        <f t="shared" ca="1" si="38"/>
        <v>0</v>
      </c>
      <c r="AU57" s="45">
        <f t="shared" ca="1" si="39"/>
        <v>0</v>
      </c>
      <c r="AV57" s="46">
        <f ca="1">AU57*Inputs!$B$35</f>
        <v>0</v>
      </c>
      <c r="AW57" s="46">
        <f ca="1">AR57*Inputs!$C$6+AT57*Inputs!$C$7+AS57*Inputs!$C$8</f>
        <v>0</v>
      </c>
      <c r="AX57" s="46">
        <f t="shared" ca="1" si="40"/>
        <v>47343128.658128828</v>
      </c>
      <c r="AY57" s="46">
        <f ca="1">IF(J57&gt;1,($CD$4)*Inputs!$B$55*((Z57+AA57+AB57)/(SUM(ILP_A_CostFocused!$C$9:$E$13))),0)</f>
        <v>0</v>
      </c>
      <c r="AZ57" s="46">
        <f t="shared" ca="1" si="41"/>
        <v>0</v>
      </c>
      <c r="BA57" s="41">
        <f t="shared" ca="1" si="42"/>
        <v>0</v>
      </c>
      <c r="BB57" s="41">
        <f t="shared" ca="1" si="43"/>
        <v>1</v>
      </c>
      <c r="BC57" s="41">
        <f t="shared" ca="1" si="44"/>
        <v>1</v>
      </c>
      <c r="BD57" s="41">
        <f t="shared" ca="1" si="45"/>
        <v>1</v>
      </c>
    </row>
    <row r="58" spans="1:56" ht="15" customHeight="1" x14ac:dyDescent="0.3">
      <c r="A58" s="41">
        <v>51</v>
      </c>
      <c r="B58" s="42">
        <f t="shared" ca="1" si="27"/>
        <v>0.89925103165813569</v>
      </c>
      <c r="C58" s="43">
        <f ca="1">IF(B58&lt;=Inputs!$C$40,Inputs!$D$40,IF(B58&lt;=Inputs!$C$41,Inputs!$D$41,Inputs!$D$42))</f>
        <v>1.1499999999999999</v>
      </c>
      <c r="D58" s="42">
        <f t="shared" ref="D58:I67" ca="1" si="48">RAND()</f>
        <v>0.88567366785476709</v>
      </c>
      <c r="E58" s="42">
        <f t="shared" ca="1" si="48"/>
        <v>0.61496758770864612</v>
      </c>
      <c r="F58" s="42">
        <f t="shared" ca="1" si="48"/>
        <v>0.10655592298850292</v>
      </c>
      <c r="G58" s="42">
        <f t="shared" ca="1" si="48"/>
        <v>0.43082449564688319</v>
      </c>
      <c r="H58" s="42">
        <f t="shared" ca="1" si="48"/>
        <v>0.90008881061977764</v>
      </c>
      <c r="I58" s="42">
        <f t="shared" ca="1" si="48"/>
        <v>0.55738396502805421</v>
      </c>
      <c r="J58" s="43">
        <f ca="1">IF(I58&lt;Inputs!$B$54,1+Inputs!$B$55,1)</f>
        <v>1</v>
      </c>
      <c r="K58" s="42">
        <f t="shared" ref="K58:T67" ca="1" si="49">RAND()</f>
        <v>0.59500843469145359</v>
      </c>
      <c r="L58" s="42">
        <f t="shared" ca="1" si="49"/>
        <v>0.72399318025386394</v>
      </c>
      <c r="M58" s="42">
        <f t="shared" ca="1" si="49"/>
        <v>0.46596758946652561</v>
      </c>
      <c r="N58" s="42">
        <f t="shared" ca="1" si="49"/>
        <v>0.86127461574645192</v>
      </c>
      <c r="O58" s="42">
        <f t="shared" ca="1" si="49"/>
        <v>0.71815550391696181</v>
      </c>
      <c r="P58" s="42">
        <f t="shared" ca="1" si="49"/>
        <v>0.30523211863332789</v>
      </c>
      <c r="Q58" s="42">
        <f t="shared" ca="1" si="49"/>
        <v>7.8550600711492224E-2</v>
      </c>
      <c r="R58" s="42">
        <f t="shared" ca="1" si="49"/>
        <v>0.33299399791315243</v>
      </c>
      <c r="S58" s="42">
        <f t="shared" ca="1" si="49"/>
        <v>0.88288598814629204</v>
      </c>
      <c r="T58" s="42">
        <f t="shared" ca="1" si="49"/>
        <v>0.94091589902268635</v>
      </c>
      <c r="U58" s="44">
        <f ca="1">(IF(D58&gt;=Inputs!$E$12,1,IF(K58&lt;=Inputs!$C$46,Inputs!$D$46,IF(K58&lt;=Inputs!$C$47,Inputs!$D$47,Inputs!$D$48))))*((Inputs!$B$28+(P58-0.5)*2*Inputs!$B$53)/Inputs!$B$28)</f>
        <v>0.99802866516835353</v>
      </c>
      <c r="V58" s="44">
        <f ca="1">(IF(E58&gt;=Inputs!$E$13,1,IF(L58&lt;=Inputs!$C$46,Inputs!$D$46,IF(L58&lt;=Inputs!$C$47,Inputs!$D$47,Inputs!$D$48))))*((Inputs!$B$29+(Q58-0.5)*2*Inputs!$B$53)/Inputs!$B$29)</f>
        <v>0.99575151815233354</v>
      </c>
      <c r="W58" s="44">
        <f ca="1">(IF(F58&gt;=Inputs!$E$14,1,IF(M58&lt;=Inputs!$C$46,Inputs!$D$46,IF(M58&lt;=Inputs!$C$47,Inputs!$D$47,Inputs!$D$48))))*((Inputs!$B$30+(R58-0.5)*2*Inputs!$B$53)/Inputs!$B$30)</f>
        <v>0.99832154771772019</v>
      </c>
      <c r="X58" s="44">
        <f ca="1">(IF(G58&gt;=Inputs!$E$15,1,IF(N58&lt;=Inputs!$C$46,Inputs!$D$46,IF(N58&lt;=Inputs!$C$47,Inputs!$D$47,Inputs!$D$48))))*((Inputs!$B$31+(S58-0.5)*2*Inputs!$B$53)/Inputs!$B$31)</f>
        <v>1.0038871673923482</v>
      </c>
      <c r="Y58" s="44">
        <f ca="1">(IF(H58&gt;=Inputs!$E$16,1,IF(O58&lt;=Inputs!$C$46,Inputs!$D$46,IF(O58&lt;=Inputs!$C$47,Inputs!$D$47,Inputs!$D$48))))*((Inputs!$B$32+(T58-0.5)*2*Inputs!$B$53)/Inputs!$B$32)</f>
        <v>1.0044357736320191</v>
      </c>
      <c r="Z58" s="45">
        <f ca="1">ILP_A_CostFocused!$C$9*U58+ILP_A_CostFocused!$C$10*V58+ILP_A_CostFocused!$C$11*W58+ILP_A_CostFocused!$C$12*X58+ILP_A_CostFocused!$C$13*Y58</f>
        <v>18027.587408112096</v>
      </c>
      <c r="AA58" s="45">
        <f ca="1">ILP_A_CostFocused!$D$9*U58+ILP_A_CostFocused!$D$10*V58+ILP_A_CostFocused!$D$11*W58+ILP_A_CostFocused!$D$12*X58+ILP_A_CostFocused!$D$13*Y58</f>
        <v>14957.369881745444</v>
      </c>
      <c r="AB58" s="45">
        <f ca="1">ILP_A_CostFocused!$E$9*U58+ILP_A_CostFocused!$E$10*V58+ILP_A_CostFocused!$E$11*W58+ILP_A_CostFocused!$E$12*X58+ILP_A_CostFocused!$E$13*Y58</f>
        <v>11965.413676343345</v>
      </c>
      <c r="AC58" s="45">
        <f ca="1">Inputs!$B$6*$C58</f>
        <v>20700</v>
      </c>
      <c r="AD58" s="45">
        <f ca="1">Inputs!$B$7*$C58</f>
        <v>17250</v>
      </c>
      <c r="AE58" s="45">
        <f ca="1">Inputs!$B$8*$C58</f>
        <v>13799.999999999998</v>
      </c>
      <c r="AF58" s="45">
        <f t="shared" ca="1" si="28"/>
        <v>2672.4125918879035</v>
      </c>
      <c r="AG58" s="45">
        <f t="shared" ca="1" si="29"/>
        <v>2292.6301182545558</v>
      </c>
      <c r="AH58" s="45">
        <f t="shared" ca="1" si="30"/>
        <v>1834.5863236566529</v>
      </c>
      <c r="AI58" s="45">
        <f t="shared" ca="1" si="31"/>
        <v>6799.6290337991122</v>
      </c>
      <c r="AJ58" s="45">
        <f ca="1">U58*(Inputs!$B$12-ILP_A_CostFocused!$F$9)+V58*(Inputs!$B$13-ILP_A_CostFocused!$F$10)+W58*(Inputs!$B$14-ILP_A_CostFocused!$F$11)+X58*(Inputs!$B$15-ILP_A_CostFocused!$F$12)+Y58*(Inputs!$B$16-ILP_A_CostFocused!$F$13)</f>
        <v>25049.971664144268</v>
      </c>
      <c r="AK58" s="45">
        <f t="shared" ca="1" si="32"/>
        <v>6799.6290337991122</v>
      </c>
      <c r="AL58" s="45">
        <f t="shared" ca="1" si="33"/>
        <v>0</v>
      </c>
      <c r="AM58" s="45">
        <f t="shared" ca="1" si="34"/>
        <v>0</v>
      </c>
      <c r="AN58" s="45">
        <f t="shared" ca="1" si="35"/>
        <v>0</v>
      </c>
      <c r="AO58" s="45">
        <f ca="1">MIN(AL58,Inputs!$B$36)</f>
        <v>0</v>
      </c>
      <c r="AP58" s="45">
        <f ca="1">MIN(AN58,Inputs!$B$36-AO58)</f>
        <v>0</v>
      </c>
      <c r="AQ58" s="45">
        <f ca="1">MIN(AM58,Inputs!$B$36-AO58-AP58)</f>
        <v>0</v>
      </c>
      <c r="AR58" s="45">
        <f t="shared" ca="1" si="36"/>
        <v>0</v>
      </c>
      <c r="AS58" s="45">
        <f t="shared" ca="1" si="37"/>
        <v>0</v>
      </c>
      <c r="AT58" s="45">
        <f t="shared" ca="1" si="38"/>
        <v>0</v>
      </c>
      <c r="AU58" s="45">
        <f t="shared" ca="1" si="39"/>
        <v>0</v>
      </c>
      <c r="AV58" s="46">
        <f ca="1">AU58*Inputs!$B$35</f>
        <v>0</v>
      </c>
      <c r="AW58" s="46">
        <f ca="1">AR58*Inputs!$C$6+AT58*Inputs!$C$7+AS58*Inputs!$C$8</f>
        <v>0</v>
      </c>
      <c r="AX58" s="46">
        <f t="shared" ca="1" si="40"/>
        <v>47338358.946333647</v>
      </c>
      <c r="AY58" s="46">
        <f ca="1">IF(J58&gt;1,($CD$4)*Inputs!$B$55*((Z58+AA58+AB58)/(SUM(ILP_A_CostFocused!$C$9:$E$13))),0)</f>
        <v>0</v>
      </c>
      <c r="AZ58" s="46">
        <f t="shared" ca="1" si="41"/>
        <v>0</v>
      </c>
      <c r="BA58" s="41">
        <f t="shared" ca="1" si="42"/>
        <v>0</v>
      </c>
      <c r="BB58" s="41">
        <f t="shared" ca="1" si="43"/>
        <v>1</v>
      </c>
      <c r="BC58" s="41">
        <f t="shared" ca="1" si="44"/>
        <v>1</v>
      </c>
      <c r="BD58" s="41">
        <f t="shared" ca="1" si="45"/>
        <v>1</v>
      </c>
    </row>
    <row r="59" spans="1:56" ht="15" customHeight="1" x14ac:dyDescent="0.3">
      <c r="A59" s="41">
        <v>52</v>
      </c>
      <c r="B59" s="42">
        <f t="shared" ca="1" si="27"/>
        <v>0.99539216853311463</v>
      </c>
      <c r="C59" s="43">
        <f ca="1">IF(B59&lt;=Inputs!$C$40,Inputs!$D$40,IF(B59&lt;=Inputs!$C$41,Inputs!$D$41,Inputs!$D$42))</f>
        <v>1.1499999999999999</v>
      </c>
      <c r="D59" s="42">
        <f t="shared" ca="1" si="48"/>
        <v>0.39858315920761234</v>
      </c>
      <c r="E59" s="42">
        <f t="shared" ca="1" si="48"/>
        <v>0.24889545039879324</v>
      </c>
      <c r="F59" s="42">
        <f t="shared" ca="1" si="48"/>
        <v>0.8689526158806139</v>
      </c>
      <c r="G59" s="42">
        <f t="shared" ca="1" si="48"/>
        <v>0.52971977027424111</v>
      </c>
      <c r="H59" s="42">
        <f t="shared" ca="1" si="48"/>
        <v>0.85469448421874739</v>
      </c>
      <c r="I59" s="42">
        <f t="shared" ca="1" si="48"/>
        <v>0.50270226831211173</v>
      </c>
      <c r="J59" s="43">
        <f ca="1">IF(I59&lt;Inputs!$B$54,1+Inputs!$B$55,1)</f>
        <v>1</v>
      </c>
      <c r="K59" s="42">
        <f t="shared" ca="1" si="49"/>
        <v>3.381622192937439E-2</v>
      </c>
      <c r="L59" s="42">
        <f t="shared" ca="1" si="49"/>
        <v>0.46597502780332778</v>
      </c>
      <c r="M59" s="42">
        <f t="shared" ca="1" si="49"/>
        <v>0.74612033815849055</v>
      </c>
      <c r="N59" s="42">
        <f t="shared" ca="1" si="49"/>
        <v>0.71927778291677114</v>
      </c>
      <c r="O59" s="42">
        <f t="shared" ca="1" si="49"/>
        <v>0.96885925237596782</v>
      </c>
      <c r="P59" s="42">
        <f t="shared" ca="1" si="49"/>
        <v>0.82698080277951269</v>
      </c>
      <c r="Q59" s="42">
        <f t="shared" ca="1" si="49"/>
        <v>0.48632673554992312</v>
      </c>
      <c r="R59" s="42">
        <f t="shared" ca="1" si="49"/>
        <v>0.45512151148921343</v>
      </c>
      <c r="S59" s="42">
        <f t="shared" ca="1" si="49"/>
        <v>4.8735295209916263E-3</v>
      </c>
      <c r="T59" s="42">
        <f t="shared" ca="1" si="49"/>
        <v>0.19493332033054533</v>
      </c>
      <c r="U59" s="44">
        <f ca="1">(IF(D59&gt;=Inputs!$E$12,1,IF(K59&lt;=Inputs!$C$46,Inputs!$D$46,IF(K59&lt;=Inputs!$C$47,Inputs!$D$47,Inputs!$D$48))))*((Inputs!$B$28+(P59-0.5)*2*Inputs!$B$53)/Inputs!$B$28)</f>
        <v>1.0033095222953392</v>
      </c>
      <c r="V59" s="44">
        <f ca="1">(IF(E59&gt;=Inputs!$E$13,1,IF(L59&lt;=Inputs!$C$46,Inputs!$D$46,IF(L59&lt;=Inputs!$C$47,Inputs!$D$47,Inputs!$D$48))))*((Inputs!$B$29+(Q59-0.5)*2*Inputs!$B$53)/Inputs!$B$29)</f>
        <v>0.99986216467288225</v>
      </c>
      <c r="W59" s="44">
        <f ca="1">(IF(F59&gt;=Inputs!$E$14,1,IF(M59&lt;=Inputs!$C$46,Inputs!$D$46,IF(M59&lt;=Inputs!$C$47,Inputs!$D$47,Inputs!$D$48))))*((Inputs!$B$30+(R59-0.5)*2*Inputs!$B$53)/Inputs!$B$30)</f>
        <v>0.99954895991446446</v>
      </c>
      <c r="X59" s="44">
        <f ca="1">(IF(G59&gt;=Inputs!$E$15,1,IF(N59&lt;=Inputs!$C$46,Inputs!$D$46,IF(N59&lt;=Inputs!$C$47,Inputs!$D$47,Inputs!$D$48))))*((Inputs!$B$31+(S59-0.5)*2*Inputs!$B$53)/Inputs!$B$31)</f>
        <v>0.99497333532508614</v>
      </c>
      <c r="Y59" s="44">
        <f ca="1">(IF(H59&gt;=Inputs!$E$16,1,IF(O59&lt;=Inputs!$C$46,Inputs!$D$46,IF(O59&lt;=Inputs!$C$47,Inputs!$D$47,Inputs!$D$48))))*((Inputs!$B$32+(T59-0.5)*2*Inputs!$B$53)/Inputs!$B$32)</f>
        <v>0.99693091871559902</v>
      </c>
      <c r="Z59" s="45">
        <f ca="1">ILP_A_CostFocused!$C$9*U59+ILP_A_CostFocused!$C$10*V59+ILP_A_CostFocused!$C$11*W59+ILP_A_CostFocused!$C$12*X59+ILP_A_CostFocused!$C$13*Y59</f>
        <v>17969.237214566594</v>
      </c>
      <c r="AA59" s="45">
        <f ca="1">ILP_A_CostFocused!$D$9*U59+ILP_A_CostFocused!$D$10*V59+ILP_A_CostFocused!$D$11*W59+ILP_A_CostFocused!$D$12*X59+ILP_A_CostFocused!$D$13*Y59</f>
        <v>14991.386104461562</v>
      </c>
      <c r="AB59" s="45">
        <f ca="1">ILP_A_CostFocused!$E$9*U59+ILP_A_CostFocused!$E$10*V59+ILP_A_CostFocused!$E$11*W59+ILP_A_CostFocused!$E$12*X59+ILP_A_CostFocused!$E$13*Y59</f>
        <v>12023.166950956278</v>
      </c>
      <c r="AC59" s="45">
        <f ca="1">Inputs!$B$6*$C59</f>
        <v>20700</v>
      </c>
      <c r="AD59" s="45">
        <f ca="1">Inputs!$B$7*$C59</f>
        <v>17250</v>
      </c>
      <c r="AE59" s="45">
        <f ca="1">Inputs!$B$8*$C59</f>
        <v>13799.999999999998</v>
      </c>
      <c r="AF59" s="45">
        <f t="shared" ca="1" si="28"/>
        <v>2730.762785433406</v>
      </c>
      <c r="AG59" s="45">
        <f t="shared" ca="1" si="29"/>
        <v>2258.6138955384376</v>
      </c>
      <c r="AH59" s="45">
        <f t="shared" ca="1" si="30"/>
        <v>1776.8330490437202</v>
      </c>
      <c r="AI59" s="45">
        <f t="shared" ca="1" si="31"/>
        <v>6766.2097300155638</v>
      </c>
      <c r="AJ59" s="45">
        <f ca="1">U59*(Inputs!$B$12-ILP_A_CostFocused!$F$9)+V59*(Inputs!$B$13-ILP_A_CostFocused!$F$10)+W59*(Inputs!$B$14-ILP_A_CostFocused!$F$11)+X59*(Inputs!$B$15-ILP_A_CostFocused!$F$12)+Y59*(Inputs!$B$16-ILP_A_CostFocused!$F$13)</f>
        <v>24955.012675684404</v>
      </c>
      <c r="AK59" s="45">
        <f t="shared" ca="1" si="32"/>
        <v>6766.2097300155638</v>
      </c>
      <c r="AL59" s="45">
        <f t="shared" ca="1" si="33"/>
        <v>0</v>
      </c>
      <c r="AM59" s="45">
        <f t="shared" ca="1" si="34"/>
        <v>0</v>
      </c>
      <c r="AN59" s="45">
        <f t="shared" ca="1" si="35"/>
        <v>0</v>
      </c>
      <c r="AO59" s="45">
        <f ca="1">MIN(AL59,Inputs!$B$36)</f>
        <v>0</v>
      </c>
      <c r="AP59" s="45">
        <f ca="1">MIN(AN59,Inputs!$B$36-AO59)</f>
        <v>0</v>
      </c>
      <c r="AQ59" s="45">
        <f ca="1">MIN(AM59,Inputs!$B$36-AO59-AP59)</f>
        <v>0</v>
      </c>
      <c r="AR59" s="45">
        <f t="shared" ca="1" si="36"/>
        <v>0</v>
      </c>
      <c r="AS59" s="45">
        <f t="shared" ca="1" si="37"/>
        <v>0</v>
      </c>
      <c r="AT59" s="45">
        <f t="shared" ca="1" si="38"/>
        <v>0</v>
      </c>
      <c r="AU59" s="45">
        <f t="shared" ca="1" si="39"/>
        <v>0</v>
      </c>
      <c r="AV59" s="46">
        <f ca="1">AU59*Inputs!$B$35</f>
        <v>0</v>
      </c>
      <c r="AW59" s="46">
        <f ca="1">AR59*Inputs!$C$6+AT59*Inputs!$C$7+AS59*Inputs!$C$8</f>
        <v>0</v>
      </c>
      <c r="AX59" s="46">
        <f t="shared" ca="1" si="40"/>
        <v>47376734.095085368</v>
      </c>
      <c r="AY59" s="46">
        <f ca="1">IF(J59&gt;1,($CD$4)*Inputs!$B$55*((Z59+AA59+AB59)/(SUM(ILP_A_CostFocused!$C$9:$E$13))),0)</f>
        <v>0</v>
      </c>
      <c r="AZ59" s="46">
        <f t="shared" ca="1" si="41"/>
        <v>0</v>
      </c>
      <c r="BA59" s="41">
        <f t="shared" ca="1" si="42"/>
        <v>0</v>
      </c>
      <c r="BB59" s="41">
        <f t="shared" ca="1" si="43"/>
        <v>1</v>
      </c>
      <c r="BC59" s="41">
        <f t="shared" ca="1" si="44"/>
        <v>1</v>
      </c>
      <c r="BD59" s="41">
        <f t="shared" ca="1" si="45"/>
        <v>1</v>
      </c>
    </row>
    <row r="60" spans="1:56" ht="15" customHeight="1" x14ac:dyDescent="0.3">
      <c r="A60" s="41">
        <v>53</v>
      </c>
      <c r="B60" s="42">
        <f t="shared" ca="1" si="27"/>
        <v>0.36831156728786618</v>
      </c>
      <c r="C60" s="43">
        <f ca="1">IF(B60&lt;=Inputs!$C$40,Inputs!$D$40,IF(B60&lt;=Inputs!$C$41,Inputs!$D$41,Inputs!$D$42))</f>
        <v>1</v>
      </c>
      <c r="D60" s="42">
        <f t="shared" ca="1" si="48"/>
        <v>0.15306757883271072</v>
      </c>
      <c r="E60" s="42">
        <f t="shared" ca="1" si="48"/>
        <v>0.74284951136753308</v>
      </c>
      <c r="F60" s="42">
        <f t="shared" ca="1" si="48"/>
        <v>0.13208850400015504</v>
      </c>
      <c r="G60" s="42">
        <f t="shared" ca="1" si="48"/>
        <v>0.553719946173586</v>
      </c>
      <c r="H60" s="42">
        <f t="shared" ca="1" si="48"/>
        <v>0.79617599603725819</v>
      </c>
      <c r="I60" s="42">
        <f t="shared" ca="1" si="48"/>
        <v>8.130963650476708E-2</v>
      </c>
      <c r="J60" s="43">
        <f ca="1">IF(I60&lt;Inputs!$B$54,1+Inputs!$B$55,1)</f>
        <v>1</v>
      </c>
      <c r="K60" s="42">
        <f t="shared" ca="1" si="49"/>
        <v>0.11916098623350013</v>
      </c>
      <c r="L60" s="42">
        <f t="shared" ca="1" si="49"/>
        <v>0.19293576069810114</v>
      </c>
      <c r="M60" s="42">
        <f t="shared" ca="1" si="49"/>
        <v>0.16168136735003236</v>
      </c>
      <c r="N60" s="42">
        <f t="shared" ca="1" si="49"/>
        <v>0.82861492845644702</v>
      </c>
      <c r="O60" s="42">
        <f t="shared" ca="1" si="49"/>
        <v>0.38007732650883053</v>
      </c>
      <c r="P60" s="42">
        <f t="shared" ca="1" si="49"/>
        <v>3.5436682239598727E-2</v>
      </c>
      <c r="Q60" s="42">
        <f t="shared" ca="1" si="49"/>
        <v>0.85166864268074682</v>
      </c>
      <c r="R60" s="42">
        <f t="shared" ca="1" si="49"/>
        <v>0.11008521430437168</v>
      </c>
      <c r="S60" s="42">
        <f t="shared" ca="1" si="49"/>
        <v>0.10047061443810767</v>
      </c>
      <c r="T60" s="42">
        <f t="shared" ca="1" si="49"/>
        <v>0.75675167706667257</v>
      </c>
      <c r="U60" s="44">
        <f ca="1">(IF(D60&gt;=Inputs!$E$12,1,IF(K60&lt;=Inputs!$C$46,Inputs!$D$46,IF(K60&lt;=Inputs!$C$47,Inputs!$D$47,Inputs!$D$48))))*((Inputs!$B$28+(P60-0.5)*2*Inputs!$B$53)/Inputs!$B$28)</f>
        <v>0.9952979421279311</v>
      </c>
      <c r="V60" s="44">
        <f ca="1">(IF(E60&gt;=Inputs!$E$13,1,IF(L60&lt;=Inputs!$C$46,Inputs!$D$46,IF(L60&lt;=Inputs!$C$47,Inputs!$D$47,Inputs!$D$48))))*((Inputs!$B$29+(Q60-0.5)*2*Inputs!$B$53)/Inputs!$B$29)</f>
        <v>1.0035450468012173</v>
      </c>
      <c r="W60" s="44">
        <f ca="1">(IF(F60&gt;=Inputs!$E$14,1,IF(M60&lt;=Inputs!$C$46,Inputs!$D$46,IF(M60&lt;=Inputs!$C$47,Inputs!$D$47,Inputs!$D$48))))*((Inputs!$B$30+(R60-0.5)*2*Inputs!$B$53)/Inputs!$B$30)</f>
        <v>0.99608125843521977</v>
      </c>
      <c r="X60" s="44">
        <f ca="1">(IF(G60&gt;=Inputs!$E$15,1,IF(N60&lt;=Inputs!$C$46,Inputs!$D$46,IF(N60&lt;=Inputs!$C$47,Inputs!$D$47,Inputs!$D$48))))*((Inputs!$B$31+(S60-0.5)*2*Inputs!$B$53)/Inputs!$B$31)</f>
        <v>0.99594386410597069</v>
      </c>
      <c r="Y60" s="44">
        <f ca="1">(IF(H60&gt;=Inputs!$E$16,1,IF(O60&lt;=Inputs!$C$46,Inputs!$D$46,IF(O60&lt;=Inputs!$C$47,Inputs!$D$47,Inputs!$D$48))))*((Inputs!$B$32+(T60-0.5)*2*Inputs!$B$53)/Inputs!$B$32)</f>
        <v>1.0025830148598256</v>
      </c>
      <c r="Z60" s="45">
        <f ca="1">ILP_A_CostFocused!$C$9*U60+ILP_A_CostFocused!$C$10*V60+ILP_A_CostFocused!$C$11*W60+ILP_A_CostFocused!$C$12*X60+ILP_A_CostFocused!$C$13*Y60</f>
        <v>17923.064660876837</v>
      </c>
      <c r="AA60" s="45">
        <f ca="1">ILP_A_CostFocused!$D$9*U60+ILP_A_CostFocused!$D$10*V60+ILP_A_CostFocused!$D$11*W60+ILP_A_CostFocused!$D$12*X60+ILP_A_CostFocused!$D$13*Y60</f>
        <v>15008.252829606439</v>
      </c>
      <c r="AB60" s="45">
        <f ca="1">ILP_A_CostFocused!$E$9*U60+ILP_A_CostFocused!$E$10*V60+ILP_A_CostFocused!$E$11*W60+ILP_A_CostFocused!$E$12*X60+ILP_A_CostFocused!$E$13*Y60</f>
        <v>11983.161407966947</v>
      </c>
      <c r="AC60" s="45">
        <f ca="1">Inputs!$B$6*$C60</f>
        <v>18000</v>
      </c>
      <c r="AD60" s="45">
        <f ca="1">Inputs!$B$7*$C60</f>
        <v>15000</v>
      </c>
      <c r="AE60" s="45">
        <f ca="1">Inputs!$B$8*$C60</f>
        <v>12000</v>
      </c>
      <c r="AF60" s="45">
        <f t="shared" ca="1" si="28"/>
        <v>76.93533912316343</v>
      </c>
      <c r="AG60" s="45">
        <f t="shared" ca="1" si="29"/>
        <v>0</v>
      </c>
      <c r="AH60" s="45">
        <f t="shared" ca="1" si="30"/>
        <v>16.838592033052919</v>
      </c>
      <c r="AI60" s="45">
        <f t="shared" ca="1" si="31"/>
        <v>93.773931156216349</v>
      </c>
      <c r="AJ60" s="45">
        <f ca="1">U60*(Inputs!$B$12-ILP_A_CostFocused!$F$9)+V60*(Inputs!$B$13-ILP_A_CostFocused!$F$10)+W60*(Inputs!$B$14-ILP_A_CostFocused!$F$11)+X60*(Inputs!$B$15-ILP_A_CostFocused!$F$12)+Y60*(Inputs!$B$16-ILP_A_CostFocused!$F$13)</f>
        <v>24999.046782640606</v>
      </c>
      <c r="AK60" s="45">
        <f t="shared" ca="1" si="32"/>
        <v>93.773931156216349</v>
      </c>
      <c r="AL60" s="45">
        <f t="shared" ca="1" si="33"/>
        <v>0</v>
      </c>
      <c r="AM60" s="45">
        <f t="shared" ca="1" si="34"/>
        <v>0</v>
      </c>
      <c r="AN60" s="45">
        <f t="shared" ca="1" si="35"/>
        <v>0</v>
      </c>
      <c r="AO60" s="45">
        <f ca="1">MIN(AL60,Inputs!$B$36)</f>
        <v>0</v>
      </c>
      <c r="AP60" s="45">
        <f ca="1">MIN(AN60,Inputs!$B$36-AO60)</f>
        <v>0</v>
      </c>
      <c r="AQ60" s="45">
        <f ca="1">MIN(AM60,Inputs!$B$36-AO60-AP60)</f>
        <v>0</v>
      </c>
      <c r="AR60" s="45">
        <f t="shared" ca="1" si="36"/>
        <v>0</v>
      </c>
      <c r="AS60" s="45">
        <f t="shared" ca="1" si="37"/>
        <v>0</v>
      </c>
      <c r="AT60" s="45">
        <f t="shared" ca="1" si="38"/>
        <v>0</v>
      </c>
      <c r="AU60" s="45">
        <f t="shared" ca="1" si="39"/>
        <v>0</v>
      </c>
      <c r="AV60" s="46">
        <f ca="1">AU60*Inputs!$B$35</f>
        <v>0</v>
      </c>
      <c r="AW60" s="46">
        <f ca="1">AR60*Inputs!$C$6+AT60*Inputs!$C$7+AS60*Inputs!$C$8</f>
        <v>0</v>
      </c>
      <c r="AX60" s="46">
        <f t="shared" ca="1" si="40"/>
        <v>47303489.940902263</v>
      </c>
      <c r="AY60" s="46">
        <f ca="1">IF(J60&gt;1,($CD$4)*Inputs!$B$55*((Z60+AA60+AB60)/(SUM(ILP_A_CostFocused!$C$9:$E$13))),0)</f>
        <v>0</v>
      </c>
      <c r="AZ60" s="46">
        <f t="shared" ca="1" si="41"/>
        <v>0</v>
      </c>
      <c r="BA60" s="41">
        <f t="shared" ca="1" si="42"/>
        <v>0</v>
      </c>
      <c r="BB60" s="41">
        <f t="shared" ca="1" si="43"/>
        <v>1</v>
      </c>
      <c r="BC60" s="41">
        <f t="shared" ca="1" si="44"/>
        <v>1</v>
      </c>
      <c r="BD60" s="41">
        <f t="shared" ca="1" si="45"/>
        <v>1</v>
      </c>
    </row>
    <row r="61" spans="1:56" ht="15" customHeight="1" x14ac:dyDescent="0.3">
      <c r="A61" s="41">
        <v>54</v>
      </c>
      <c r="B61" s="42">
        <f t="shared" ca="1" si="27"/>
        <v>0.48241527336771239</v>
      </c>
      <c r="C61" s="43">
        <f ca="1">IF(B61&lt;=Inputs!$C$40,Inputs!$D$40,IF(B61&lt;=Inputs!$C$41,Inputs!$D$41,Inputs!$D$42))</f>
        <v>1</v>
      </c>
      <c r="D61" s="42">
        <f t="shared" ca="1" si="48"/>
        <v>2.4350972493039635E-2</v>
      </c>
      <c r="E61" s="42">
        <f t="shared" ca="1" si="48"/>
        <v>0.40566759642126937</v>
      </c>
      <c r="F61" s="42">
        <f t="shared" ca="1" si="48"/>
        <v>0.11752024563062213</v>
      </c>
      <c r="G61" s="42">
        <f t="shared" ca="1" si="48"/>
        <v>0.53431678543729078</v>
      </c>
      <c r="H61" s="42">
        <f t="shared" ca="1" si="48"/>
        <v>0.57969868570408412</v>
      </c>
      <c r="I61" s="42">
        <f t="shared" ca="1" si="48"/>
        <v>1.6164164372009515E-2</v>
      </c>
      <c r="J61" s="43">
        <f ca="1">IF(I61&lt;Inputs!$B$54,1+Inputs!$B$55,1)</f>
        <v>1.25</v>
      </c>
      <c r="K61" s="42">
        <f t="shared" ca="1" si="49"/>
        <v>0.5179265072629905</v>
      </c>
      <c r="L61" s="42">
        <f t="shared" ca="1" si="49"/>
        <v>0.73240015456050978</v>
      </c>
      <c r="M61" s="42">
        <f t="shared" ca="1" si="49"/>
        <v>0.93947380052855545</v>
      </c>
      <c r="N61" s="42">
        <f t="shared" ca="1" si="49"/>
        <v>0.4101297724155597</v>
      </c>
      <c r="O61" s="42">
        <f t="shared" ca="1" si="49"/>
        <v>0.55821780259418818</v>
      </c>
      <c r="P61" s="42">
        <f t="shared" ca="1" si="49"/>
        <v>0.13139006018766364</v>
      </c>
      <c r="Q61" s="42">
        <f t="shared" ca="1" si="49"/>
        <v>0.19543293739928225</v>
      </c>
      <c r="R61" s="42">
        <f t="shared" ca="1" si="49"/>
        <v>0.62808227000181205</v>
      </c>
      <c r="S61" s="42">
        <f t="shared" ca="1" si="49"/>
        <v>0.37899255747149407</v>
      </c>
      <c r="T61" s="42">
        <f t="shared" ca="1" si="49"/>
        <v>0.72301896839449786</v>
      </c>
      <c r="U61" s="44">
        <f ca="1">(IF(D61&gt;=Inputs!$E$12,1,IF(K61&lt;=Inputs!$C$46,Inputs!$D$46,IF(K61&lt;=Inputs!$C$47,Inputs!$D$47,Inputs!$D$48))))*((Inputs!$B$28+(P61-0.5)*2*Inputs!$B$53)/Inputs!$B$28)</f>
        <v>0.2988807390491528</v>
      </c>
      <c r="V61" s="44">
        <f ca="1">(IF(E61&gt;=Inputs!$E$13,1,IF(L61&lt;=Inputs!$C$46,Inputs!$D$46,IF(L61&lt;=Inputs!$C$47,Inputs!$D$47,Inputs!$D$48))))*((Inputs!$B$29+(Q61-0.5)*2*Inputs!$B$53)/Inputs!$B$29)</f>
        <v>0.99692976751410567</v>
      </c>
      <c r="W61" s="44">
        <f ca="1">(IF(F61&gt;=Inputs!$E$14,1,IF(M61&lt;=Inputs!$C$46,Inputs!$D$46,IF(M61&lt;=Inputs!$C$47,Inputs!$D$47,Inputs!$D$48))))*((Inputs!$B$30+(R61-0.5)*2*Inputs!$B$53)/Inputs!$B$30)</f>
        <v>1.001287258994993</v>
      </c>
      <c r="X61" s="44">
        <f ca="1">(IF(G61&gt;=Inputs!$E$15,1,IF(N61&lt;=Inputs!$C$46,Inputs!$D$46,IF(N61&lt;=Inputs!$C$47,Inputs!$D$47,Inputs!$D$48))))*((Inputs!$B$31+(S61-0.5)*2*Inputs!$B$53)/Inputs!$B$31)</f>
        <v>0.99877149804539589</v>
      </c>
      <c r="Y61" s="44">
        <f ca="1">(IF(H61&gt;=Inputs!$E$16,1,IF(O61&lt;=Inputs!$C$46,Inputs!$D$46,IF(O61&lt;=Inputs!$C$47,Inputs!$D$47,Inputs!$D$48))))*((Inputs!$B$32+(T61-0.5)*2*Inputs!$B$53)/Inputs!$B$32)</f>
        <v>1.002243651593506</v>
      </c>
      <c r="Z61" s="45">
        <f ca="1">ILP_A_CostFocused!$C$9*U61+ILP_A_CostFocused!$C$10*V61+ILP_A_CostFocused!$C$11*W61+ILP_A_CostFocused!$C$12*X61+ILP_A_CostFocused!$C$13*Y61</f>
        <v>13000.101814549093</v>
      </c>
      <c r="AA61" s="45">
        <f ca="1">ILP_A_CostFocused!$D$9*U61+ILP_A_CostFocused!$D$10*V61+ILP_A_CostFocused!$D$11*W61+ILP_A_CostFocused!$D$12*X61+ILP_A_CostFocused!$D$13*Y61</f>
        <v>14977.52538542832</v>
      </c>
      <c r="AB61" s="45">
        <f ca="1">ILP_A_CostFocused!$E$9*U61+ILP_A_CostFocused!$E$10*V61+ILP_A_CostFocused!$E$11*W61+ILP_A_CostFocused!$E$12*X61+ILP_A_CostFocused!$E$13*Y61</f>
        <v>6937.2042052216075</v>
      </c>
      <c r="AC61" s="45">
        <f ca="1">Inputs!$B$6*$C61</f>
        <v>18000</v>
      </c>
      <c r="AD61" s="45">
        <f ca="1">Inputs!$B$7*$C61</f>
        <v>15000</v>
      </c>
      <c r="AE61" s="45">
        <f ca="1">Inputs!$B$8*$C61</f>
        <v>12000</v>
      </c>
      <c r="AF61" s="45">
        <f t="shared" ca="1" si="28"/>
        <v>4999.8981854509075</v>
      </c>
      <c r="AG61" s="45">
        <f t="shared" ca="1" si="29"/>
        <v>22.474614571679922</v>
      </c>
      <c r="AH61" s="45">
        <f t="shared" ca="1" si="30"/>
        <v>5062.7957947783925</v>
      </c>
      <c r="AI61" s="45">
        <f t="shared" ca="1" si="31"/>
        <v>10085.16859480098</v>
      </c>
      <c r="AJ61" s="45">
        <f ca="1">U61*(Inputs!$B$12-ILP_A_CostFocused!$F$9)+V61*(Inputs!$B$13-ILP_A_CostFocused!$F$10)+W61*(Inputs!$B$14-ILP_A_CostFocused!$F$11)+X61*(Inputs!$B$15-ILP_A_CostFocused!$F$12)+Y61*(Inputs!$B$16-ILP_A_CostFocused!$F$13)</f>
        <v>23859.924282167158</v>
      </c>
      <c r="AK61" s="45">
        <f t="shared" ca="1" si="32"/>
        <v>10085.16859480098</v>
      </c>
      <c r="AL61" s="45">
        <f t="shared" ca="1" si="33"/>
        <v>0</v>
      </c>
      <c r="AM61" s="45">
        <f t="shared" ca="1" si="34"/>
        <v>0</v>
      </c>
      <c r="AN61" s="45">
        <f t="shared" ca="1" si="35"/>
        <v>0</v>
      </c>
      <c r="AO61" s="45">
        <f ca="1">MIN(AL61,Inputs!$B$36)</f>
        <v>0</v>
      </c>
      <c r="AP61" s="45">
        <f ca="1">MIN(AN61,Inputs!$B$36-AO61)</f>
        <v>0</v>
      </c>
      <c r="AQ61" s="45">
        <f ca="1">MIN(AM61,Inputs!$B$36-AO61-AP61)</f>
        <v>0</v>
      </c>
      <c r="AR61" s="45">
        <f t="shared" ca="1" si="36"/>
        <v>0</v>
      </c>
      <c r="AS61" s="45">
        <f t="shared" ca="1" si="37"/>
        <v>0</v>
      </c>
      <c r="AT61" s="45">
        <f t="shared" ca="1" si="38"/>
        <v>0</v>
      </c>
      <c r="AU61" s="45">
        <f t="shared" ca="1" si="39"/>
        <v>0</v>
      </c>
      <c r="AV61" s="46">
        <f ca="1">AU61*Inputs!$B$35</f>
        <v>0</v>
      </c>
      <c r="AW61" s="46">
        <f ca="1">AR61*Inputs!$C$6+AT61*Inputs!$C$7+AS61*Inputs!$C$8</f>
        <v>0</v>
      </c>
      <c r="AX61" s="46">
        <f t="shared" ca="1" si="40"/>
        <v>36719095.401821673</v>
      </c>
      <c r="AY61" s="46">
        <f ca="1">IF(J61&gt;1,($CD$4)*Inputs!$B$55*((Z61+AA61+AB61)/(SUM(ILP_A_CostFocused!$C$9:$E$13))),0)</f>
        <v>430263.22625769087</v>
      </c>
      <c r="AZ61" s="46">
        <f t="shared" ca="1" si="41"/>
        <v>0</v>
      </c>
      <c r="BA61" s="41">
        <f t="shared" ca="1" si="42"/>
        <v>0</v>
      </c>
      <c r="BB61" s="41">
        <f t="shared" ca="1" si="43"/>
        <v>1</v>
      </c>
      <c r="BC61" s="41">
        <f t="shared" ca="1" si="44"/>
        <v>1</v>
      </c>
      <c r="BD61" s="41">
        <f t="shared" ca="1" si="45"/>
        <v>1</v>
      </c>
    </row>
    <row r="62" spans="1:56" ht="15" customHeight="1" x14ac:dyDescent="0.3">
      <c r="A62" s="41">
        <v>55</v>
      </c>
      <c r="B62" s="42">
        <f t="shared" ca="1" si="27"/>
        <v>0.93821940421627636</v>
      </c>
      <c r="C62" s="43">
        <f ca="1">IF(B62&lt;=Inputs!$C$40,Inputs!$D$40,IF(B62&lt;=Inputs!$C$41,Inputs!$D$41,Inputs!$D$42))</f>
        <v>1.1499999999999999</v>
      </c>
      <c r="D62" s="42">
        <f t="shared" ca="1" si="48"/>
        <v>0.65247532915530582</v>
      </c>
      <c r="E62" s="42">
        <f t="shared" ca="1" si="48"/>
        <v>0.91445740631489114</v>
      </c>
      <c r="F62" s="42">
        <f t="shared" ca="1" si="48"/>
        <v>4.891751477631745E-2</v>
      </c>
      <c r="G62" s="42">
        <f t="shared" ca="1" si="48"/>
        <v>0.14499979722007228</v>
      </c>
      <c r="H62" s="42">
        <f t="shared" ca="1" si="48"/>
        <v>0.38957965024740715</v>
      </c>
      <c r="I62" s="42">
        <f t="shared" ca="1" si="48"/>
        <v>0.36922208551966706</v>
      </c>
      <c r="J62" s="43">
        <f ca="1">IF(I62&lt;Inputs!$B$54,1+Inputs!$B$55,1)</f>
        <v>1</v>
      </c>
      <c r="K62" s="42">
        <f t="shared" ca="1" si="49"/>
        <v>0.67625239015796135</v>
      </c>
      <c r="L62" s="42">
        <f t="shared" ca="1" si="49"/>
        <v>0.47306826679677638</v>
      </c>
      <c r="M62" s="42">
        <f t="shared" ca="1" si="49"/>
        <v>0.26918265203430614</v>
      </c>
      <c r="N62" s="42">
        <f t="shared" ca="1" si="49"/>
        <v>0.70021187667939777</v>
      </c>
      <c r="O62" s="42">
        <f t="shared" ca="1" si="49"/>
        <v>0.85742316911060878</v>
      </c>
      <c r="P62" s="42">
        <f t="shared" ca="1" si="49"/>
        <v>9.4315322669969115E-2</v>
      </c>
      <c r="Q62" s="42">
        <f t="shared" ca="1" si="49"/>
        <v>5.6870852100203595E-2</v>
      </c>
      <c r="R62" s="42">
        <f t="shared" ca="1" si="49"/>
        <v>0.54199123692599682</v>
      </c>
      <c r="S62" s="42">
        <f t="shared" ca="1" si="49"/>
        <v>0.84764477957540196</v>
      </c>
      <c r="T62" s="42">
        <f t="shared" ca="1" si="49"/>
        <v>0.55775170499424287</v>
      </c>
      <c r="U62" s="44">
        <f ca="1">(IF(D62&gt;=Inputs!$E$12,1,IF(K62&lt;=Inputs!$C$46,Inputs!$D$46,IF(K62&lt;=Inputs!$C$47,Inputs!$D$47,Inputs!$D$48))))*((Inputs!$B$28+(P62-0.5)*2*Inputs!$B$53)/Inputs!$B$28)</f>
        <v>0.99589387978410904</v>
      </c>
      <c r="V62" s="44">
        <f ca="1">(IF(E62&gt;=Inputs!$E$13,1,IF(L62&lt;=Inputs!$C$46,Inputs!$D$46,IF(L62&lt;=Inputs!$C$47,Inputs!$D$47,Inputs!$D$48))))*((Inputs!$B$29+(Q62-0.5)*2*Inputs!$B$53)/Inputs!$B$29)</f>
        <v>0.99553297229939719</v>
      </c>
      <c r="W62" s="44">
        <f ca="1">(IF(F62&gt;=Inputs!$E$14,1,IF(M62&lt;=Inputs!$C$46,Inputs!$D$46,IF(M62&lt;=Inputs!$C$47,Inputs!$D$47,Inputs!$D$48))))*((Inputs!$B$30+(R62-0.5)*2*Inputs!$B$53)/Inputs!$B$30)</f>
        <v>1.0004220224816682</v>
      </c>
      <c r="X62" s="44">
        <f ca="1">(IF(G62&gt;=Inputs!$E$15,1,IF(N62&lt;=Inputs!$C$46,Inputs!$D$46,IF(N62&lt;=Inputs!$C$47,Inputs!$D$47,Inputs!$D$48))))*((Inputs!$B$31+(S62-0.5)*2*Inputs!$B$53)/Inputs!$B$31)</f>
        <v>0.3010588165875393</v>
      </c>
      <c r="Y62" s="44">
        <f ca="1">(IF(H62&gt;=Inputs!$E$16,1,IF(O62&lt;=Inputs!$C$46,Inputs!$D$46,IF(O62&lt;=Inputs!$C$47,Inputs!$D$47,Inputs!$D$48))))*((Inputs!$B$32+(T62-0.5)*2*Inputs!$B$53)/Inputs!$B$32)</f>
        <v>1.0005810030683526</v>
      </c>
      <c r="Z62" s="45">
        <f ca="1">ILP_A_CostFocused!$C$9*U62+ILP_A_CostFocused!$C$10*V62+ILP_A_CostFocused!$C$11*W62+ILP_A_CostFocused!$C$12*X62+ILP_A_CostFocused!$C$13*Y62</f>
        <v>10421.839393732356</v>
      </c>
      <c r="AA62" s="45">
        <f ca="1">ILP_A_CostFocused!$D$9*U62+ILP_A_CostFocused!$D$10*V62+ILP_A_CostFocused!$D$11*W62+ILP_A_CostFocused!$D$12*X62+ILP_A_CostFocused!$D$13*Y62</f>
        <v>14248.978415572574</v>
      </c>
      <c r="AB62" s="45">
        <f ca="1">ILP_A_CostFocused!$E$9*U62+ILP_A_CostFocused!$E$10*V62+ILP_A_CostFocused!$E$11*W62+ILP_A_CostFocused!$E$12*X62+ILP_A_CostFocused!$E$13*Y62</f>
        <v>11948.994201482692</v>
      </c>
      <c r="AC62" s="45">
        <f ca="1">Inputs!$B$6*$C62</f>
        <v>20700</v>
      </c>
      <c r="AD62" s="45">
        <f ca="1">Inputs!$B$7*$C62</f>
        <v>17250</v>
      </c>
      <c r="AE62" s="45">
        <f ca="1">Inputs!$B$8*$C62</f>
        <v>13799.999999999998</v>
      </c>
      <c r="AF62" s="45">
        <f t="shared" ca="1" si="28"/>
        <v>10278.160606267644</v>
      </c>
      <c r="AG62" s="45">
        <f t="shared" ca="1" si="29"/>
        <v>3001.0215844274262</v>
      </c>
      <c r="AH62" s="45">
        <f t="shared" ca="1" si="30"/>
        <v>1851.0057985173062</v>
      </c>
      <c r="AI62" s="45">
        <f t="shared" ca="1" si="31"/>
        <v>15130.187989212376</v>
      </c>
      <c r="AJ62" s="45">
        <f ca="1">U62*(Inputs!$B$12-ILP_A_CostFocused!$F$9)+V62*(Inputs!$B$13-ILP_A_CostFocused!$F$10)+W62*(Inputs!$B$14-ILP_A_CostFocused!$F$11)+X62*(Inputs!$B$15-ILP_A_CostFocused!$F$12)+Y62*(Inputs!$B$16-ILP_A_CostFocused!$F$13)</f>
        <v>24878.858815287131</v>
      </c>
      <c r="AK62" s="45">
        <f t="shared" ca="1" si="32"/>
        <v>15130.187989212376</v>
      </c>
      <c r="AL62" s="45">
        <f t="shared" ca="1" si="33"/>
        <v>0</v>
      </c>
      <c r="AM62" s="45">
        <f t="shared" ca="1" si="34"/>
        <v>0</v>
      </c>
      <c r="AN62" s="45">
        <f t="shared" ca="1" si="35"/>
        <v>0</v>
      </c>
      <c r="AO62" s="45">
        <f ca="1">MIN(AL62,Inputs!$B$36)</f>
        <v>0</v>
      </c>
      <c r="AP62" s="45">
        <f ca="1">MIN(AN62,Inputs!$B$36-AO62)</f>
        <v>0</v>
      </c>
      <c r="AQ62" s="45">
        <f ca="1">MIN(AM62,Inputs!$B$36-AO62-AP62)</f>
        <v>0</v>
      </c>
      <c r="AR62" s="45">
        <f t="shared" ca="1" si="36"/>
        <v>0</v>
      </c>
      <c r="AS62" s="45">
        <f t="shared" ca="1" si="37"/>
        <v>0</v>
      </c>
      <c r="AT62" s="45">
        <f t="shared" ca="1" si="38"/>
        <v>0</v>
      </c>
      <c r="AU62" s="45">
        <f t="shared" ca="1" si="39"/>
        <v>0</v>
      </c>
      <c r="AV62" s="46">
        <f ca="1">AU62*Inputs!$B$35</f>
        <v>0</v>
      </c>
      <c r="AW62" s="46">
        <f ca="1">AR62*Inputs!$C$6+AT62*Inputs!$C$7+AS62*Inputs!$C$8</f>
        <v>0</v>
      </c>
      <c r="AX62" s="46">
        <f t="shared" ca="1" si="40"/>
        <v>38732300.4739962</v>
      </c>
      <c r="AY62" s="46">
        <f ca="1">IF(J62&gt;1,($CD$4)*Inputs!$B$55*((Z62+AA62+AB62)/(SUM(ILP_A_CostFocused!$C$9:$E$13))),0)</f>
        <v>0</v>
      </c>
      <c r="AZ62" s="46">
        <f t="shared" ca="1" si="41"/>
        <v>0</v>
      </c>
      <c r="BA62" s="41">
        <f t="shared" ca="1" si="42"/>
        <v>0</v>
      </c>
      <c r="BB62" s="41">
        <f t="shared" ca="1" si="43"/>
        <v>1</v>
      </c>
      <c r="BC62" s="41">
        <f t="shared" ca="1" si="44"/>
        <v>1</v>
      </c>
      <c r="BD62" s="41">
        <f t="shared" ca="1" si="45"/>
        <v>1</v>
      </c>
    </row>
    <row r="63" spans="1:56" ht="15" customHeight="1" x14ac:dyDescent="0.3">
      <c r="A63" s="41">
        <v>56</v>
      </c>
      <c r="B63" s="42">
        <f t="shared" ca="1" si="27"/>
        <v>7.2322631588978781E-2</v>
      </c>
      <c r="C63" s="43">
        <f ca="1">IF(B63&lt;=Inputs!$C$40,Inputs!$D$40,IF(B63&lt;=Inputs!$C$41,Inputs!$D$41,Inputs!$D$42))</f>
        <v>0.9</v>
      </c>
      <c r="D63" s="42">
        <f t="shared" ca="1" si="48"/>
        <v>0.79199309031671206</v>
      </c>
      <c r="E63" s="42">
        <f t="shared" ca="1" si="48"/>
        <v>0.76103171429595728</v>
      </c>
      <c r="F63" s="42">
        <f t="shared" ca="1" si="48"/>
        <v>0.8019229929349263</v>
      </c>
      <c r="G63" s="42">
        <f t="shared" ca="1" si="48"/>
        <v>0.87673331120398024</v>
      </c>
      <c r="H63" s="42">
        <f t="shared" ca="1" si="48"/>
        <v>0.19183409509122562</v>
      </c>
      <c r="I63" s="42">
        <f t="shared" ca="1" si="48"/>
        <v>0.38249349243913178</v>
      </c>
      <c r="J63" s="43">
        <f ca="1">IF(I63&lt;Inputs!$B$54,1+Inputs!$B$55,1)</f>
        <v>1</v>
      </c>
      <c r="K63" s="42">
        <f t="shared" ca="1" si="49"/>
        <v>0.78019673529916234</v>
      </c>
      <c r="L63" s="42">
        <f t="shared" ca="1" si="49"/>
        <v>0.86769061712223949</v>
      </c>
      <c r="M63" s="42">
        <f t="shared" ca="1" si="49"/>
        <v>0.8993038059629932</v>
      </c>
      <c r="N63" s="42">
        <f t="shared" ca="1" si="49"/>
        <v>0.21148706020398489</v>
      </c>
      <c r="O63" s="42">
        <f t="shared" ca="1" si="49"/>
        <v>0.67923941149288369</v>
      </c>
      <c r="P63" s="42">
        <f t="shared" ca="1" si="49"/>
        <v>5.667974090134309E-3</v>
      </c>
      <c r="Q63" s="42">
        <f t="shared" ca="1" si="49"/>
        <v>0.21060332410172966</v>
      </c>
      <c r="R63" s="42">
        <f t="shared" ca="1" si="49"/>
        <v>0.9039155932160462</v>
      </c>
      <c r="S63" s="42">
        <f t="shared" ca="1" si="49"/>
        <v>0.93836192231841786</v>
      </c>
      <c r="T63" s="42">
        <f t="shared" ca="1" si="49"/>
        <v>0.65819600461640981</v>
      </c>
      <c r="U63" s="44">
        <f ca="1">(IF(D63&gt;=Inputs!$E$12,1,IF(K63&lt;=Inputs!$C$46,Inputs!$D$46,IF(K63&lt;=Inputs!$C$47,Inputs!$D$47,Inputs!$D$48))))*((Inputs!$B$28+(P63-0.5)*2*Inputs!$B$53)/Inputs!$B$28)</f>
        <v>0.99499663941386784</v>
      </c>
      <c r="V63" s="44">
        <f ca="1">(IF(E63&gt;=Inputs!$E$13,1,IF(L63&lt;=Inputs!$C$46,Inputs!$D$46,IF(L63&lt;=Inputs!$C$47,Inputs!$D$47,Inputs!$D$48))))*((Inputs!$B$29+(Q63-0.5)*2*Inputs!$B$53)/Inputs!$B$29)</f>
        <v>0.99708269479941258</v>
      </c>
      <c r="W63" s="44">
        <f ca="1">(IF(F63&gt;=Inputs!$E$14,1,IF(M63&lt;=Inputs!$C$46,Inputs!$D$46,IF(M63&lt;=Inputs!$C$47,Inputs!$D$47,Inputs!$D$48))))*((Inputs!$B$30+(R63-0.5)*2*Inputs!$B$53)/Inputs!$B$30)</f>
        <v>1.0040594531981513</v>
      </c>
      <c r="X63" s="44">
        <f ca="1">(IF(G63&gt;=Inputs!$E$15,1,IF(N63&lt;=Inputs!$C$46,Inputs!$D$46,IF(N63&lt;=Inputs!$C$47,Inputs!$D$47,Inputs!$D$48))))*((Inputs!$B$31+(S63-0.5)*2*Inputs!$B$53)/Inputs!$B$31)</f>
        <v>1.0044503748458722</v>
      </c>
      <c r="Y63" s="44">
        <f ca="1">(IF(H63&gt;=Inputs!$E$16,1,IF(O63&lt;=Inputs!$C$46,Inputs!$D$46,IF(O63&lt;=Inputs!$C$47,Inputs!$D$47,Inputs!$D$48))))*((Inputs!$B$32+(T63-0.5)*2*Inputs!$B$53)/Inputs!$B$32)</f>
        <v>1.0015915091007688</v>
      </c>
      <c r="Z63" s="45">
        <f ca="1">ILP_A_CostFocused!$C$9*U63+ILP_A_CostFocused!$C$10*V63+ILP_A_CostFocused!$C$11*W63+ILP_A_CostFocused!$C$12*X63+ILP_A_CostFocused!$C$13*Y63</f>
        <v>18012.223424989195</v>
      </c>
      <c r="AA63" s="45">
        <f ca="1">ILP_A_CostFocused!$D$9*U63+ILP_A_CostFocused!$D$10*V63+ILP_A_CostFocused!$D$11*W63+ILP_A_CostFocused!$D$12*X63+ILP_A_CostFocused!$D$13*Y63</f>
        <v>14998.499712464296</v>
      </c>
      <c r="AB63" s="45">
        <f ca="1">ILP_A_CostFocused!$E$9*U63+ILP_A_CostFocused!$E$10*V63+ILP_A_CostFocused!$E$11*W63+ILP_A_CostFocused!$E$12*X63+ILP_A_CostFocused!$E$13*Y63</f>
        <v>11949.972738817029</v>
      </c>
      <c r="AC63" s="45">
        <f ca="1">Inputs!$B$6*$C63</f>
        <v>16200</v>
      </c>
      <c r="AD63" s="45">
        <f ca="1">Inputs!$B$7*$C63</f>
        <v>13500</v>
      </c>
      <c r="AE63" s="45">
        <f ca="1">Inputs!$B$8*$C63</f>
        <v>10800</v>
      </c>
      <c r="AF63" s="45">
        <f t="shared" ca="1" si="28"/>
        <v>0</v>
      </c>
      <c r="AG63" s="45">
        <f t="shared" ca="1" si="29"/>
        <v>0</v>
      </c>
      <c r="AH63" s="45">
        <f t="shared" ca="1" si="30"/>
        <v>0</v>
      </c>
      <c r="AI63" s="45">
        <f t="shared" ca="1" si="31"/>
        <v>0</v>
      </c>
      <c r="AJ63" s="45">
        <f ca="1">U63*(Inputs!$B$12-ILP_A_CostFocused!$F$9)+V63*(Inputs!$B$13-ILP_A_CostFocused!$F$10)+W63*(Inputs!$B$14-ILP_A_CostFocused!$F$11)+X63*(Inputs!$B$15-ILP_A_CostFocused!$F$12)+Y63*(Inputs!$B$16-ILP_A_CostFocused!$F$13)</f>
        <v>25048.458107781102</v>
      </c>
      <c r="AK63" s="45">
        <f t="shared" ca="1" si="32"/>
        <v>0</v>
      </c>
      <c r="AL63" s="45">
        <f t="shared" ca="1" si="33"/>
        <v>0</v>
      </c>
      <c r="AM63" s="45">
        <f t="shared" ca="1" si="34"/>
        <v>0</v>
      </c>
      <c r="AN63" s="45">
        <f t="shared" ca="1" si="35"/>
        <v>0</v>
      </c>
      <c r="AO63" s="45">
        <f ca="1">MIN(AL63,Inputs!$B$36)</f>
        <v>0</v>
      </c>
      <c r="AP63" s="45">
        <f ca="1">MIN(AN63,Inputs!$B$36-AO63)</f>
        <v>0</v>
      </c>
      <c r="AQ63" s="45">
        <f ca="1">MIN(AM63,Inputs!$B$36-AO63-AP63)</f>
        <v>0</v>
      </c>
      <c r="AR63" s="45">
        <f t="shared" ca="1" si="36"/>
        <v>0</v>
      </c>
      <c r="AS63" s="45">
        <f t="shared" ca="1" si="37"/>
        <v>0</v>
      </c>
      <c r="AT63" s="45">
        <f t="shared" ca="1" si="38"/>
        <v>0</v>
      </c>
      <c r="AU63" s="45">
        <f t="shared" ca="1" si="39"/>
        <v>0</v>
      </c>
      <c r="AV63" s="46">
        <f ca="1">AU63*Inputs!$B$35</f>
        <v>0</v>
      </c>
      <c r="AW63" s="46">
        <f ca="1">AR63*Inputs!$C$6+AT63*Inputs!$C$7+AS63*Inputs!$C$8</f>
        <v>0</v>
      </c>
      <c r="AX63" s="46">
        <f t="shared" ca="1" si="40"/>
        <v>47349113.019768201</v>
      </c>
      <c r="AY63" s="46">
        <f ca="1">IF(J63&gt;1,($CD$4)*Inputs!$B$55*((Z63+AA63+AB63)/(SUM(ILP_A_CostFocused!$C$9:$E$13))),0)</f>
        <v>0</v>
      </c>
      <c r="AZ63" s="46">
        <f t="shared" ca="1" si="41"/>
        <v>0</v>
      </c>
      <c r="BA63" s="41">
        <f t="shared" ca="1" si="42"/>
        <v>0</v>
      </c>
      <c r="BB63" s="41">
        <f t="shared" ca="1" si="43"/>
        <v>1</v>
      </c>
      <c r="BC63" s="41">
        <f t="shared" ca="1" si="44"/>
        <v>1</v>
      </c>
      <c r="BD63" s="41">
        <f t="shared" ca="1" si="45"/>
        <v>1</v>
      </c>
    </row>
    <row r="64" spans="1:56" ht="15" customHeight="1" x14ac:dyDescent="0.3">
      <c r="A64" s="41">
        <v>57</v>
      </c>
      <c r="B64" s="42">
        <f t="shared" ca="1" si="27"/>
        <v>0.86685521290050194</v>
      </c>
      <c r="C64" s="43">
        <f ca="1">IF(B64&lt;=Inputs!$C$40,Inputs!$D$40,IF(B64&lt;=Inputs!$C$41,Inputs!$D$41,Inputs!$D$42))</f>
        <v>1.1499999999999999</v>
      </c>
      <c r="D64" s="42">
        <f t="shared" ca="1" si="48"/>
        <v>0.8914482858215903</v>
      </c>
      <c r="E64" s="42">
        <f t="shared" ca="1" si="48"/>
        <v>0.13590004843208514</v>
      </c>
      <c r="F64" s="42">
        <f t="shared" ca="1" si="48"/>
        <v>0.36062360752572842</v>
      </c>
      <c r="G64" s="42">
        <f t="shared" ca="1" si="48"/>
        <v>0.34568099882369774</v>
      </c>
      <c r="H64" s="42">
        <f t="shared" ca="1" si="48"/>
        <v>0.45845016515450232</v>
      </c>
      <c r="I64" s="42">
        <f t="shared" ca="1" si="48"/>
        <v>6.9853012500613487E-2</v>
      </c>
      <c r="J64" s="43">
        <f ca="1">IF(I64&lt;Inputs!$B$54,1+Inputs!$B$55,1)</f>
        <v>1.25</v>
      </c>
      <c r="K64" s="42">
        <f t="shared" ca="1" si="49"/>
        <v>0.32216865569012987</v>
      </c>
      <c r="L64" s="42">
        <f t="shared" ca="1" si="49"/>
        <v>0.11126313295773049</v>
      </c>
      <c r="M64" s="42">
        <f t="shared" ca="1" si="49"/>
        <v>0.37105079775726046</v>
      </c>
      <c r="N64" s="42">
        <f t="shared" ca="1" si="49"/>
        <v>0.15766837690579105</v>
      </c>
      <c r="O64" s="42">
        <f t="shared" ca="1" si="49"/>
        <v>0.61311433510459723</v>
      </c>
      <c r="P64" s="42">
        <f t="shared" ca="1" si="49"/>
        <v>2.7863973581182533E-2</v>
      </c>
      <c r="Q64" s="42">
        <f t="shared" ca="1" si="49"/>
        <v>0.93732580579261549</v>
      </c>
      <c r="R64" s="42">
        <f t="shared" ca="1" si="49"/>
        <v>0.51424029120556591</v>
      </c>
      <c r="S64" s="42">
        <f t="shared" ca="1" si="49"/>
        <v>4.1342016571381812E-3</v>
      </c>
      <c r="T64" s="42">
        <f t="shared" ca="1" si="49"/>
        <v>0.96592478320651121</v>
      </c>
      <c r="U64" s="44">
        <f ca="1">(IF(D64&gt;=Inputs!$E$12,1,IF(K64&lt;=Inputs!$C$46,Inputs!$D$46,IF(K64&lt;=Inputs!$C$47,Inputs!$D$47,Inputs!$D$48))))*((Inputs!$B$28+(P64-0.5)*2*Inputs!$B$53)/Inputs!$B$28)</f>
        <v>0.99522129527916181</v>
      </c>
      <c r="V64" s="44">
        <f ca="1">(IF(E64&gt;=Inputs!$E$13,1,IF(L64&lt;=Inputs!$C$46,Inputs!$D$46,IF(L64&lt;=Inputs!$C$47,Inputs!$D$47,Inputs!$D$48))))*((Inputs!$B$29+(Q64-0.5)*2*Inputs!$B$53)/Inputs!$B$29)</f>
        <v>1.0044085262680706</v>
      </c>
      <c r="W64" s="44">
        <f ca="1">(IF(F64&gt;=Inputs!$E$14,1,IF(M64&lt;=Inputs!$C$46,Inputs!$D$46,IF(M64&lt;=Inputs!$C$47,Inputs!$D$47,Inputs!$D$48))))*((Inputs!$B$30+(R64-0.5)*2*Inputs!$B$53)/Inputs!$B$30)</f>
        <v>1.0001431185045786</v>
      </c>
      <c r="X64" s="44">
        <f ca="1">(IF(G64&gt;=Inputs!$E$15,1,IF(N64&lt;=Inputs!$C$46,Inputs!$D$46,IF(N64&lt;=Inputs!$C$47,Inputs!$D$47,Inputs!$D$48))))*((Inputs!$B$31+(S64-0.5)*2*Inputs!$B$53)/Inputs!$B$31)</f>
        <v>0.99496582945844803</v>
      </c>
      <c r="Y64" s="44">
        <f ca="1">(IF(H64&gt;=Inputs!$E$16,1,IF(O64&lt;=Inputs!$C$46,Inputs!$D$46,IF(O64&lt;=Inputs!$C$47,Inputs!$D$47,Inputs!$D$48))))*((Inputs!$B$32+(T64-0.5)*2*Inputs!$B$53)/Inputs!$B$32)</f>
        <v>1.0046873720644518</v>
      </c>
      <c r="Z64" s="45">
        <f ca="1">ILP_A_CostFocused!$C$9*U64+ILP_A_CostFocused!$C$10*V64+ILP_A_CostFocused!$C$11*W64+ILP_A_CostFocused!$C$12*X64+ILP_A_CostFocused!$C$13*Y64</f>
        <v>17912.032760488226</v>
      </c>
      <c r="AA64" s="45">
        <f ca="1">ILP_A_CostFocused!$D$9*U64+ILP_A_CostFocused!$D$10*V64+ILP_A_CostFocused!$D$11*W64+ILP_A_CostFocused!$D$12*X64+ILP_A_CostFocused!$D$13*Y64</f>
        <v>15035.254612613055</v>
      </c>
      <c r="AB64" s="45">
        <f ca="1">ILP_A_CostFocused!$E$9*U64+ILP_A_CostFocused!$E$10*V64+ILP_A_CostFocused!$E$11*W64+ILP_A_CostFocused!$E$12*X64+ILP_A_CostFocused!$E$13*Y64</f>
        <v>11986.754252096704</v>
      </c>
      <c r="AC64" s="45">
        <f ca="1">Inputs!$B$6*$C64</f>
        <v>20700</v>
      </c>
      <c r="AD64" s="45">
        <f ca="1">Inputs!$B$7*$C64</f>
        <v>17250</v>
      </c>
      <c r="AE64" s="45">
        <f ca="1">Inputs!$B$8*$C64</f>
        <v>13799.999999999998</v>
      </c>
      <c r="AF64" s="45">
        <f t="shared" ca="1" si="28"/>
        <v>2787.9672395117741</v>
      </c>
      <c r="AG64" s="45">
        <f t="shared" ca="1" si="29"/>
        <v>2214.7453873869454</v>
      </c>
      <c r="AH64" s="45">
        <f t="shared" ca="1" si="30"/>
        <v>1813.2457479032946</v>
      </c>
      <c r="AI64" s="45">
        <f t="shared" ca="1" si="31"/>
        <v>6815.9583748020141</v>
      </c>
      <c r="AJ64" s="45">
        <f ca="1">U64*(Inputs!$B$12-ILP_A_CostFocused!$F$9)+V64*(Inputs!$B$13-ILP_A_CostFocused!$F$10)+W64*(Inputs!$B$14-ILP_A_CostFocused!$F$11)+X64*(Inputs!$B$15-ILP_A_CostFocused!$F$12)+Y64*(Inputs!$B$16-ILP_A_CostFocused!$F$13)</f>
        <v>25062.979542049266</v>
      </c>
      <c r="AK64" s="45">
        <f t="shared" ca="1" si="32"/>
        <v>6815.9583748020141</v>
      </c>
      <c r="AL64" s="45">
        <f t="shared" ca="1" si="33"/>
        <v>0</v>
      </c>
      <c r="AM64" s="45">
        <f t="shared" ca="1" si="34"/>
        <v>0</v>
      </c>
      <c r="AN64" s="45">
        <f t="shared" ca="1" si="35"/>
        <v>0</v>
      </c>
      <c r="AO64" s="45">
        <f ca="1">MIN(AL64,Inputs!$B$36)</f>
        <v>0</v>
      </c>
      <c r="AP64" s="45">
        <f ca="1">MIN(AN64,Inputs!$B$36-AO64)</f>
        <v>0</v>
      </c>
      <c r="AQ64" s="45">
        <f ca="1">MIN(AM64,Inputs!$B$36-AO64-AP64)</f>
        <v>0</v>
      </c>
      <c r="AR64" s="45">
        <f t="shared" ca="1" si="36"/>
        <v>0</v>
      </c>
      <c r="AS64" s="45">
        <f t="shared" ca="1" si="37"/>
        <v>0</v>
      </c>
      <c r="AT64" s="45">
        <f t="shared" ca="1" si="38"/>
        <v>0</v>
      </c>
      <c r="AU64" s="45">
        <f t="shared" ca="1" si="39"/>
        <v>0</v>
      </c>
      <c r="AV64" s="46">
        <f ca="1">AU64*Inputs!$B$35</f>
        <v>0</v>
      </c>
      <c r="AW64" s="46">
        <f ca="1">AR64*Inputs!$C$6+AT64*Inputs!$C$7+AS64*Inputs!$C$8</f>
        <v>0</v>
      </c>
      <c r="AX64" s="46">
        <f t="shared" ca="1" si="40"/>
        <v>47324476.33754769</v>
      </c>
      <c r="AY64" s="46">
        <f ca="1">IF(J64&gt;1,($CD$4)*Inputs!$B$55*((Z64+AA64+AB64)/(SUM(ILP_A_CostFocused!$C$9:$E$13))),0)</f>
        <v>553732.18028989818</v>
      </c>
      <c r="AZ64" s="46">
        <f t="shared" ca="1" si="41"/>
        <v>0</v>
      </c>
      <c r="BA64" s="41">
        <f t="shared" ca="1" si="42"/>
        <v>0</v>
      </c>
      <c r="BB64" s="41">
        <f t="shared" ca="1" si="43"/>
        <v>1</v>
      </c>
      <c r="BC64" s="41">
        <f t="shared" ca="1" si="44"/>
        <v>1</v>
      </c>
      <c r="BD64" s="41">
        <f t="shared" ca="1" si="45"/>
        <v>1</v>
      </c>
    </row>
    <row r="65" spans="1:56" ht="15" customHeight="1" x14ac:dyDescent="0.3">
      <c r="A65" s="41">
        <v>58</v>
      </c>
      <c r="B65" s="42">
        <f t="shared" ca="1" si="27"/>
        <v>0.18457968447410211</v>
      </c>
      <c r="C65" s="43">
        <f ca="1">IF(B65&lt;=Inputs!$C$40,Inputs!$D$40,IF(B65&lt;=Inputs!$C$41,Inputs!$D$41,Inputs!$D$42))</f>
        <v>0.9</v>
      </c>
      <c r="D65" s="42">
        <f t="shared" ca="1" si="48"/>
        <v>0.42807209194938001</v>
      </c>
      <c r="E65" s="42">
        <f t="shared" ca="1" si="48"/>
        <v>0.94528019244142036</v>
      </c>
      <c r="F65" s="42">
        <f t="shared" ca="1" si="48"/>
        <v>4.8214236140714739E-2</v>
      </c>
      <c r="G65" s="42">
        <f t="shared" ca="1" si="48"/>
        <v>0.30976513085122415</v>
      </c>
      <c r="H65" s="42">
        <f t="shared" ca="1" si="48"/>
        <v>0.41065763854325399</v>
      </c>
      <c r="I65" s="42">
        <f t="shared" ca="1" si="48"/>
        <v>0.36794403672539611</v>
      </c>
      <c r="J65" s="43">
        <f ca="1">IF(I65&lt;Inputs!$B$54,1+Inputs!$B$55,1)</f>
        <v>1</v>
      </c>
      <c r="K65" s="42">
        <f t="shared" ca="1" si="49"/>
        <v>0.64546379672977838</v>
      </c>
      <c r="L65" s="42">
        <f t="shared" ca="1" si="49"/>
        <v>6.289746150960096E-2</v>
      </c>
      <c r="M65" s="42">
        <f t="shared" ca="1" si="49"/>
        <v>0.29863139844441833</v>
      </c>
      <c r="N65" s="42">
        <f t="shared" ca="1" si="49"/>
        <v>4.551572808149329E-2</v>
      </c>
      <c r="O65" s="42">
        <f t="shared" ca="1" si="49"/>
        <v>0.76988304510368133</v>
      </c>
      <c r="P65" s="42">
        <f t="shared" ca="1" si="49"/>
        <v>0.73638028707447556</v>
      </c>
      <c r="Q65" s="42">
        <f t="shared" ca="1" si="49"/>
        <v>9.6670594236151985E-2</v>
      </c>
      <c r="R65" s="42">
        <f t="shared" ca="1" si="49"/>
        <v>0.53781380913683252</v>
      </c>
      <c r="S65" s="42">
        <f t="shared" ca="1" si="49"/>
        <v>0.90475595154548927</v>
      </c>
      <c r="T65" s="42">
        <f t="shared" ca="1" si="49"/>
        <v>0.41631665613584778</v>
      </c>
      <c r="U65" s="44">
        <f ca="1">(IF(D65&gt;=Inputs!$E$12,1,IF(K65&lt;=Inputs!$C$46,Inputs!$D$46,IF(K65&lt;=Inputs!$C$47,Inputs!$D$47,Inputs!$D$48))))*((Inputs!$B$28+(P65-0.5)*2*Inputs!$B$53)/Inputs!$B$28)</f>
        <v>1.0023925130270697</v>
      </c>
      <c r="V65" s="44">
        <f ca="1">(IF(E65&gt;=Inputs!$E$13,1,IF(L65&lt;=Inputs!$C$46,Inputs!$D$46,IF(L65&lt;=Inputs!$C$47,Inputs!$D$47,Inputs!$D$48))))*((Inputs!$B$29+(Q65-0.5)*2*Inputs!$B$53)/Inputs!$B$29)</f>
        <v>0.99593417937738049</v>
      </c>
      <c r="W65" s="44">
        <f ca="1">(IF(F65&gt;=Inputs!$E$14,1,IF(M65&lt;=Inputs!$C$46,Inputs!$D$46,IF(M65&lt;=Inputs!$C$47,Inputs!$D$47,Inputs!$D$48))))*((Inputs!$B$30+(R65-0.5)*2*Inputs!$B$53)/Inputs!$B$30)</f>
        <v>1.0003800382827823</v>
      </c>
      <c r="X65" s="44">
        <f ca="1">(IF(G65&gt;=Inputs!$E$15,1,IF(N65&lt;=Inputs!$C$46,Inputs!$D$46,IF(N65&lt;=Inputs!$C$47,Inputs!$D$47,Inputs!$D$48))))*((Inputs!$B$31+(S65-0.5)*2*Inputs!$B$53)/Inputs!$B$31)</f>
        <v>1.0041091974776191</v>
      </c>
      <c r="Y65" s="44">
        <f ca="1">(IF(H65&gt;=Inputs!$E$16,1,IF(O65&lt;=Inputs!$C$46,Inputs!$D$46,IF(O65&lt;=Inputs!$C$47,Inputs!$D$47,Inputs!$D$48))))*((Inputs!$B$32+(T65-0.5)*2*Inputs!$B$53)/Inputs!$B$32)</f>
        <v>0.99915811525287579</v>
      </c>
      <c r="Z65" s="45">
        <f ca="1">ILP_A_CostFocused!$C$9*U65+ILP_A_CostFocused!$C$10*V65+ILP_A_CostFocused!$C$11*W65+ILP_A_CostFocused!$C$12*X65+ILP_A_CostFocused!$C$13*Y65</f>
        <v>18061.037093192015</v>
      </c>
      <c r="AA65" s="45">
        <f ca="1">ILP_A_CostFocused!$D$9*U65+ILP_A_CostFocused!$D$10*V65+ILP_A_CostFocused!$D$11*W65+ILP_A_CostFocused!$D$12*X65+ILP_A_CostFocused!$D$13*Y65</f>
        <v>14969.491586471853</v>
      </c>
      <c r="AB65" s="45">
        <f ca="1">ILP_A_CostFocused!$E$9*U65+ILP_A_CostFocused!$E$10*V65+ILP_A_CostFocused!$E$11*W65+ILP_A_CostFocused!$E$12*X65+ILP_A_CostFocused!$E$13*Y65</f>
        <v>11997.710154806327</v>
      </c>
      <c r="AC65" s="45">
        <f ca="1">Inputs!$B$6*$C65</f>
        <v>16200</v>
      </c>
      <c r="AD65" s="45">
        <f ca="1">Inputs!$B$7*$C65</f>
        <v>13500</v>
      </c>
      <c r="AE65" s="45">
        <f ca="1">Inputs!$B$8*$C65</f>
        <v>10800</v>
      </c>
      <c r="AF65" s="45">
        <f t="shared" ca="1" si="28"/>
        <v>0</v>
      </c>
      <c r="AG65" s="45">
        <f t="shared" ca="1" si="29"/>
        <v>0</v>
      </c>
      <c r="AH65" s="45">
        <f t="shared" ca="1" si="30"/>
        <v>0</v>
      </c>
      <c r="AI65" s="45">
        <f t="shared" ca="1" si="31"/>
        <v>0</v>
      </c>
      <c r="AJ65" s="45">
        <f ca="1">U65*(Inputs!$B$12-ILP_A_CostFocused!$F$9)+V65*(Inputs!$B$13-ILP_A_CostFocused!$F$10)+W65*(Inputs!$B$14-ILP_A_CostFocused!$F$11)+X65*(Inputs!$B$15-ILP_A_CostFocused!$F$12)+Y65*(Inputs!$B$16-ILP_A_CostFocused!$F$13)</f>
        <v>24994.742481446985</v>
      </c>
      <c r="AK65" s="45">
        <f t="shared" ca="1" si="32"/>
        <v>0</v>
      </c>
      <c r="AL65" s="45">
        <f t="shared" ca="1" si="33"/>
        <v>0</v>
      </c>
      <c r="AM65" s="45">
        <f t="shared" ca="1" si="34"/>
        <v>0</v>
      </c>
      <c r="AN65" s="45">
        <f t="shared" ca="1" si="35"/>
        <v>0</v>
      </c>
      <c r="AO65" s="45">
        <f ca="1">MIN(AL65,Inputs!$B$36)</f>
        <v>0</v>
      </c>
      <c r="AP65" s="45">
        <f ca="1">MIN(AN65,Inputs!$B$36-AO65)</f>
        <v>0</v>
      </c>
      <c r="AQ65" s="45">
        <f ca="1">MIN(AM65,Inputs!$B$36-AO65-AP65)</f>
        <v>0</v>
      </c>
      <c r="AR65" s="45">
        <f t="shared" ca="1" si="36"/>
        <v>0</v>
      </c>
      <c r="AS65" s="45">
        <f t="shared" ca="1" si="37"/>
        <v>0</v>
      </c>
      <c r="AT65" s="45">
        <f t="shared" ca="1" si="38"/>
        <v>0</v>
      </c>
      <c r="AU65" s="45">
        <f t="shared" ca="1" si="39"/>
        <v>0</v>
      </c>
      <c r="AV65" s="46">
        <f ca="1">AU65*Inputs!$B$35</f>
        <v>0</v>
      </c>
      <c r="AW65" s="46">
        <f ca="1">AR65*Inputs!$C$6+AT65*Inputs!$C$7+AS65*Inputs!$C$8</f>
        <v>0</v>
      </c>
      <c r="AX65" s="46">
        <f t="shared" ca="1" si="40"/>
        <v>47420674.080701925</v>
      </c>
      <c r="AY65" s="46">
        <f ca="1">IF(J65&gt;1,($CD$4)*Inputs!$B$55*((Z65+AA65+AB65)/(SUM(ILP_A_CostFocused!$C$9:$E$13))),0)</f>
        <v>0</v>
      </c>
      <c r="AZ65" s="46">
        <f t="shared" ca="1" si="41"/>
        <v>0</v>
      </c>
      <c r="BA65" s="41">
        <f t="shared" ca="1" si="42"/>
        <v>0</v>
      </c>
      <c r="BB65" s="41">
        <f t="shared" ca="1" si="43"/>
        <v>1</v>
      </c>
      <c r="BC65" s="41">
        <f t="shared" ca="1" si="44"/>
        <v>1</v>
      </c>
      <c r="BD65" s="41">
        <f t="shared" ca="1" si="45"/>
        <v>1</v>
      </c>
    </row>
    <row r="66" spans="1:56" ht="15" customHeight="1" x14ac:dyDescent="0.3">
      <c r="A66" s="41">
        <v>59</v>
      </c>
      <c r="B66" s="42">
        <f t="shared" ca="1" si="27"/>
        <v>0.50826743565539445</v>
      </c>
      <c r="C66" s="43">
        <f ca="1">IF(B66&lt;=Inputs!$C$40,Inputs!$D$40,IF(B66&lt;=Inputs!$C$41,Inputs!$D$41,Inputs!$D$42))</f>
        <v>1</v>
      </c>
      <c r="D66" s="42">
        <f t="shared" ca="1" si="48"/>
        <v>0.20757112623292295</v>
      </c>
      <c r="E66" s="42">
        <f t="shared" ca="1" si="48"/>
        <v>0.40926620880078979</v>
      </c>
      <c r="F66" s="42">
        <f t="shared" ca="1" si="48"/>
        <v>0.73235665956697793</v>
      </c>
      <c r="G66" s="42">
        <f t="shared" ca="1" si="48"/>
        <v>1.8876769915212588E-3</v>
      </c>
      <c r="H66" s="42">
        <f t="shared" ca="1" si="48"/>
        <v>0.1837288865823995</v>
      </c>
      <c r="I66" s="42">
        <f t="shared" ca="1" si="48"/>
        <v>0.5641888131336138</v>
      </c>
      <c r="J66" s="43">
        <f ca="1">IF(I66&lt;Inputs!$B$54,1+Inputs!$B$55,1)</f>
        <v>1</v>
      </c>
      <c r="K66" s="42">
        <f t="shared" ca="1" si="49"/>
        <v>0.54482869924580757</v>
      </c>
      <c r="L66" s="42">
        <f t="shared" ca="1" si="49"/>
        <v>0.13915985378502949</v>
      </c>
      <c r="M66" s="42">
        <f t="shared" ca="1" si="49"/>
        <v>0.31486361410459651</v>
      </c>
      <c r="N66" s="42">
        <f t="shared" ca="1" si="49"/>
        <v>6.3152378694264155E-2</v>
      </c>
      <c r="O66" s="42">
        <f t="shared" ca="1" si="49"/>
        <v>0.66963354703957156</v>
      </c>
      <c r="P66" s="42">
        <f t="shared" ca="1" si="49"/>
        <v>0.30492451058814485</v>
      </c>
      <c r="Q66" s="42">
        <f t="shared" ca="1" si="49"/>
        <v>0.5258578890601473</v>
      </c>
      <c r="R66" s="42">
        <f t="shared" ca="1" si="49"/>
        <v>0.82565791983487125</v>
      </c>
      <c r="S66" s="42">
        <f t="shared" ca="1" si="49"/>
        <v>0.40145969386832669</v>
      </c>
      <c r="T66" s="42">
        <f t="shared" ca="1" si="49"/>
        <v>0.33081310577488654</v>
      </c>
      <c r="U66" s="44">
        <f ca="1">(IF(D66&gt;=Inputs!$E$12,1,IF(K66&lt;=Inputs!$C$46,Inputs!$D$46,IF(K66&lt;=Inputs!$C$47,Inputs!$D$47,Inputs!$D$48))))*((Inputs!$B$28+(P66-0.5)*2*Inputs!$B$53)/Inputs!$B$28)</f>
        <v>0.99802555172660068</v>
      </c>
      <c r="V66" s="44">
        <f ca="1">(IF(E66&gt;=Inputs!$E$13,1,IF(L66&lt;=Inputs!$C$46,Inputs!$D$46,IF(L66&lt;=Inputs!$C$47,Inputs!$D$47,Inputs!$D$48))))*((Inputs!$B$29+(Q66-0.5)*2*Inputs!$B$53)/Inputs!$B$29)</f>
        <v>1.0002606642042353</v>
      </c>
      <c r="W66" s="44">
        <f ca="1">(IF(F66&gt;=Inputs!$E$14,1,IF(M66&lt;=Inputs!$C$46,Inputs!$D$46,IF(M66&lt;=Inputs!$C$47,Inputs!$D$47,Inputs!$D$48))))*((Inputs!$B$30+(R66-0.5)*2*Inputs!$B$53)/Inputs!$B$30)</f>
        <v>1.0032729439179384</v>
      </c>
      <c r="X66" s="44">
        <f ca="1">(IF(G66&gt;=Inputs!$E$15,1,IF(N66&lt;=Inputs!$C$46,Inputs!$D$46,IF(N66&lt;=Inputs!$C$47,Inputs!$D$47,Inputs!$D$48))))*((Inputs!$B$31+(S66-0.5)*2*Inputs!$B$53)/Inputs!$B$31)</f>
        <v>0.59939975448041616</v>
      </c>
      <c r="Y66" s="44">
        <f ca="1">(IF(H66&gt;=Inputs!$E$16,1,IF(O66&lt;=Inputs!$C$46,Inputs!$D$46,IF(O66&lt;=Inputs!$C$47,Inputs!$D$47,Inputs!$D$48))))*((Inputs!$B$32+(T66-0.5)*2*Inputs!$B$53)/Inputs!$B$32)</f>
        <v>0.99829791856916383</v>
      </c>
      <c r="Z66" s="45">
        <f ca="1">ILP_A_CostFocused!$C$9*U66+ILP_A_CostFocused!$C$10*V66+ILP_A_CostFocused!$C$11*W66+ILP_A_CostFocused!$C$12*X66+ILP_A_CostFocused!$C$13*Y66</f>
        <v>13659.498010718051</v>
      </c>
      <c r="AA66" s="45">
        <f ca="1">ILP_A_CostFocused!$D$9*U66+ILP_A_CostFocused!$D$10*V66+ILP_A_CostFocused!$D$11*W66+ILP_A_CostFocused!$D$12*X66+ILP_A_CostFocused!$D$13*Y66</f>
        <v>14610.032988119478</v>
      </c>
      <c r="AB66" s="45">
        <f ca="1">ILP_A_CostFocused!$E$9*U66+ILP_A_CostFocused!$E$10*V66+ILP_A_CostFocused!$E$11*W66+ILP_A_CostFocused!$E$12*X66+ILP_A_CostFocused!$E$13*Y66</f>
        <v>11987.035160611853</v>
      </c>
      <c r="AC66" s="45">
        <f ca="1">Inputs!$B$6*$C66</f>
        <v>18000</v>
      </c>
      <c r="AD66" s="45">
        <f ca="1">Inputs!$B$7*$C66</f>
        <v>15000</v>
      </c>
      <c r="AE66" s="45">
        <f ca="1">Inputs!$B$8*$C66</f>
        <v>12000</v>
      </c>
      <c r="AF66" s="45">
        <f t="shared" ca="1" si="28"/>
        <v>4340.5019892819491</v>
      </c>
      <c r="AG66" s="45">
        <f t="shared" ca="1" si="29"/>
        <v>389.96701188052248</v>
      </c>
      <c r="AH66" s="45">
        <f t="shared" ca="1" si="30"/>
        <v>12.964839388147084</v>
      </c>
      <c r="AI66" s="45">
        <f t="shared" ca="1" si="31"/>
        <v>4743.4338405506187</v>
      </c>
      <c r="AJ66" s="45">
        <f ca="1">U66*(Inputs!$B$12-ILP_A_CostFocused!$F$9)+V66*(Inputs!$B$13-ILP_A_CostFocused!$F$10)+W66*(Inputs!$B$14-ILP_A_CostFocused!$F$11)+X66*(Inputs!$B$15-ILP_A_CostFocused!$F$12)+Y66*(Inputs!$B$16-ILP_A_CostFocused!$F$13)</f>
        <v>24925.306070271174</v>
      </c>
      <c r="AK66" s="45">
        <f t="shared" ca="1" si="32"/>
        <v>4743.4338405506187</v>
      </c>
      <c r="AL66" s="45">
        <f t="shared" ca="1" si="33"/>
        <v>0</v>
      </c>
      <c r="AM66" s="45">
        <f t="shared" ca="1" si="34"/>
        <v>0</v>
      </c>
      <c r="AN66" s="45">
        <f t="shared" ca="1" si="35"/>
        <v>0</v>
      </c>
      <c r="AO66" s="45">
        <f ca="1">MIN(AL66,Inputs!$B$36)</f>
        <v>0</v>
      </c>
      <c r="AP66" s="45">
        <f ca="1">MIN(AN66,Inputs!$B$36-AO66)</f>
        <v>0</v>
      </c>
      <c r="AQ66" s="45">
        <f ca="1">MIN(AM66,Inputs!$B$36-AO66-AP66)</f>
        <v>0</v>
      </c>
      <c r="AR66" s="45">
        <f t="shared" ca="1" si="36"/>
        <v>0</v>
      </c>
      <c r="AS66" s="45">
        <f t="shared" ca="1" si="37"/>
        <v>0</v>
      </c>
      <c r="AT66" s="45">
        <f t="shared" ca="1" si="38"/>
        <v>0</v>
      </c>
      <c r="AU66" s="45">
        <f t="shared" ca="1" si="39"/>
        <v>0</v>
      </c>
      <c r="AV66" s="46">
        <f ca="1">AU66*Inputs!$B$35</f>
        <v>0</v>
      </c>
      <c r="AW66" s="46">
        <f ca="1">AR66*Inputs!$C$6+AT66*Inputs!$C$7+AS66*Inputs!$C$8</f>
        <v>0</v>
      </c>
      <c r="AX66" s="46">
        <f t="shared" ca="1" si="40"/>
        <v>42492195.327213719</v>
      </c>
      <c r="AY66" s="46">
        <f ca="1">IF(J66&gt;1,($CD$4)*Inputs!$B$55*((Z66+AA66+AB66)/(SUM(ILP_A_CostFocused!$C$9:$E$13))),0)</f>
        <v>0</v>
      </c>
      <c r="AZ66" s="46">
        <f t="shared" ca="1" si="41"/>
        <v>0</v>
      </c>
      <c r="BA66" s="41">
        <f t="shared" ca="1" si="42"/>
        <v>0</v>
      </c>
      <c r="BB66" s="41">
        <f t="shared" ca="1" si="43"/>
        <v>1</v>
      </c>
      <c r="BC66" s="41">
        <f t="shared" ca="1" si="44"/>
        <v>1</v>
      </c>
      <c r="BD66" s="41">
        <f t="shared" ca="1" si="45"/>
        <v>1</v>
      </c>
    </row>
    <row r="67" spans="1:56" ht="15" customHeight="1" x14ac:dyDescent="0.3">
      <c r="A67" s="41">
        <v>60</v>
      </c>
      <c r="B67" s="42">
        <f t="shared" ca="1" si="27"/>
        <v>0.93843925382503957</v>
      </c>
      <c r="C67" s="43">
        <f ca="1">IF(B67&lt;=Inputs!$C$40,Inputs!$D$40,IF(B67&lt;=Inputs!$C$41,Inputs!$D$41,Inputs!$D$42))</f>
        <v>1.1499999999999999</v>
      </c>
      <c r="D67" s="42">
        <f t="shared" ca="1" si="48"/>
        <v>0.53640871666250411</v>
      </c>
      <c r="E67" s="42">
        <f t="shared" ca="1" si="48"/>
        <v>0.21571738288553732</v>
      </c>
      <c r="F67" s="42">
        <f t="shared" ca="1" si="48"/>
        <v>0.72578129416500259</v>
      </c>
      <c r="G67" s="42">
        <f t="shared" ca="1" si="48"/>
        <v>0.3966205848437715</v>
      </c>
      <c r="H67" s="42">
        <f t="shared" ca="1" si="48"/>
        <v>0.80878412663900745</v>
      </c>
      <c r="I67" s="42">
        <f t="shared" ca="1" si="48"/>
        <v>1.3129552720335669E-3</v>
      </c>
      <c r="J67" s="43">
        <f ca="1">IF(I67&lt;Inputs!$B$54,1+Inputs!$B$55,1)</f>
        <v>1.25</v>
      </c>
      <c r="K67" s="42">
        <f t="shared" ca="1" si="49"/>
        <v>0.98709704299876999</v>
      </c>
      <c r="L67" s="42">
        <f t="shared" ca="1" si="49"/>
        <v>0.91853663524435625</v>
      </c>
      <c r="M67" s="42">
        <f t="shared" ca="1" si="49"/>
        <v>0.57578160865176564</v>
      </c>
      <c r="N67" s="42">
        <f t="shared" ca="1" si="49"/>
        <v>0.65585111306363053</v>
      </c>
      <c r="O67" s="42">
        <f t="shared" ca="1" si="49"/>
        <v>0.96187000182527083</v>
      </c>
      <c r="P67" s="42">
        <f t="shared" ca="1" si="49"/>
        <v>0.94029365824738786</v>
      </c>
      <c r="Q67" s="42">
        <f t="shared" ca="1" si="49"/>
        <v>5.3208523734567859E-2</v>
      </c>
      <c r="R67" s="42">
        <f t="shared" ca="1" si="49"/>
        <v>0.37211301636784677</v>
      </c>
      <c r="S67" s="42">
        <f t="shared" ca="1" si="49"/>
        <v>0.87374638701413088</v>
      </c>
      <c r="T67" s="42">
        <f t="shared" ca="1" si="49"/>
        <v>0.95022458573637658</v>
      </c>
      <c r="U67" s="44">
        <f ca="1">(IF(D67&gt;=Inputs!$E$12,1,IF(K67&lt;=Inputs!$C$46,Inputs!$D$46,IF(K67&lt;=Inputs!$C$47,Inputs!$D$47,Inputs!$D$48))))*((Inputs!$B$28+(P67-0.5)*2*Inputs!$B$53)/Inputs!$B$28)</f>
        <v>1.004456413545014</v>
      </c>
      <c r="V67" s="44">
        <f ca="1">(IF(E67&gt;=Inputs!$E$13,1,IF(L67&lt;=Inputs!$C$46,Inputs!$D$46,IF(L67&lt;=Inputs!$C$47,Inputs!$D$47,Inputs!$D$48))))*((Inputs!$B$29+(Q67-0.5)*2*Inputs!$B$53)/Inputs!$B$29)</f>
        <v>0.99549605366667915</v>
      </c>
      <c r="W67" s="44">
        <f ca="1">(IF(F67&gt;=Inputs!$E$14,1,IF(M67&lt;=Inputs!$C$46,Inputs!$D$46,IF(M67&lt;=Inputs!$C$47,Inputs!$D$47,Inputs!$D$48))))*((Inputs!$B$30+(R67-0.5)*2*Inputs!$B$53)/Inputs!$B$30)</f>
        <v>0.99871470368208892</v>
      </c>
      <c r="X67" s="44">
        <f ca="1">(IF(G67&gt;=Inputs!$E$15,1,IF(N67&lt;=Inputs!$C$46,Inputs!$D$46,IF(N67&lt;=Inputs!$C$47,Inputs!$D$47,Inputs!$D$48))))*((Inputs!$B$31+(S67-0.5)*2*Inputs!$B$53)/Inputs!$B$31)</f>
        <v>1.0037943795635953</v>
      </c>
      <c r="Y67" s="44">
        <f ca="1">(IF(H67&gt;=Inputs!$E$16,1,IF(O67&lt;=Inputs!$C$46,Inputs!$D$46,IF(O67&lt;=Inputs!$C$47,Inputs!$D$47,Inputs!$D$48))))*((Inputs!$B$32+(T67-0.5)*2*Inputs!$B$53)/Inputs!$B$32)</f>
        <v>1.0045294223917141</v>
      </c>
      <c r="Z67" s="45">
        <f ca="1">ILP_A_CostFocused!$C$9*U67+ILP_A_CostFocused!$C$10*V67+ILP_A_CostFocused!$C$11*W67+ILP_A_CostFocused!$C$12*X67+ILP_A_CostFocused!$C$13*Y67</f>
        <v>18072.276965141638</v>
      </c>
      <c r="AA67" s="45">
        <f ca="1">ILP_A_CostFocused!$D$9*U67+ILP_A_CostFocused!$D$10*V67+ILP_A_CostFocused!$D$11*W67+ILP_A_CostFocused!$D$12*X67+ILP_A_CostFocused!$D$13*Y67</f>
        <v>14956.933974491782</v>
      </c>
      <c r="AB67" s="45">
        <f ca="1">ILP_A_CostFocused!$E$9*U67+ILP_A_CostFocused!$E$10*V67+ILP_A_CostFocused!$E$11*W67+ILP_A_CostFocused!$E$12*X67+ILP_A_CostFocused!$E$13*Y67</f>
        <v>12010.467235124161</v>
      </c>
      <c r="AC67" s="45">
        <f ca="1">Inputs!$B$6*$C67</f>
        <v>20700</v>
      </c>
      <c r="AD67" s="45">
        <f ca="1">Inputs!$B$7*$C67</f>
        <v>17250</v>
      </c>
      <c r="AE67" s="45">
        <f ca="1">Inputs!$B$8*$C67</f>
        <v>13799.999999999998</v>
      </c>
      <c r="AF67" s="45">
        <f t="shared" ca="1" si="28"/>
        <v>2627.7230348583616</v>
      </c>
      <c r="AG67" s="45">
        <f t="shared" ca="1" si="29"/>
        <v>2293.0660255082184</v>
      </c>
      <c r="AH67" s="45">
        <f t="shared" ca="1" si="30"/>
        <v>1789.5327648758375</v>
      </c>
      <c r="AI67" s="45">
        <f t="shared" ca="1" si="31"/>
        <v>6710.3218252424176</v>
      </c>
      <c r="AJ67" s="45">
        <f ca="1">U67*(Inputs!$B$12-ILP_A_CostFocused!$F$9)+V67*(Inputs!$B$13-ILP_A_CostFocused!$F$10)+W67*(Inputs!$B$14-ILP_A_CostFocused!$F$11)+X67*(Inputs!$B$15-ILP_A_CostFocused!$F$12)+Y67*(Inputs!$B$16-ILP_A_CostFocused!$F$13)</f>
        <v>25065.334231802161</v>
      </c>
      <c r="AK67" s="45">
        <f t="shared" ca="1" si="32"/>
        <v>6710.3218252424176</v>
      </c>
      <c r="AL67" s="45">
        <f t="shared" ca="1" si="33"/>
        <v>0</v>
      </c>
      <c r="AM67" s="45">
        <f t="shared" ca="1" si="34"/>
        <v>0</v>
      </c>
      <c r="AN67" s="45">
        <f t="shared" ca="1" si="35"/>
        <v>0</v>
      </c>
      <c r="AO67" s="45">
        <f ca="1">MIN(AL67,Inputs!$B$36)</f>
        <v>0</v>
      </c>
      <c r="AP67" s="45">
        <f ca="1">MIN(AN67,Inputs!$B$36-AO67)</f>
        <v>0</v>
      </c>
      <c r="AQ67" s="45">
        <f ca="1">MIN(AM67,Inputs!$B$36-AO67-AP67)</f>
        <v>0</v>
      </c>
      <c r="AR67" s="45">
        <f t="shared" ca="1" si="36"/>
        <v>0</v>
      </c>
      <c r="AS67" s="45">
        <f t="shared" ca="1" si="37"/>
        <v>0</v>
      </c>
      <c r="AT67" s="45">
        <f t="shared" ca="1" si="38"/>
        <v>0</v>
      </c>
      <c r="AU67" s="45">
        <f t="shared" ca="1" si="39"/>
        <v>0</v>
      </c>
      <c r="AV67" s="46">
        <f ca="1">AU67*Inputs!$B$35</f>
        <v>0</v>
      </c>
      <c r="AW67" s="46">
        <f ca="1">AR67*Inputs!$C$6+AT67*Inputs!$C$7+AS67*Inputs!$C$8</f>
        <v>0</v>
      </c>
      <c r="AX67" s="46">
        <f t="shared" ca="1" si="40"/>
        <v>47432871.532674573</v>
      </c>
      <c r="AY67" s="46">
        <f ca="1">IF(J67&gt;1,($CD$4)*Inputs!$B$55*((Z67+AA67+AB67)/(SUM(ILP_A_CostFocused!$C$9:$E$13))),0)</f>
        <v>555033.96296490973</v>
      </c>
      <c r="AZ67" s="46">
        <f t="shared" ca="1" si="41"/>
        <v>0</v>
      </c>
      <c r="BA67" s="41">
        <f t="shared" ca="1" si="42"/>
        <v>0</v>
      </c>
      <c r="BB67" s="41">
        <f t="shared" ca="1" si="43"/>
        <v>1</v>
      </c>
      <c r="BC67" s="41">
        <f t="shared" ca="1" si="44"/>
        <v>1</v>
      </c>
      <c r="BD67" s="41">
        <f t="shared" ca="1" si="45"/>
        <v>1</v>
      </c>
    </row>
    <row r="68" spans="1:56" ht="15" customHeight="1" x14ac:dyDescent="0.3">
      <c r="A68" s="41">
        <v>61</v>
      </c>
      <c r="B68" s="42">
        <f t="shared" ca="1" si="27"/>
        <v>0.52104763619804784</v>
      </c>
      <c r="C68" s="43">
        <f ca="1">IF(B68&lt;=Inputs!$C$40,Inputs!$D$40,IF(B68&lt;=Inputs!$C$41,Inputs!$D$41,Inputs!$D$42))</f>
        <v>1</v>
      </c>
      <c r="D68" s="42">
        <f t="shared" ref="D68:I77" ca="1" si="50">RAND()</f>
        <v>0.52027262538410601</v>
      </c>
      <c r="E68" s="42">
        <f t="shared" ca="1" si="50"/>
        <v>0.2359837918403449</v>
      </c>
      <c r="F68" s="42">
        <f t="shared" ca="1" si="50"/>
        <v>0.25087738979233798</v>
      </c>
      <c r="G68" s="42">
        <f t="shared" ca="1" si="50"/>
        <v>9.1815514841167345E-2</v>
      </c>
      <c r="H68" s="42">
        <f t="shared" ca="1" si="50"/>
        <v>0.30859087975951238</v>
      </c>
      <c r="I68" s="42">
        <f t="shared" ca="1" si="50"/>
        <v>0.7307760964986002</v>
      </c>
      <c r="J68" s="43">
        <f ca="1">IF(I68&lt;Inputs!$B$54,1+Inputs!$B$55,1)</f>
        <v>1</v>
      </c>
      <c r="K68" s="42">
        <f t="shared" ref="K68:T77" ca="1" si="51">RAND()</f>
        <v>0.5120176154829047</v>
      </c>
      <c r="L68" s="42">
        <f t="shared" ca="1" si="51"/>
        <v>0.76396049140039268</v>
      </c>
      <c r="M68" s="42">
        <f t="shared" ca="1" si="51"/>
        <v>0.89738817162116158</v>
      </c>
      <c r="N68" s="42">
        <f t="shared" ca="1" si="51"/>
        <v>0.85033909525399243</v>
      </c>
      <c r="O68" s="42">
        <f t="shared" ca="1" si="51"/>
        <v>7.2326386266273635E-2</v>
      </c>
      <c r="P68" s="42">
        <f t="shared" ca="1" si="51"/>
        <v>0.88615960000047522</v>
      </c>
      <c r="Q68" s="42">
        <f t="shared" ca="1" si="51"/>
        <v>0.15397581966948504</v>
      </c>
      <c r="R68" s="42">
        <f t="shared" ca="1" si="51"/>
        <v>0.65990250361954361</v>
      </c>
      <c r="S68" s="42">
        <f t="shared" ca="1" si="51"/>
        <v>0.21106849820570994</v>
      </c>
      <c r="T68" s="42">
        <f t="shared" ca="1" si="51"/>
        <v>0.93175206984306569</v>
      </c>
      <c r="U68" s="44">
        <f ca="1">(IF(D68&gt;=Inputs!$E$12,1,IF(K68&lt;=Inputs!$C$46,Inputs!$D$46,IF(K68&lt;=Inputs!$C$47,Inputs!$D$47,Inputs!$D$48))))*((Inputs!$B$28+(P68-0.5)*2*Inputs!$B$53)/Inputs!$B$28)</f>
        <v>1.0039084979757134</v>
      </c>
      <c r="V68" s="44">
        <f ca="1">(IF(E68&gt;=Inputs!$E$13,1,IF(L68&lt;=Inputs!$C$46,Inputs!$D$46,IF(L68&lt;=Inputs!$C$47,Inputs!$D$47,Inputs!$D$48))))*((Inputs!$B$29+(Q68-0.5)*2*Inputs!$B$53)/Inputs!$B$29)</f>
        <v>0.99651185302086176</v>
      </c>
      <c r="W68" s="44">
        <f ca="1">(IF(F68&gt;=Inputs!$E$14,1,IF(M68&lt;=Inputs!$C$46,Inputs!$D$46,IF(M68&lt;=Inputs!$C$47,Inputs!$D$47,Inputs!$D$48))))*((Inputs!$B$30+(R68-0.5)*2*Inputs!$B$53)/Inputs!$B$30)</f>
        <v>1.0016070603378848</v>
      </c>
      <c r="X68" s="44">
        <f ca="1">(IF(G68&gt;=Inputs!$E$15,1,IF(N68&lt;=Inputs!$C$46,Inputs!$D$46,IF(N68&lt;=Inputs!$C$47,Inputs!$D$47,Inputs!$D$48))))*((Inputs!$B$31+(S68-0.5)*2*Inputs!$B$53)/Inputs!$B$31)</f>
        <v>0</v>
      </c>
      <c r="Y68" s="44">
        <f ca="1">(IF(H68&gt;=Inputs!$E$16,1,IF(O68&lt;=Inputs!$C$46,Inputs!$D$46,IF(O68&lt;=Inputs!$C$47,Inputs!$D$47,Inputs!$D$48))))*((Inputs!$B$32+(T68-0.5)*2*Inputs!$B$53)/Inputs!$B$32)</f>
        <v>1.00434358219158</v>
      </c>
      <c r="Z68" s="45">
        <f ca="1">ILP_A_CostFocused!$C$9*U68+ILP_A_CostFocused!$C$10*V68+ILP_A_CostFocused!$C$11*W68+ILP_A_CostFocused!$C$12*X68+ILP_A_CostFocused!$C$13*Y68</f>
        <v>7227.4902806691089</v>
      </c>
      <c r="AA68" s="45">
        <f ca="1">ILP_A_CostFocused!$D$9*U68+ILP_A_CostFocused!$D$10*V68+ILP_A_CostFocused!$D$11*W68+ILP_A_CostFocused!$D$12*X68+ILP_A_CostFocused!$D$13*Y68</f>
        <v>13956.609837670421</v>
      </c>
      <c r="AB68" s="45">
        <f ca="1">ILP_A_CostFocused!$E$9*U68+ILP_A_CostFocused!$E$10*V68+ILP_A_CostFocused!$E$11*W68+ILP_A_CostFocused!$E$12*X68+ILP_A_CostFocused!$E$13*Y68</f>
        <v>12011.398079925273</v>
      </c>
      <c r="AC68" s="45">
        <f ca="1">Inputs!$B$6*$C68</f>
        <v>18000</v>
      </c>
      <c r="AD68" s="45">
        <f ca="1">Inputs!$B$7*$C68</f>
        <v>15000</v>
      </c>
      <c r="AE68" s="45">
        <f ca="1">Inputs!$B$8*$C68</f>
        <v>12000</v>
      </c>
      <c r="AF68" s="45">
        <f t="shared" ca="1" si="28"/>
        <v>10772.50971933089</v>
      </c>
      <c r="AG68" s="45">
        <f t="shared" ca="1" si="29"/>
        <v>1043.3901623295787</v>
      </c>
      <c r="AH68" s="45">
        <f t="shared" ca="1" si="30"/>
        <v>0</v>
      </c>
      <c r="AI68" s="45">
        <f t="shared" ca="1" si="31"/>
        <v>11815.899881660469</v>
      </c>
      <c r="AJ68" s="45">
        <f ca="1">U68*(Inputs!$B$12-ILP_A_CostFocused!$F$9)+V68*(Inputs!$B$13-ILP_A_CostFocused!$F$10)+W68*(Inputs!$B$14-ILP_A_CostFocused!$F$11)+X68*(Inputs!$B$15-ILP_A_CostFocused!$F$12)+Y68*(Inputs!$B$16-ILP_A_CostFocused!$F$13)</f>
        <v>24904.249228904879</v>
      </c>
      <c r="AK68" s="45">
        <f t="shared" ca="1" si="32"/>
        <v>11815.899881660469</v>
      </c>
      <c r="AL68" s="45">
        <f t="shared" ca="1" si="33"/>
        <v>0</v>
      </c>
      <c r="AM68" s="45">
        <f t="shared" ca="1" si="34"/>
        <v>0</v>
      </c>
      <c r="AN68" s="45">
        <f t="shared" ca="1" si="35"/>
        <v>0</v>
      </c>
      <c r="AO68" s="45">
        <f ca="1">MIN(AL68,Inputs!$B$36)</f>
        <v>0</v>
      </c>
      <c r="AP68" s="45">
        <f ca="1">MIN(AN68,Inputs!$B$36-AO68)</f>
        <v>0</v>
      </c>
      <c r="AQ68" s="45">
        <f ca="1">MIN(AM68,Inputs!$B$36-AO68-AP68)</f>
        <v>0</v>
      </c>
      <c r="AR68" s="45">
        <f t="shared" ca="1" si="36"/>
        <v>0</v>
      </c>
      <c r="AS68" s="45">
        <f t="shared" ca="1" si="37"/>
        <v>0</v>
      </c>
      <c r="AT68" s="45">
        <f t="shared" ca="1" si="38"/>
        <v>0</v>
      </c>
      <c r="AU68" s="45">
        <f t="shared" ca="1" si="39"/>
        <v>0</v>
      </c>
      <c r="AV68" s="46">
        <f ca="1">AU68*Inputs!$B$35</f>
        <v>0</v>
      </c>
      <c r="AW68" s="46">
        <f ca="1">AR68*Inputs!$C$6+AT68*Inputs!$C$7+AS68*Inputs!$C$8</f>
        <v>0</v>
      </c>
      <c r="AX68" s="46">
        <f t="shared" ca="1" si="40"/>
        <v>35198469.217541799</v>
      </c>
      <c r="AY68" s="46">
        <f ca="1">IF(J68&gt;1,($CD$4)*Inputs!$B$55*((Z68+AA68+AB68)/(SUM(ILP_A_CostFocused!$C$9:$E$13))),0)</f>
        <v>0</v>
      </c>
      <c r="AZ68" s="46">
        <f t="shared" ca="1" si="41"/>
        <v>0</v>
      </c>
      <c r="BA68" s="41">
        <f t="shared" ca="1" si="42"/>
        <v>0</v>
      </c>
      <c r="BB68" s="41">
        <f t="shared" ca="1" si="43"/>
        <v>1</v>
      </c>
      <c r="BC68" s="41">
        <f t="shared" ca="1" si="44"/>
        <v>1</v>
      </c>
      <c r="BD68" s="41">
        <f t="shared" ca="1" si="45"/>
        <v>1</v>
      </c>
    </row>
    <row r="69" spans="1:56" ht="15" customHeight="1" x14ac:dyDescent="0.3">
      <c r="A69" s="41">
        <v>62</v>
      </c>
      <c r="B69" s="42">
        <f t="shared" ca="1" si="27"/>
        <v>0.84986868994312825</v>
      </c>
      <c r="C69" s="43">
        <f ca="1">IF(B69&lt;=Inputs!$C$40,Inputs!$D$40,IF(B69&lt;=Inputs!$C$41,Inputs!$D$41,Inputs!$D$42))</f>
        <v>1.1499999999999999</v>
      </c>
      <c r="D69" s="42">
        <f t="shared" ca="1" si="50"/>
        <v>0.99871767964138891</v>
      </c>
      <c r="E69" s="42">
        <f t="shared" ca="1" si="50"/>
        <v>0.60553663380362255</v>
      </c>
      <c r="F69" s="42">
        <f t="shared" ca="1" si="50"/>
        <v>0.56277472941134599</v>
      </c>
      <c r="G69" s="42">
        <f t="shared" ca="1" si="50"/>
        <v>0.49801422205970491</v>
      </c>
      <c r="H69" s="42">
        <f t="shared" ca="1" si="50"/>
        <v>0.58204103507977423</v>
      </c>
      <c r="I69" s="42">
        <f t="shared" ca="1" si="50"/>
        <v>0.91799168376252627</v>
      </c>
      <c r="J69" s="43">
        <f ca="1">IF(I69&lt;Inputs!$B$54,1+Inputs!$B$55,1)</f>
        <v>1</v>
      </c>
      <c r="K69" s="42">
        <f t="shared" ca="1" si="51"/>
        <v>0.36541403178503185</v>
      </c>
      <c r="L69" s="42">
        <f t="shared" ca="1" si="51"/>
        <v>0.29297514938587876</v>
      </c>
      <c r="M69" s="42">
        <f t="shared" ca="1" si="51"/>
        <v>0.39764744000296826</v>
      </c>
      <c r="N69" s="42">
        <f t="shared" ca="1" si="51"/>
        <v>0.87601170464541323</v>
      </c>
      <c r="O69" s="42">
        <f t="shared" ca="1" si="51"/>
        <v>0.29423345498610964</v>
      </c>
      <c r="P69" s="42">
        <f t="shared" ca="1" si="51"/>
        <v>0.96342105539120748</v>
      </c>
      <c r="Q69" s="42">
        <f t="shared" ca="1" si="51"/>
        <v>0.10355222169764633</v>
      </c>
      <c r="R69" s="42">
        <f t="shared" ca="1" si="51"/>
        <v>0.84630063335975758</v>
      </c>
      <c r="S69" s="42">
        <f t="shared" ca="1" si="51"/>
        <v>0.96433014619399671</v>
      </c>
      <c r="T69" s="42">
        <f t="shared" ca="1" si="51"/>
        <v>0.18728142840516171</v>
      </c>
      <c r="U69" s="44">
        <f ca="1">(IF(D69&gt;=Inputs!$E$12,1,IF(K69&lt;=Inputs!$C$46,Inputs!$D$46,IF(K69&lt;=Inputs!$C$47,Inputs!$D$47,Inputs!$D$48))))*((Inputs!$B$28+(P69-0.5)*2*Inputs!$B$53)/Inputs!$B$28)</f>
        <v>1.0046904965120569</v>
      </c>
      <c r="V69" s="44">
        <f ca="1">(IF(E69&gt;=Inputs!$E$13,1,IF(L69&lt;=Inputs!$C$46,Inputs!$D$46,IF(L69&lt;=Inputs!$C$47,Inputs!$D$47,Inputs!$D$48))))*((Inputs!$B$29+(Q69-0.5)*2*Inputs!$B$53)/Inputs!$B$29)</f>
        <v>0.99600355062195201</v>
      </c>
      <c r="W69" s="44">
        <f ca="1">(IF(F69&gt;=Inputs!$E$14,1,IF(M69&lt;=Inputs!$C$46,Inputs!$D$46,IF(M69&lt;=Inputs!$C$47,Inputs!$D$47,Inputs!$D$48))))*((Inputs!$B$30+(R69-0.5)*2*Inputs!$B$53)/Inputs!$B$30)</f>
        <v>1.0034804083754749</v>
      </c>
      <c r="X69" s="44">
        <f ca="1">(IF(G69&gt;=Inputs!$E$15,1,IF(N69&lt;=Inputs!$C$46,Inputs!$D$46,IF(N69&lt;=Inputs!$C$47,Inputs!$D$47,Inputs!$D$48))))*((Inputs!$B$31+(S69-0.5)*2*Inputs!$B$53)/Inputs!$B$31)</f>
        <v>1.0047140116364872</v>
      </c>
      <c r="Y69" s="44">
        <f ca="1">(IF(H69&gt;=Inputs!$E$16,1,IF(O69&lt;=Inputs!$C$46,Inputs!$D$46,IF(O69&lt;=Inputs!$C$47,Inputs!$D$47,Inputs!$D$48))))*((Inputs!$B$32+(T69-0.5)*2*Inputs!$B$53)/Inputs!$B$32)</f>
        <v>0.99685393791152077</v>
      </c>
      <c r="Z69" s="45">
        <f ca="1">ILP_A_CostFocused!$C$9*U69+ILP_A_CostFocused!$C$10*V69+ILP_A_CostFocused!$C$11*W69+ILP_A_CostFocused!$C$12*X69+ILP_A_CostFocused!$C$13*Y69</f>
        <v>18083.918449322544</v>
      </c>
      <c r="AA69" s="45">
        <f ca="1">ILP_A_CostFocused!$D$9*U69+ILP_A_CostFocused!$D$10*V69+ILP_A_CostFocused!$D$11*W69+ILP_A_CostFocused!$D$12*X69+ILP_A_CostFocused!$D$13*Y69</f>
        <v>14986.172681176649</v>
      </c>
      <c r="AB69" s="45">
        <f ca="1">ILP_A_CostFocused!$E$9*U69+ILP_A_CostFocused!$E$10*V69+ILP_A_CostFocused!$E$11*W69+ILP_A_CostFocused!$E$12*X69+ILP_A_CostFocused!$E$13*Y69</f>
        <v>12014.588617872179</v>
      </c>
      <c r="AC69" s="45">
        <f ca="1">Inputs!$B$6*$C69</f>
        <v>20700</v>
      </c>
      <c r="AD69" s="45">
        <f ca="1">Inputs!$B$7*$C69</f>
        <v>17250</v>
      </c>
      <c r="AE69" s="45">
        <f ca="1">Inputs!$B$8*$C69</f>
        <v>13799.999999999998</v>
      </c>
      <c r="AF69" s="45">
        <f t="shared" ca="1" si="28"/>
        <v>2616.0815506774561</v>
      </c>
      <c r="AG69" s="45">
        <f t="shared" ca="1" si="29"/>
        <v>2263.8273188233507</v>
      </c>
      <c r="AH69" s="45">
        <f t="shared" ca="1" si="30"/>
        <v>1785.4113821278188</v>
      </c>
      <c r="AI69" s="45">
        <f t="shared" ca="1" si="31"/>
        <v>6665.3202516286256</v>
      </c>
      <c r="AJ69" s="45">
        <f ca="1">U69*(Inputs!$B$12-ILP_A_CostFocused!$F$9)+V69*(Inputs!$B$13-ILP_A_CostFocused!$F$10)+W69*(Inputs!$B$14-ILP_A_CostFocused!$F$11)+X69*(Inputs!$B$15-ILP_A_CostFocused!$F$12)+Y69*(Inputs!$B$16-ILP_A_CostFocused!$F$13)</f>
        <v>24989.0404217207</v>
      </c>
      <c r="AK69" s="45">
        <f t="shared" ca="1" si="32"/>
        <v>6665.3202516286256</v>
      </c>
      <c r="AL69" s="45">
        <f t="shared" ca="1" si="33"/>
        <v>0</v>
      </c>
      <c r="AM69" s="45">
        <f t="shared" ca="1" si="34"/>
        <v>0</v>
      </c>
      <c r="AN69" s="45">
        <f t="shared" ca="1" si="35"/>
        <v>0</v>
      </c>
      <c r="AO69" s="45">
        <f ca="1">MIN(AL69,Inputs!$B$36)</f>
        <v>0</v>
      </c>
      <c r="AP69" s="45">
        <f ca="1">MIN(AN69,Inputs!$B$36-AO69)</f>
        <v>0</v>
      </c>
      <c r="AQ69" s="45">
        <f ca="1">MIN(AM69,Inputs!$B$36-AO69-AP69)</f>
        <v>0</v>
      </c>
      <c r="AR69" s="45">
        <f t="shared" ca="1" si="36"/>
        <v>0</v>
      </c>
      <c r="AS69" s="45">
        <f t="shared" ca="1" si="37"/>
        <v>0</v>
      </c>
      <c r="AT69" s="45">
        <f t="shared" ca="1" si="38"/>
        <v>0</v>
      </c>
      <c r="AU69" s="45">
        <f t="shared" ca="1" si="39"/>
        <v>0</v>
      </c>
      <c r="AV69" s="46">
        <f ca="1">AU69*Inputs!$B$35</f>
        <v>0</v>
      </c>
      <c r="AW69" s="46">
        <f ca="1">AR69*Inputs!$C$6+AT69*Inputs!$C$7+AS69*Inputs!$C$8</f>
        <v>0</v>
      </c>
      <c r="AX69" s="46">
        <f t="shared" ca="1" si="40"/>
        <v>47480165.738941468</v>
      </c>
      <c r="AY69" s="46">
        <f ca="1">IF(J69&gt;1,($CD$4)*Inputs!$B$55*((Z69+AA69+AB69)/(SUM(ILP_A_CostFocused!$C$9:$E$13))),0)</f>
        <v>0</v>
      </c>
      <c r="AZ69" s="46">
        <f t="shared" ca="1" si="41"/>
        <v>0</v>
      </c>
      <c r="BA69" s="41">
        <f t="shared" ca="1" si="42"/>
        <v>0</v>
      </c>
      <c r="BB69" s="41">
        <f t="shared" ca="1" si="43"/>
        <v>1</v>
      </c>
      <c r="BC69" s="41">
        <f t="shared" ca="1" si="44"/>
        <v>1</v>
      </c>
      <c r="BD69" s="41">
        <f t="shared" ca="1" si="45"/>
        <v>1</v>
      </c>
    </row>
    <row r="70" spans="1:56" ht="15" customHeight="1" x14ac:dyDescent="0.3">
      <c r="A70" s="41">
        <v>63</v>
      </c>
      <c r="B70" s="42">
        <f t="shared" ca="1" si="27"/>
        <v>0.27189909857068084</v>
      </c>
      <c r="C70" s="43">
        <f ca="1">IF(B70&lt;=Inputs!$C$40,Inputs!$D$40,IF(B70&lt;=Inputs!$C$41,Inputs!$D$41,Inputs!$D$42))</f>
        <v>1</v>
      </c>
      <c r="D70" s="42">
        <f t="shared" ca="1" si="50"/>
        <v>0.7914793793416286</v>
      </c>
      <c r="E70" s="42">
        <f t="shared" ca="1" si="50"/>
        <v>0.73573152976836287</v>
      </c>
      <c r="F70" s="42">
        <f t="shared" ca="1" si="50"/>
        <v>0.81849433323989884</v>
      </c>
      <c r="G70" s="42">
        <f t="shared" ca="1" si="50"/>
        <v>0.27562148396851283</v>
      </c>
      <c r="H70" s="42">
        <f t="shared" ca="1" si="50"/>
        <v>0.68635673766820748</v>
      </c>
      <c r="I70" s="42">
        <f t="shared" ca="1" si="50"/>
        <v>0.65025154646191863</v>
      </c>
      <c r="J70" s="43">
        <f ca="1">IF(I70&lt;Inputs!$B$54,1+Inputs!$B$55,1)</f>
        <v>1</v>
      </c>
      <c r="K70" s="42">
        <f t="shared" ca="1" si="51"/>
        <v>0.60138471772384972</v>
      </c>
      <c r="L70" s="42">
        <f t="shared" ca="1" si="51"/>
        <v>0.22752448660067437</v>
      </c>
      <c r="M70" s="42">
        <f t="shared" ca="1" si="51"/>
        <v>0.32605339096907926</v>
      </c>
      <c r="N70" s="42">
        <f t="shared" ca="1" si="51"/>
        <v>0.23367525448467164</v>
      </c>
      <c r="O70" s="42">
        <f t="shared" ca="1" si="51"/>
        <v>0.81401013475232642</v>
      </c>
      <c r="P70" s="42">
        <f t="shared" ca="1" si="51"/>
        <v>3.8570642540900479E-3</v>
      </c>
      <c r="Q70" s="42">
        <f t="shared" ca="1" si="51"/>
        <v>0.11374122772269968</v>
      </c>
      <c r="R70" s="42">
        <f t="shared" ca="1" si="51"/>
        <v>9.2945100792985458E-2</v>
      </c>
      <c r="S70" s="42">
        <f t="shared" ca="1" si="51"/>
        <v>0.43563128231828985</v>
      </c>
      <c r="T70" s="42">
        <f t="shared" ca="1" si="51"/>
        <v>0.72701592222465194</v>
      </c>
      <c r="U70" s="44">
        <f ca="1">(IF(D70&gt;=Inputs!$E$12,1,IF(K70&lt;=Inputs!$C$46,Inputs!$D$46,IF(K70&lt;=Inputs!$C$47,Inputs!$D$47,Inputs!$D$48))))*((Inputs!$B$28+(P70-0.5)*2*Inputs!$B$53)/Inputs!$B$28)</f>
        <v>0.99497831036694417</v>
      </c>
      <c r="V70" s="44">
        <f ca="1">(IF(E70&gt;=Inputs!$E$13,1,IF(L70&lt;=Inputs!$C$46,Inputs!$D$46,IF(L70&lt;=Inputs!$C$47,Inputs!$D$47,Inputs!$D$48))))*((Inputs!$B$29+(Q70-0.5)*2*Inputs!$B$53)/Inputs!$B$29)</f>
        <v>0.9961062623762369</v>
      </c>
      <c r="W70" s="44">
        <f ca="1">(IF(F70&gt;=Inputs!$E$14,1,IF(M70&lt;=Inputs!$C$46,Inputs!$D$46,IF(M70&lt;=Inputs!$C$47,Inputs!$D$47,Inputs!$D$48))))*((Inputs!$B$30+(R70-0.5)*2*Inputs!$B$53)/Inputs!$B$30)</f>
        <v>0.99590899598786919</v>
      </c>
      <c r="X70" s="44">
        <f ca="1">(IF(G70&gt;=Inputs!$E$15,1,IF(N70&lt;=Inputs!$C$46,Inputs!$D$46,IF(N70&lt;=Inputs!$C$47,Inputs!$D$47,Inputs!$D$48))))*((Inputs!$B$31+(S70-0.5)*2*Inputs!$B$53)/Inputs!$B$31)</f>
        <v>0.99934651048038881</v>
      </c>
      <c r="Y70" s="44">
        <f ca="1">(IF(H70&gt;=Inputs!$E$16,1,IF(O70&lt;=Inputs!$C$46,Inputs!$D$46,IF(O70&lt;=Inputs!$C$47,Inputs!$D$47,Inputs!$D$48))))*((Inputs!$B$32+(T70-0.5)*2*Inputs!$B$53)/Inputs!$B$32)</f>
        <v>1.0022838623966261</v>
      </c>
      <c r="Z70" s="45">
        <f ca="1">ILP_A_CostFocused!$C$9*U70+ILP_A_CostFocused!$C$10*V70+ILP_A_CostFocused!$C$11*W70+ILP_A_CostFocused!$C$12*X70+ILP_A_CostFocused!$C$13*Y70</f>
        <v>17956.885407607013</v>
      </c>
      <c r="AA70" s="45">
        <f ca="1">ILP_A_CostFocused!$D$9*U70+ILP_A_CostFocused!$D$10*V70+ILP_A_CostFocused!$D$11*W70+ILP_A_CostFocused!$D$12*X70+ILP_A_CostFocused!$D$13*Y70</f>
        <v>14943.916602095716</v>
      </c>
      <c r="AB70" s="45">
        <f ca="1">ILP_A_CostFocused!$E$9*U70+ILP_A_CostFocused!$E$10*V70+ILP_A_CostFocused!$E$11*W70+ILP_A_CostFocused!$E$12*X70+ILP_A_CostFocused!$E$13*Y70</f>
        <v>11945.153894047935</v>
      </c>
      <c r="AC70" s="45">
        <f ca="1">Inputs!$B$6*$C70</f>
        <v>18000</v>
      </c>
      <c r="AD70" s="45">
        <f ca="1">Inputs!$B$7*$C70</f>
        <v>15000</v>
      </c>
      <c r="AE70" s="45">
        <f ca="1">Inputs!$B$8*$C70</f>
        <v>12000</v>
      </c>
      <c r="AF70" s="45">
        <f t="shared" ca="1" si="28"/>
        <v>43.114592392987106</v>
      </c>
      <c r="AG70" s="45">
        <f t="shared" ca="1" si="29"/>
        <v>56.083397904283629</v>
      </c>
      <c r="AH70" s="45">
        <f t="shared" ca="1" si="30"/>
        <v>54.846105952065045</v>
      </c>
      <c r="AI70" s="45">
        <f t="shared" ca="1" si="31"/>
        <v>154.04409624933578</v>
      </c>
      <c r="AJ70" s="45">
        <f ca="1">U70*(Inputs!$B$12-ILP_A_CostFocused!$F$9)+V70*(Inputs!$B$13-ILP_A_CostFocused!$F$10)+W70*(Inputs!$B$14-ILP_A_CostFocused!$F$11)+X70*(Inputs!$B$15-ILP_A_CostFocused!$F$12)+Y70*(Inputs!$B$16-ILP_A_CostFocused!$F$13)</f>
        <v>24992.417744944112</v>
      </c>
      <c r="AK70" s="45">
        <f t="shared" ca="1" si="32"/>
        <v>154.04409624933578</v>
      </c>
      <c r="AL70" s="45">
        <f t="shared" ca="1" si="33"/>
        <v>0</v>
      </c>
      <c r="AM70" s="45">
        <f t="shared" ca="1" si="34"/>
        <v>0</v>
      </c>
      <c r="AN70" s="45">
        <f t="shared" ca="1" si="35"/>
        <v>0</v>
      </c>
      <c r="AO70" s="45">
        <f ca="1">MIN(AL70,Inputs!$B$36)</f>
        <v>0</v>
      </c>
      <c r="AP70" s="45">
        <f ca="1">MIN(AN70,Inputs!$B$36-AO70)</f>
        <v>0</v>
      </c>
      <c r="AQ70" s="45">
        <f ca="1">MIN(AM70,Inputs!$B$36-AO70-AP70)</f>
        <v>0</v>
      </c>
      <c r="AR70" s="45">
        <f t="shared" ca="1" si="36"/>
        <v>0</v>
      </c>
      <c r="AS70" s="45">
        <f t="shared" ca="1" si="37"/>
        <v>0</v>
      </c>
      <c r="AT70" s="45">
        <f t="shared" ca="1" si="38"/>
        <v>0</v>
      </c>
      <c r="AU70" s="45">
        <f t="shared" ca="1" si="39"/>
        <v>0</v>
      </c>
      <c r="AV70" s="46">
        <f ca="1">AU70*Inputs!$B$35</f>
        <v>0</v>
      </c>
      <c r="AW70" s="46">
        <f ca="1">AR70*Inputs!$C$6+AT70*Inputs!$C$7+AS70*Inputs!$C$8</f>
        <v>0</v>
      </c>
      <c r="AX70" s="46">
        <f t="shared" ca="1" si="40"/>
        <v>47229296.451062128</v>
      </c>
      <c r="AY70" s="46">
        <f ca="1">IF(J70&gt;1,($CD$4)*Inputs!$B$55*((Z70+AA70+AB70)/(SUM(ILP_A_CostFocused!$C$9:$E$13))),0)</f>
        <v>0</v>
      </c>
      <c r="AZ70" s="46">
        <f t="shared" ca="1" si="41"/>
        <v>0</v>
      </c>
      <c r="BA70" s="41">
        <f t="shared" ca="1" si="42"/>
        <v>0</v>
      </c>
      <c r="BB70" s="41">
        <f t="shared" ca="1" si="43"/>
        <v>1</v>
      </c>
      <c r="BC70" s="41">
        <f t="shared" ca="1" si="44"/>
        <v>1</v>
      </c>
      <c r="BD70" s="41">
        <f t="shared" ca="1" si="45"/>
        <v>1</v>
      </c>
    </row>
    <row r="71" spans="1:56" ht="15" customHeight="1" x14ac:dyDescent="0.3">
      <c r="A71" s="41">
        <v>64</v>
      </c>
      <c r="B71" s="42">
        <f t="shared" ca="1" si="27"/>
        <v>0.39952567927129368</v>
      </c>
      <c r="C71" s="43">
        <f ca="1">IF(B71&lt;=Inputs!$C$40,Inputs!$D$40,IF(B71&lt;=Inputs!$C$41,Inputs!$D$41,Inputs!$D$42))</f>
        <v>1</v>
      </c>
      <c r="D71" s="42">
        <f t="shared" ca="1" si="50"/>
        <v>0.40043563288898176</v>
      </c>
      <c r="E71" s="42">
        <f t="shared" ca="1" si="50"/>
        <v>0.81004334036474557</v>
      </c>
      <c r="F71" s="42">
        <f t="shared" ca="1" si="50"/>
        <v>0.27539106038720862</v>
      </c>
      <c r="G71" s="42">
        <f t="shared" ca="1" si="50"/>
        <v>0.86508744454686315</v>
      </c>
      <c r="H71" s="42">
        <f t="shared" ca="1" si="50"/>
        <v>0.50655778497352888</v>
      </c>
      <c r="I71" s="42">
        <f t="shared" ca="1" si="50"/>
        <v>9.591891372062189E-2</v>
      </c>
      <c r="J71" s="43">
        <f ca="1">IF(I71&lt;Inputs!$B$54,1+Inputs!$B$55,1)</f>
        <v>1</v>
      </c>
      <c r="K71" s="42">
        <f t="shared" ca="1" si="51"/>
        <v>0.34308893423771014</v>
      </c>
      <c r="L71" s="42">
        <f t="shared" ca="1" si="51"/>
        <v>4.1694252479501315E-2</v>
      </c>
      <c r="M71" s="42">
        <f t="shared" ca="1" si="51"/>
        <v>0.64509348481587048</v>
      </c>
      <c r="N71" s="42">
        <f t="shared" ca="1" si="51"/>
        <v>0.41368665335147858</v>
      </c>
      <c r="O71" s="42">
        <f t="shared" ca="1" si="51"/>
        <v>4.4258348698159256E-2</v>
      </c>
      <c r="P71" s="42">
        <f t="shared" ca="1" si="51"/>
        <v>0.79148808179696173</v>
      </c>
      <c r="Q71" s="42">
        <f t="shared" ca="1" si="51"/>
        <v>0.86360712768073633</v>
      </c>
      <c r="R71" s="42">
        <f t="shared" ca="1" si="51"/>
        <v>0.26341200008227306</v>
      </c>
      <c r="S71" s="42">
        <f t="shared" ca="1" si="51"/>
        <v>0.37190486258293365</v>
      </c>
      <c r="T71" s="42">
        <f t="shared" ca="1" si="51"/>
        <v>0.96930061251208244</v>
      </c>
      <c r="U71" s="44">
        <f ca="1">(IF(D71&gt;=Inputs!$E$12,1,IF(K71&lt;=Inputs!$C$46,Inputs!$D$46,IF(K71&lt;=Inputs!$C$47,Inputs!$D$47,Inputs!$D$48))))*((Inputs!$B$28+(P71-0.5)*2*Inputs!$B$53)/Inputs!$B$28)</f>
        <v>1.0029502842287141</v>
      </c>
      <c r="V71" s="44">
        <f ca="1">(IF(E71&gt;=Inputs!$E$13,1,IF(L71&lt;=Inputs!$C$46,Inputs!$D$46,IF(L71&lt;=Inputs!$C$47,Inputs!$D$47,Inputs!$D$48))))*((Inputs!$B$29+(Q71-0.5)*2*Inputs!$B$53)/Inputs!$B$29)</f>
        <v>1.0036653944322655</v>
      </c>
      <c r="W71" s="44">
        <f ca="1">(IF(F71&gt;=Inputs!$E$14,1,IF(M71&lt;=Inputs!$C$46,Inputs!$D$46,IF(M71&lt;=Inputs!$C$47,Inputs!$D$47,Inputs!$D$48))))*((Inputs!$B$30+(R71-0.5)*2*Inputs!$B$53)/Inputs!$B$30)</f>
        <v>0.99762223115660575</v>
      </c>
      <c r="X71" s="44">
        <f ca="1">(IF(G71&gt;=Inputs!$E$15,1,IF(N71&lt;=Inputs!$C$46,Inputs!$D$46,IF(N71&lt;=Inputs!$C$47,Inputs!$D$47,Inputs!$D$48))))*((Inputs!$B$31+(S71-0.5)*2*Inputs!$B$53)/Inputs!$B$31)</f>
        <v>0.99869954175211106</v>
      </c>
      <c r="Y71" s="44">
        <f ca="1">(IF(H71&gt;=Inputs!$E$16,1,IF(O71&lt;=Inputs!$C$46,Inputs!$D$46,IF(O71&lt;=Inputs!$C$47,Inputs!$D$47,Inputs!$D$48))))*((Inputs!$B$32+(T71-0.5)*2*Inputs!$B$53)/Inputs!$B$32)</f>
        <v>1.0047213341299002</v>
      </c>
      <c r="Z71" s="45">
        <f ca="1">ILP_A_CostFocused!$C$9*U71+ILP_A_CostFocused!$C$10*V71+ILP_A_CostFocused!$C$11*W71+ILP_A_CostFocused!$C$12*X71+ILP_A_CostFocused!$C$13*Y71</f>
        <v>18007.260027067452</v>
      </c>
      <c r="AA71" s="45">
        <f ca="1">ILP_A_CostFocused!$D$9*U71+ILP_A_CostFocused!$D$10*V71+ILP_A_CostFocused!$D$11*W71+ILP_A_CostFocused!$D$12*X71+ILP_A_CostFocused!$D$13*Y71</f>
        <v>15019.82079363744</v>
      </c>
      <c r="AB71" s="45">
        <f ca="1">ILP_A_CostFocused!$E$9*U71+ILP_A_CostFocused!$E$10*V71+ILP_A_CostFocused!$E$11*W71+ILP_A_CostFocused!$E$12*X71+ILP_A_CostFocused!$E$13*Y71</f>
        <v>12038.835939721615</v>
      </c>
      <c r="AC71" s="45">
        <f ca="1">Inputs!$B$6*$C71</f>
        <v>18000</v>
      </c>
      <c r="AD71" s="45">
        <f ca="1">Inputs!$B$7*$C71</f>
        <v>15000</v>
      </c>
      <c r="AE71" s="45">
        <f ca="1">Inputs!$B$8*$C71</f>
        <v>12000</v>
      </c>
      <c r="AF71" s="45">
        <f t="shared" ca="1" si="28"/>
        <v>0</v>
      </c>
      <c r="AG71" s="45">
        <f t="shared" ca="1" si="29"/>
        <v>0</v>
      </c>
      <c r="AH71" s="45">
        <f t="shared" ca="1" si="30"/>
        <v>0</v>
      </c>
      <c r="AI71" s="45">
        <f t="shared" ca="1" si="31"/>
        <v>0</v>
      </c>
      <c r="AJ71" s="45">
        <f ca="1">U71*(Inputs!$B$12-ILP_A_CostFocused!$F$9)+V71*(Inputs!$B$13-ILP_A_CostFocused!$F$10)+W71*(Inputs!$B$14-ILP_A_CostFocused!$F$11)+X71*(Inputs!$B$15-ILP_A_CostFocused!$F$12)+Y71*(Inputs!$B$16-ILP_A_CostFocused!$F$13)</f>
        <v>25056.906827294344</v>
      </c>
      <c r="AK71" s="45">
        <f t="shared" ca="1" si="32"/>
        <v>0</v>
      </c>
      <c r="AL71" s="45">
        <f t="shared" ca="1" si="33"/>
        <v>0</v>
      </c>
      <c r="AM71" s="45">
        <f t="shared" ca="1" si="34"/>
        <v>0</v>
      </c>
      <c r="AN71" s="45">
        <f t="shared" ca="1" si="35"/>
        <v>0</v>
      </c>
      <c r="AO71" s="45">
        <f ca="1">MIN(AL71,Inputs!$B$36)</f>
        <v>0</v>
      </c>
      <c r="AP71" s="45">
        <f ca="1">MIN(AN71,Inputs!$B$36-AO71)</f>
        <v>0</v>
      </c>
      <c r="AQ71" s="45">
        <f ca="1">MIN(AM71,Inputs!$B$36-AO71-AP71)</f>
        <v>0</v>
      </c>
      <c r="AR71" s="45">
        <f t="shared" ca="1" si="36"/>
        <v>0</v>
      </c>
      <c r="AS71" s="45">
        <f t="shared" ca="1" si="37"/>
        <v>0</v>
      </c>
      <c r="AT71" s="45">
        <f t="shared" ca="1" si="38"/>
        <v>0</v>
      </c>
      <c r="AU71" s="45">
        <f t="shared" ca="1" si="39"/>
        <v>0</v>
      </c>
      <c r="AV71" s="46">
        <f ca="1">AU71*Inputs!$B$35</f>
        <v>0</v>
      </c>
      <c r="AW71" s="46">
        <f ca="1">AR71*Inputs!$C$6+AT71*Inputs!$C$7+AS71*Inputs!$C$8</f>
        <v>0</v>
      </c>
      <c r="AX71" s="46">
        <f t="shared" ca="1" si="40"/>
        <v>47462912.799768761</v>
      </c>
      <c r="AY71" s="46">
        <f ca="1">IF(J71&gt;1,($CD$4)*Inputs!$B$55*((Z71+AA71+AB71)/(SUM(ILP_A_CostFocused!$C$9:$E$13))),0)</f>
        <v>0</v>
      </c>
      <c r="AZ71" s="46">
        <f t="shared" ca="1" si="41"/>
        <v>0</v>
      </c>
      <c r="BA71" s="41">
        <f t="shared" ca="1" si="42"/>
        <v>0</v>
      </c>
      <c r="BB71" s="41">
        <f t="shared" ca="1" si="43"/>
        <v>1</v>
      </c>
      <c r="BC71" s="41">
        <f t="shared" ca="1" si="44"/>
        <v>1</v>
      </c>
      <c r="BD71" s="41">
        <f t="shared" ca="1" si="45"/>
        <v>1</v>
      </c>
    </row>
    <row r="72" spans="1:56" ht="15" customHeight="1" x14ac:dyDescent="0.3">
      <c r="A72" s="41">
        <v>65</v>
      </c>
      <c r="B72" s="42">
        <f t="shared" ref="B72:B103" ca="1" si="52">RAND()</f>
        <v>0.46082821544289787</v>
      </c>
      <c r="C72" s="43">
        <f ca="1">IF(B72&lt;=Inputs!$C$40,Inputs!$D$40,IF(B72&lt;=Inputs!$C$41,Inputs!$D$41,Inputs!$D$42))</f>
        <v>1</v>
      </c>
      <c r="D72" s="42">
        <f t="shared" ca="1" si="50"/>
        <v>1.1374312717113311E-2</v>
      </c>
      <c r="E72" s="42">
        <f t="shared" ca="1" si="50"/>
        <v>0.29393797283640011</v>
      </c>
      <c r="F72" s="42">
        <f t="shared" ca="1" si="50"/>
        <v>0.44330570654300439</v>
      </c>
      <c r="G72" s="42">
        <f t="shared" ca="1" si="50"/>
        <v>0.51804986276266607</v>
      </c>
      <c r="H72" s="42">
        <f t="shared" ca="1" si="50"/>
        <v>0.24766881804185736</v>
      </c>
      <c r="I72" s="42">
        <f t="shared" ca="1" si="50"/>
        <v>0.85274549796672983</v>
      </c>
      <c r="J72" s="43">
        <f ca="1">IF(I72&lt;Inputs!$B$54,1+Inputs!$B$55,1)</f>
        <v>1</v>
      </c>
      <c r="K72" s="42">
        <f t="shared" ca="1" si="51"/>
        <v>0.61480429419619875</v>
      </c>
      <c r="L72" s="42">
        <f t="shared" ca="1" si="51"/>
        <v>0.42575761681860891</v>
      </c>
      <c r="M72" s="42">
        <f t="shared" ca="1" si="51"/>
        <v>0.45626632709507586</v>
      </c>
      <c r="N72" s="42">
        <f t="shared" ca="1" si="51"/>
        <v>0.79930593655247228</v>
      </c>
      <c r="O72" s="42">
        <f t="shared" ca="1" si="51"/>
        <v>0.69000723429884403</v>
      </c>
      <c r="P72" s="42">
        <f t="shared" ca="1" si="51"/>
        <v>9.700004859979372E-2</v>
      </c>
      <c r="Q72" s="42">
        <f t="shared" ca="1" si="51"/>
        <v>0.20358951150547455</v>
      </c>
      <c r="R72" s="42">
        <f t="shared" ca="1" si="51"/>
        <v>0.64177804330483768</v>
      </c>
      <c r="S72" s="42">
        <f t="shared" ca="1" si="51"/>
        <v>0.74847808789474279</v>
      </c>
      <c r="T72" s="42">
        <f t="shared" ca="1" si="51"/>
        <v>0.24789878524894271</v>
      </c>
      <c r="U72" s="44">
        <f ca="1">(IF(D72&gt;=Inputs!$E$12,1,IF(K72&lt;=Inputs!$C$46,Inputs!$D$46,IF(K72&lt;=Inputs!$C$47,Inputs!$D$47,Inputs!$D$48))))*((Inputs!$B$28+(P72-0.5)*2*Inputs!$B$53)/Inputs!$B$28)</f>
        <v>0.2987763159370439</v>
      </c>
      <c r="V72" s="44">
        <f ca="1">(IF(E72&gt;=Inputs!$E$13,1,IF(L72&lt;=Inputs!$C$46,Inputs!$D$46,IF(L72&lt;=Inputs!$C$47,Inputs!$D$47,Inputs!$D$48))))*((Inputs!$B$29+(Q72-0.5)*2*Inputs!$B$53)/Inputs!$B$29)</f>
        <v>0.99701199104340199</v>
      </c>
      <c r="W72" s="44">
        <f ca="1">(IF(F72&gt;=Inputs!$E$14,1,IF(M72&lt;=Inputs!$C$46,Inputs!$D$46,IF(M72&lt;=Inputs!$C$47,Inputs!$D$47,Inputs!$D$48))))*((Inputs!$B$30+(R72-0.5)*2*Inputs!$B$53)/Inputs!$B$30)</f>
        <v>1.0014249049578376</v>
      </c>
      <c r="X72" s="44">
        <f ca="1">(IF(G72&gt;=Inputs!$E$15,1,IF(N72&lt;=Inputs!$C$46,Inputs!$D$46,IF(N72&lt;=Inputs!$C$47,Inputs!$D$47,Inputs!$D$48))))*((Inputs!$B$31+(S72-0.5)*2*Inputs!$B$53)/Inputs!$B$31)</f>
        <v>1.0025226201816726</v>
      </c>
      <c r="Y72" s="44">
        <f ca="1">(IF(H72&gt;=Inputs!$E$16,1,IF(O72&lt;=Inputs!$C$46,Inputs!$D$46,IF(O72&lt;=Inputs!$C$47,Inputs!$D$47,Inputs!$D$48))))*((Inputs!$B$32+(T72-0.5)*2*Inputs!$B$53)/Inputs!$B$32)</f>
        <v>0.99746377047534152</v>
      </c>
      <c r="Z72" s="45">
        <f ca="1">ILP_A_CostFocused!$C$9*U72+ILP_A_CostFocused!$C$10*V72+ILP_A_CostFocused!$C$11*W72+ILP_A_CostFocused!$C$12*X72+ILP_A_CostFocused!$C$13*Y72</f>
        <v>13039.878512118141</v>
      </c>
      <c r="AA72" s="45">
        <f ca="1">ILP_A_CostFocused!$D$9*U72+ILP_A_CostFocused!$D$10*V72+ILP_A_CostFocused!$D$11*W72+ILP_A_CostFocused!$D$12*X72+ILP_A_CostFocused!$D$13*Y72</f>
        <v>14982.777018665955</v>
      </c>
      <c r="AB72" s="45">
        <f ca="1">ILP_A_CostFocused!$E$9*U72+ILP_A_CostFocused!$E$10*V72+ILP_A_CostFocused!$E$11*W72+ILP_A_CostFocused!$E$12*X72+ILP_A_CostFocused!$E$13*Y72</f>
        <v>6936.8470317550455</v>
      </c>
      <c r="AC72" s="45">
        <f ca="1">Inputs!$B$6*$C72</f>
        <v>18000</v>
      </c>
      <c r="AD72" s="45">
        <f ca="1">Inputs!$B$7*$C72</f>
        <v>15000</v>
      </c>
      <c r="AE72" s="45">
        <f ca="1">Inputs!$B$8*$C72</f>
        <v>12000</v>
      </c>
      <c r="AF72" s="45">
        <f t="shared" ref="AF72:AF103" ca="1" si="53">MAX(0,AC72-Z72)</f>
        <v>4960.1214878818591</v>
      </c>
      <c r="AG72" s="45">
        <f t="shared" ref="AG72:AG103" ca="1" si="54">MAX(0,AD72-AA72)</f>
        <v>17.222981334045471</v>
      </c>
      <c r="AH72" s="45">
        <f t="shared" ref="AH72:AH103" ca="1" si="55">MAX(0,AE72-AB72)</f>
        <v>5063.1529682449545</v>
      </c>
      <c r="AI72" s="45">
        <f t="shared" ref="AI72:AI103" ca="1" si="56">SUM(AF72:AH72)</f>
        <v>10040.497437460859</v>
      </c>
      <c r="AJ72" s="45">
        <f ca="1">U72*(Inputs!$B$12-ILP_A_CostFocused!$F$9)+V72*(Inputs!$B$13-ILP_A_CostFocused!$F$10)+W72*(Inputs!$B$14-ILP_A_CostFocused!$F$11)+X72*(Inputs!$B$15-ILP_A_CostFocused!$F$12)+Y72*(Inputs!$B$16-ILP_A_CostFocused!$F$13)</f>
        <v>23789.838130823271</v>
      </c>
      <c r="AK72" s="45">
        <f t="shared" ref="AK72:AK103" ca="1" si="57">MIN(AI72,MAX(0,AJ72))</f>
        <v>10040.497437460859</v>
      </c>
      <c r="AL72" s="45">
        <f t="shared" ref="AL72:AL103" ca="1" si="58">AF72*(1-(IF(AI72&gt;0,AK72/AI72,0)))</f>
        <v>0</v>
      </c>
      <c r="AM72" s="45">
        <f t="shared" ref="AM72:AM103" ca="1" si="59">AG72*(1-(IF(AI72&gt;0,AK72/AI72,0)))</f>
        <v>0</v>
      </c>
      <c r="AN72" s="45">
        <f t="shared" ref="AN72:AN103" ca="1" si="60">AH72*(1-(IF(AI72&gt;0,AK72/AI72,0)))</f>
        <v>0</v>
      </c>
      <c r="AO72" s="45">
        <f ca="1">MIN(AL72,Inputs!$B$36)</f>
        <v>0</v>
      </c>
      <c r="AP72" s="45">
        <f ca="1">MIN(AN72,Inputs!$B$36-AO72)</f>
        <v>0</v>
      </c>
      <c r="AQ72" s="45">
        <f ca="1">MIN(AM72,Inputs!$B$36-AO72-AP72)</f>
        <v>0</v>
      </c>
      <c r="AR72" s="45">
        <f t="shared" ref="AR72:AR103" ca="1" si="61">AL72-AO72</f>
        <v>0</v>
      </c>
      <c r="AS72" s="45">
        <f t="shared" ref="AS72:AS103" ca="1" si="62">AN72-AP72</f>
        <v>0</v>
      </c>
      <c r="AT72" s="45">
        <f t="shared" ref="AT72:AT103" ca="1" si="63">AM72-AQ72</f>
        <v>0</v>
      </c>
      <c r="AU72" s="45">
        <f t="shared" ref="AU72:AU103" ca="1" si="64">AO72+AP72+AQ72</f>
        <v>0</v>
      </c>
      <c r="AV72" s="46">
        <f ca="1">AU72*Inputs!$B$35</f>
        <v>0</v>
      </c>
      <c r="AW72" s="46">
        <f ca="1">AR72*Inputs!$C$6+AT72*Inputs!$C$7+AS72*Inputs!$C$8</f>
        <v>0</v>
      </c>
      <c r="AX72" s="46">
        <f t="shared" ref="AX72:AX103" ca="1" si="65">Z72*$CA$4+AA72*$CB$4+AB72*$CC$4</f>
        <v>36765253.173580311</v>
      </c>
      <c r="AY72" s="46">
        <f ca="1">IF(J72&gt;1,($CD$4)*Inputs!$B$55*((Z72+AA72+AB72)/(SUM(ILP_A_CostFocused!$C$9:$E$13))),0)</f>
        <v>0</v>
      </c>
      <c r="AZ72" s="46">
        <f t="shared" ref="AZ72:AZ103" ca="1" si="66">AV72+AW72</f>
        <v>0</v>
      </c>
      <c r="BA72" s="41">
        <f t="shared" ref="BA72:BA103" ca="1" si="67">IF(AR72+AT72+AS72&gt;0,1,0)</f>
        <v>0</v>
      </c>
      <c r="BB72" s="41">
        <f t="shared" ref="BB72:BB103" ca="1" si="68">IF(AR72=0,1,0)</f>
        <v>1</v>
      </c>
      <c r="BC72" s="41">
        <f t="shared" ref="BC72:BC103" ca="1" si="69">IF(AT72=0,1,0)</f>
        <v>1</v>
      </c>
      <c r="BD72" s="41">
        <f t="shared" ref="BD72:BD103" ca="1" si="70">IF(AS72=0,1,0)</f>
        <v>1</v>
      </c>
    </row>
    <row r="73" spans="1:56" ht="15" customHeight="1" x14ac:dyDescent="0.3">
      <c r="A73" s="41">
        <v>66</v>
      </c>
      <c r="B73" s="42">
        <f t="shared" ca="1" si="52"/>
        <v>0.26839516030166199</v>
      </c>
      <c r="C73" s="43">
        <f ca="1">IF(B73&lt;=Inputs!$C$40,Inputs!$D$40,IF(B73&lt;=Inputs!$C$41,Inputs!$D$41,Inputs!$D$42))</f>
        <v>1</v>
      </c>
      <c r="D73" s="42">
        <f t="shared" ca="1" si="50"/>
        <v>0.11430796287422462</v>
      </c>
      <c r="E73" s="42">
        <f t="shared" ca="1" si="50"/>
        <v>0.53377283001036546</v>
      </c>
      <c r="F73" s="42">
        <f t="shared" ca="1" si="50"/>
        <v>0.25542461084571078</v>
      </c>
      <c r="G73" s="42">
        <f t="shared" ca="1" si="50"/>
        <v>1.0108717068327611E-2</v>
      </c>
      <c r="H73" s="42">
        <f t="shared" ca="1" si="50"/>
        <v>0.87253598322744153</v>
      </c>
      <c r="I73" s="42">
        <f t="shared" ca="1" si="50"/>
        <v>0.80238828836436138</v>
      </c>
      <c r="J73" s="43">
        <f ca="1">IF(I73&lt;Inputs!$B$54,1+Inputs!$B$55,1)</f>
        <v>1</v>
      </c>
      <c r="K73" s="42">
        <f t="shared" ca="1" si="51"/>
        <v>0.59593554771248358</v>
      </c>
      <c r="L73" s="42">
        <f t="shared" ca="1" si="51"/>
        <v>0.40617699835903798</v>
      </c>
      <c r="M73" s="42">
        <f t="shared" ca="1" si="51"/>
        <v>0.66927722045158655</v>
      </c>
      <c r="N73" s="42">
        <f t="shared" ca="1" si="51"/>
        <v>0.48548443676000363</v>
      </c>
      <c r="O73" s="42">
        <f t="shared" ca="1" si="51"/>
        <v>0.18384114113886252</v>
      </c>
      <c r="P73" s="42">
        <f t="shared" ca="1" si="51"/>
        <v>0.42096636072964932</v>
      </c>
      <c r="Q73" s="42">
        <f t="shared" ca="1" si="51"/>
        <v>8.0542916034708867E-2</v>
      </c>
      <c r="R73" s="42">
        <f t="shared" ca="1" si="51"/>
        <v>0.59818210754260903</v>
      </c>
      <c r="S73" s="42">
        <f t="shared" ca="1" si="51"/>
        <v>0.61127341729361595</v>
      </c>
      <c r="T73" s="42">
        <f t="shared" ca="1" si="51"/>
        <v>0.27659003569517349</v>
      </c>
      <c r="U73" s="44">
        <f ca="1">(IF(D73&gt;=Inputs!$E$12,1,IF(K73&lt;=Inputs!$C$46,Inputs!$D$46,IF(K73&lt;=Inputs!$C$47,Inputs!$D$47,Inputs!$D$48))))*((Inputs!$B$28+(P73-0.5)*2*Inputs!$B$53)/Inputs!$B$28)</f>
        <v>0.99920006437985476</v>
      </c>
      <c r="V73" s="44">
        <f ca="1">(IF(E73&gt;=Inputs!$E$13,1,IF(L73&lt;=Inputs!$C$46,Inputs!$D$46,IF(L73&lt;=Inputs!$C$47,Inputs!$D$47,Inputs!$D$48))))*((Inputs!$B$29+(Q73-0.5)*2*Inputs!$B$53)/Inputs!$B$29)</f>
        <v>0.99577160197615633</v>
      </c>
      <c r="W73" s="44">
        <f ca="1">(IF(F73&gt;=Inputs!$E$14,1,IF(M73&lt;=Inputs!$C$46,Inputs!$D$46,IF(M73&lt;=Inputs!$C$47,Inputs!$D$47,Inputs!$D$48))))*((Inputs!$B$30+(R73-0.5)*2*Inputs!$B$53)/Inputs!$B$30)</f>
        <v>1.0009867548496745</v>
      </c>
      <c r="X73" s="44">
        <f ca="1">(IF(G73&gt;=Inputs!$E$15,1,IF(N73&lt;=Inputs!$C$46,Inputs!$D$46,IF(N73&lt;=Inputs!$C$47,Inputs!$D$47,Inputs!$D$48))))*((Inputs!$B$31+(S73-0.5)*2*Inputs!$B$53)/Inputs!$B$31)</f>
        <v>0.30033890380901601</v>
      </c>
      <c r="Y73" s="44">
        <f ca="1">(IF(H73&gt;=Inputs!$E$16,1,IF(O73&lt;=Inputs!$C$46,Inputs!$D$46,IF(O73&lt;=Inputs!$C$47,Inputs!$D$47,Inputs!$D$48))))*((Inputs!$B$32+(T73-0.5)*2*Inputs!$B$53)/Inputs!$B$32)</f>
        <v>0.99775241484602795</v>
      </c>
      <c r="Z73" s="45">
        <f ca="1">ILP_A_CostFocused!$C$9*U73+ILP_A_CostFocused!$C$10*V73+ILP_A_CostFocused!$C$11*W73+ILP_A_CostFocused!$C$12*X73+ILP_A_CostFocused!$C$13*Y73</f>
        <v>10437.598919980803</v>
      </c>
      <c r="AA73" s="45">
        <f ca="1">ILP_A_CostFocused!$D$9*U73+ILP_A_CostFocused!$D$10*V73+ILP_A_CostFocused!$D$11*W73+ILP_A_CostFocused!$D$12*X73+ILP_A_CostFocused!$D$13*Y73</f>
        <v>14253.204138821982</v>
      </c>
      <c r="AB73" s="45">
        <f ca="1">ILP_A_CostFocused!$E$9*U73+ILP_A_CostFocused!$E$10*V73+ILP_A_CostFocused!$E$11*W73+ILP_A_CostFocused!$E$12*X73+ILP_A_CostFocused!$E$13*Y73</f>
        <v>11973.944153020504</v>
      </c>
      <c r="AC73" s="45">
        <f ca="1">Inputs!$B$6*$C73</f>
        <v>18000</v>
      </c>
      <c r="AD73" s="45">
        <f ca="1">Inputs!$B$7*$C73</f>
        <v>15000</v>
      </c>
      <c r="AE73" s="45">
        <f ca="1">Inputs!$B$8*$C73</f>
        <v>12000</v>
      </c>
      <c r="AF73" s="45">
        <f t="shared" ca="1" si="53"/>
        <v>7562.4010800191973</v>
      </c>
      <c r="AG73" s="45">
        <f t="shared" ca="1" si="54"/>
        <v>746.79586117801773</v>
      </c>
      <c r="AH73" s="45">
        <f t="shared" ca="1" si="55"/>
        <v>26.055846979495982</v>
      </c>
      <c r="AI73" s="45">
        <f t="shared" ca="1" si="56"/>
        <v>8335.252788176711</v>
      </c>
      <c r="AJ73" s="45">
        <f ca="1">U73*(Inputs!$B$12-ILP_A_CostFocused!$F$9)+V73*(Inputs!$B$13-ILP_A_CostFocused!$F$10)+W73*(Inputs!$B$14-ILP_A_CostFocused!$F$11)+X73*(Inputs!$B$15-ILP_A_CostFocused!$F$12)+Y73*(Inputs!$B$16-ILP_A_CostFocused!$F$13)</f>
        <v>24846.437127364956</v>
      </c>
      <c r="AK73" s="45">
        <f t="shared" ca="1" si="57"/>
        <v>8335.252788176711</v>
      </c>
      <c r="AL73" s="45">
        <f t="shared" ca="1" si="58"/>
        <v>0</v>
      </c>
      <c r="AM73" s="45">
        <f t="shared" ca="1" si="59"/>
        <v>0</v>
      </c>
      <c r="AN73" s="45">
        <f t="shared" ca="1" si="60"/>
        <v>0</v>
      </c>
      <c r="AO73" s="45">
        <f ca="1">MIN(AL73,Inputs!$B$36)</f>
        <v>0</v>
      </c>
      <c r="AP73" s="45">
        <f ca="1">MIN(AN73,Inputs!$B$36-AO73)</f>
        <v>0</v>
      </c>
      <c r="AQ73" s="45">
        <f ca="1">MIN(AM73,Inputs!$B$36-AO73-AP73)</f>
        <v>0</v>
      </c>
      <c r="AR73" s="45">
        <f t="shared" ca="1" si="61"/>
        <v>0</v>
      </c>
      <c r="AS73" s="45">
        <f t="shared" ca="1" si="62"/>
        <v>0</v>
      </c>
      <c r="AT73" s="45">
        <f t="shared" ca="1" si="63"/>
        <v>0</v>
      </c>
      <c r="AU73" s="45">
        <f t="shared" ca="1" si="64"/>
        <v>0</v>
      </c>
      <c r="AV73" s="46">
        <f ca="1">AU73*Inputs!$B$35</f>
        <v>0</v>
      </c>
      <c r="AW73" s="46">
        <f ca="1">AR73*Inputs!$C$6+AT73*Inputs!$C$7+AS73*Inputs!$C$8</f>
        <v>0</v>
      </c>
      <c r="AX73" s="46">
        <f t="shared" ca="1" si="65"/>
        <v>38780081.043162107</v>
      </c>
      <c r="AY73" s="46">
        <f ca="1">IF(J73&gt;1,($CD$4)*Inputs!$B$55*((Z73+AA73+AB73)/(SUM(ILP_A_CostFocused!$C$9:$E$13))),0)</f>
        <v>0</v>
      </c>
      <c r="AZ73" s="46">
        <f t="shared" ca="1" si="66"/>
        <v>0</v>
      </c>
      <c r="BA73" s="41">
        <f t="shared" ca="1" si="67"/>
        <v>0</v>
      </c>
      <c r="BB73" s="41">
        <f t="shared" ca="1" si="68"/>
        <v>1</v>
      </c>
      <c r="BC73" s="41">
        <f t="shared" ca="1" si="69"/>
        <v>1</v>
      </c>
      <c r="BD73" s="41">
        <f t="shared" ca="1" si="70"/>
        <v>1</v>
      </c>
    </row>
    <row r="74" spans="1:56" ht="15" customHeight="1" x14ac:dyDescent="0.3">
      <c r="A74" s="41">
        <v>67</v>
      </c>
      <c r="B74" s="42">
        <f t="shared" ca="1" si="52"/>
        <v>0.87431578665050125</v>
      </c>
      <c r="C74" s="43">
        <f ca="1">IF(B74&lt;=Inputs!$C$40,Inputs!$D$40,IF(B74&lt;=Inputs!$C$41,Inputs!$D$41,Inputs!$D$42))</f>
        <v>1.1499999999999999</v>
      </c>
      <c r="D74" s="42">
        <f t="shared" ca="1" si="50"/>
        <v>0.9192440517473478</v>
      </c>
      <c r="E74" s="42">
        <f t="shared" ca="1" si="50"/>
        <v>0.66474774407848469</v>
      </c>
      <c r="F74" s="42">
        <f t="shared" ca="1" si="50"/>
        <v>0.57002207571738506</v>
      </c>
      <c r="G74" s="42">
        <f t="shared" ca="1" si="50"/>
        <v>0.76762418953559453</v>
      </c>
      <c r="H74" s="42">
        <f t="shared" ca="1" si="50"/>
        <v>0.95393557485495395</v>
      </c>
      <c r="I74" s="42">
        <f t="shared" ca="1" si="50"/>
        <v>0.87803450187120935</v>
      </c>
      <c r="J74" s="43">
        <f ca="1">IF(I74&lt;Inputs!$B$54,1+Inputs!$B$55,1)</f>
        <v>1</v>
      </c>
      <c r="K74" s="42">
        <f t="shared" ca="1" si="51"/>
        <v>0.21041572245019824</v>
      </c>
      <c r="L74" s="42">
        <f t="shared" ca="1" si="51"/>
        <v>0.59398480099918449</v>
      </c>
      <c r="M74" s="42">
        <f t="shared" ca="1" si="51"/>
        <v>1.5010540338528666E-2</v>
      </c>
      <c r="N74" s="42">
        <f t="shared" ca="1" si="51"/>
        <v>0.11628329021098494</v>
      </c>
      <c r="O74" s="42">
        <f t="shared" ca="1" si="51"/>
        <v>0.17735495325396933</v>
      </c>
      <c r="P74" s="42">
        <f t="shared" ca="1" si="51"/>
        <v>0.5945336620415651</v>
      </c>
      <c r="Q74" s="42">
        <f t="shared" ca="1" si="51"/>
        <v>0.46709984177287567</v>
      </c>
      <c r="R74" s="42">
        <f t="shared" ca="1" si="51"/>
        <v>0.62358412169712052</v>
      </c>
      <c r="S74" s="42">
        <f t="shared" ca="1" si="51"/>
        <v>0.87281358895706307</v>
      </c>
      <c r="T74" s="42">
        <f t="shared" ca="1" si="51"/>
        <v>0.39038158657810895</v>
      </c>
      <c r="U74" s="44">
        <f ca="1">(IF(D74&gt;=Inputs!$E$12,1,IF(K74&lt;=Inputs!$C$46,Inputs!$D$46,IF(K74&lt;=Inputs!$C$47,Inputs!$D$47,Inputs!$D$48))))*((Inputs!$B$28+(P74-0.5)*2*Inputs!$B$53)/Inputs!$B$28)</f>
        <v>1.0009568184417161</v>
      </c>
      <c r="V74" s="44">
        <f ca="1">(IF(E74&gt;=Inputs!$E$13,1,IF(L74&lt;=Inputs!$C$46,Inputs!$D$46,IF(L74&lt;=Inputs!$C$47,Inputs!$D$47,Inputs!$D$48))))*((Inputs!$B$29+(Q74-0.5)*2*Inputs!$B$53)/Inputs!$B$29)</f>
        <v>0.99966834517916203</v>
      </c>
      <c r="W74" s="44">
        <f ca="1">(IF(F74&gt;=Inputs!$E$14,1,IF(M74&lt;=Inputs!$C$46,Inputs!$D$46,IF(M74&lt;=Inputs!$C$47,Inputs!$D$47,Inputs!$D$48))))*((Inputs!$B$30+(R74-0.5)*2*Inputs!$B$53)/Inputs!$B$30)</f>
        <v>1.001242051474343</v>
      </c>
      <c r="X74" s="44">
        <f ca="1">(IF(G74&gt;=Inputs!$E$15,1,IF(N74&lt;=Inputs!$C$46,Inputs!$D$46,IF(N74&lt;=Inputs!$C$47,Inputs!$D$47,Inputs!$D$48))))*((Inputs!$B$31+(S74-0.5)*2*Inputs!$B$53)/Inputs!$B$31)</f>
        <v>1.0037849095325591</v>
      </c>
      <c r="Y74" s="44">
        <f ca="1">(IF(H74&gt;=Inputs!$E$16,1,IF(O74&lt;=Inputs!$C$46,Inputs!$D$46,IF(O74&lt;=Inputs!$C$47,Inputs!$D$47,Inputs!$D$48))))*((Inputs!$B$32+(T74-0.5)*2*Inputs!$B$53)/Inputs!$B$32)</f>
        <v>0.99889719906014196</v>
      </c>
      <c r="Z74" s="45">
        <f ca="1">ILP_A_CostFocused!$C$9*U74+ILP_A_CostFocused!$C$10*V74+ILP_A_CostFocused!$C$11*W74+ILP_A_CostFocused!$C$12*X74+ILP_A_CostFocused!$C$13*Y74</f>
        <v>18047.65273008489</v>
      </c>
      <c r="AA74" s="45">
        <f ca="1">ILP_A_CostFocused!$D$9*U74+ILP_A_CostFocused!$D$10*V74+ILP_A_CostFocused!$D$11*W74+ILP_A_CostFocused!$D$12*X74+ILP_A_CostFocused!$D$13*Y74</f>
        <v>15007.061130677896</v>
      </c>
      <c r="AB74" s="45">
        <f ca="1">ILP_A_CostFocused!$E$9*U74+ILP_A_CostFocused!$E$10*V74+ILP_A_CostFocused!$E$11*W74+ILP_A_CostFocused!$E$12*X74+ILP_A_CostFocused!$E$13*Y74</f>
        <v>12005.297149640333</v>
      </c>
      <c r="AC74" s="45">
        <f ca="1">Inputs!$B$6*$C74</f>
        <v>20700</v>
      </c>
      <c r="AD74" s="45">
        <f ca="1">Inputs!$B$7*$C74</f>
        <v>17250</v>
      </c>
      <c r="AE74" s="45">
        <f ca="1">Inputs!$B$8*$C74</f>
        <v>13799.999999999998</v>
      </c>
      <c r="AF74" s="45">
        <f t="shared" ca="1" si="53"/>
        <v>2652.3472699151098</v>
      </c>
      <c r="AG74" s="45">
        <f t="shared" ca="1" si="54"/>
        <v>2242.9388693221044</v>
      </c>
      <c r="AH74" s="45">
        <f t="shared" ca="1" si="55"/>
        <v>1794.7028503596648</v>
      </c>
      <c r="AI74" s="45">
        <f t="shared" ca="1" si="56"/>
        <v>6689.988989596879</v>
      </c>
      <c r="AJ74" s="45">
        <f ca="1">U74*(Inputs!$B$12-ILP_A_CostFocused!$F$9)+V74*(Inputs!$B$13-ILP_A_CostFocused!$F$10)+W74*(Inputs!$B$14-ILP_A_CostFocused!$F$11)+X74*(Inputs!$B$15-ILP_A_CostFocused!$F$12)+Y74*(Inputs!$B$16-ILP_A_CostFocused!$F$13)</f>
        <v>24995.678486631903</v>
      </c>
      <c r="AK74" s="45">
        <f t="shared" ca="1" si="57"/>
        <v>6689.988989596879</v>
      </c>
      <c r="AL74" s="45">
        <f t="shared" ca="1" si="58"/>
        <v>0</v>
      </c>
      <c r="AM74" s="45">
        <f t="shared" ca="1" si="59"/>
        <v>0</v>
      </c>
      <c r="AN74" s="45">
        <f t="shared" ca="1" si="60"/>
        <v>0</v>
      </c>
      <c r="AO74" s="45">
        <f ca="1">MIN(AL74,Inputs!$B$36)</f>
        <v>0</v>
      </c>
      <c r="AP74" s="45">
        <f ca="1">MIN(AN74,Inputs!$B$36-AO74)</f>
        <v>0</v>
      </c>
      <c r="AQ74" s="45">
        <f ca="1">MIN(AM74,Inputs!$B$36-AO74-AP74)</f>
        <v>0</v>
      </c>
      <c r="AR74" s="45">
        <f t="shared" ca="1" si="61"/>
        <v>0</v>
      </c>
      <c r="AS74" s="45">
        <f t="shared" ca="1" si="62"/>
        <v>0</v>
      </c>
      <c r="AT74" s="45">
        <f t="shared" ca="1" si="63"/>
        <v>0</v>
      </c>
      <c r="AU74" s="45">
        <f t="shared" ca="1" si="64"/>
        <v>0</v>
      </c>
      <c r="AV74" s="46">
        <f ca="1">AU74*Inputs!$B$35</f>
        <v>0</v>
      </c>
      <c r="AW74" s="46">
        <f ca="1">AR74*Inputs!$C$6+AT74*Inputs!$C$7+AS74*Inputs!$C$8</f>
        <v>0</v>
      </c>
      <c r="AX74" s="46">
        <f t="shared" ca="1" si="65"/>
        <v>47454708.813239157</v>
      </c>
      <c r="AY74" s="46">
        <f ca="1">IF(J74&gt;1,($CD$4)*Inputs!$B$55*((Z74+AA74+AB74)/(SUM(ILP_A_CostFocused!$C$9:$E$13))),0)</f>
        <v>0</v>
      </c>
      <c r="AZ74" s="46">
        <f t="shared" ca="1" si="66"/>
        <v>0</v>
      </c>
      <c r="BA74" s="41">
        <f t="shared" ca="1" si="67"/>
        <v>0</v>
      </c>
      <c r="BB74" s="41">
        <f t="shared" ca="1" si="68"/>
        <v>1</v>
      </c>
      <c r="BC74" s="41">
        <f t="shared" ca="1" si="69"/>
        <v>1</v>
      </c>
      <c r="BD74" s="41">
        <f t="shared" ca="1" si="70"/>
        <v>1</v>
      </c>
    </row>
    <row r="75" spans="1:56" ht="15" customHeight="1" x14ac:dyDescent="0.3">
      <c r="A75" s="41">
        <v>68</v>
      </c>
      <c r="B75" s="42">
        <f t="shared" ca="1" si="52"/>
        <v>0.97962098480254267</v>
      </c>
      <c r="C75" s="43">
        <f ca="1">IF(B75&lt;=Inputs!$C$40,Inputs!$D$40,IF(B75&lt;=Inputs!$C$41,Inputs!$D$41,Inputs!$D$42))</f>
        <v>1.1499999999999999</v>
      </c>
      <c r="D75" s="42">
        <f t="shared" ca="1" si="50"/>
        <v>0.54051790585698978</v>
      </c>
      <c r="E75" s="42">
        <f t="shared" ca="1" si="50"/>
        <v>0.12431953568449994</v>
      </c>
      <c r="F75" s="42">
        <f t="shared" ca="1" si="50"/>
        <v>0.4893820774208808</v>
      </c>
      <c r="G75" s="42">
        <f t="shared" ca="1" si="50"/>
        <v>1.0247873474138247E-2</v>
      </c>
      <c r="H75" s="42">
        <f t="shared" ca="1" si="50"/>
        <v>0.62028643021149832</v>
      </c>
      <c r="I75" s="42">
        <f t="shared" ca="1" si="50"/>
        <v>0.27657182807747249</v>
      </c>
      <c r="J75" s="43">
        <f ca="1">IF(I75&lt;Inputs!$B$54,1+Inputs!$B$55,1)</f>
        <v>1</v>
      </c>
      <c r="K75" s="42">
        <f t="shared" ca="1" si="51"/>
        <v>0.6243915145138903</v>
      </c>
      <c r="L75" s="42">
        <f t="shared" ca="1" si="51"/>
        <v>0.14982546900859628</v>
      </c>
      <c r="M75" s="42">
        <f t="shared" ca="1" si="51"/>
        <v>0.86760151010461062</v>
      </c>
      <c r="N75" s="42">
        <f t="shared" ca="1" si="51"/>
        <v>0.62145717617735574</v>
      </c>
      <c r="O75" s="42">
        <f t="shared" ca="1" si="51"/>
        <v>0.47863300116112362</v>
      </c>
      <c r="P75" s="42">
        <f t="shared" ca="1" si="51"/>
        <v>0.85588077655144623</v>
      </c>
      <c r="Q75" s="42">
        <f t="shared" ca="1" si="51"/>
        <v>0.13163702522506049</v>
      </c>
      <c r="R75" s="42">
        <f t="shared" ca="1" si="51"/>
        <v>0.33583531013208145</v>
      </c>
      <c r="S75" s="42">
        <f t="shared" ca="1" si="51"/>
        <v>0.29678220821455281</v>
      </c>
      <c r="T75" s="42">
        <f t="shared" ca="1" si="51"/>
        <v>0.16312708952154442</v>
      </c>
      <c r="U75" s="44">
        <f ca="1">(IF(D75&gt;=Inputs!$E$12,1,IF(K75&lt;=Inputs!$C$46,Inputs!$D$46,IF(K75&lt;=Inputs!$C$47,Inputs!$D$47,Inputs!$D$48))))*((Inputs!$B$28+(P75-0.5)*2*Inputs!$B$53)/Inputs!$B$28)</f>
        <v>1.0036020321513304</v>
      </c>
      <c r="V75" s="44">
        <f ca="1">(IF(E75&gt;=Inputs!$E$13,1,IF(L75&lt;=Inputs!$C$46,Inputs!$D$46,IF(L75&lt;=Inputs!$C$47,Inputs!$D$47,Inputs!$D$48))))*((Inputs!$B$29+(Q75-0.5)*2*Inputs!$B$53)/Inputs!$B$29)</f>
        <v>0.99628666356073647</v>
      </c>
      <c r="W75" s="44">
        <f ca="1">(IF(F75&gt;=Inputs!$E$14,1,IF(M75&lt;=Inputs!$C$46,Inputs!$D$46,IF(M75&lt;=Inputs!$C$47,Inputs!$D$47,Inputs!$D$48))))*((Inputs!$B$30+(R75-0.5)*2*Inputs!$B$53)/Inputs!$B$30)</f>
        <v>0.99835010361941789</v>
      </c>
      <c r="X75" s="44">
        <f ca="1">(IF(G75&gt;=Inputs!$E$15,1,IF(N75&lt;=Inputs!$C$46,Inputs!$D$46,IF(N75&lt;=Inputs!$C$47,Inputs!$D$47,Inputs!$D$48))))*((Inputs!$B$31+(S75-0.5)*2*Inputs!$B$53)/Inputs!$B$31)</f>
        <v>0.29938106256308999</v>
      </c>
      <c r="Y75" s="44">
        <f ca="1">(IF(H75&gt;=Inputs!$E$16,1,IF(O75&lt;=Inputs!$C$46,Inputs!$D$46,IF(O75&lt;=Inputs!$C$47,Inputs!$D$47,Inputs!$D$48))))*((Inputs!$B$32+(T75-0.5)*2*Inputs!$B$53)/Inputs!$B$32)</f>
        <v>0.99661093651430122</v>
      </c>
      <c r="Z75" s="45">
        <f ca="1">ILP_A_CostFocused!$C$9*U75+ILP_A_CostFocused!$C$10*V75+ILP_A_CostFocused!$C$11*W75+ILP_A_CostFocused!$C$12*X75+ILP_A_CostFocused!$C$13*Y75</f>
        <v>10458.606354734977</v>
      </c>
      <c r="AA75" s="45">
        <f ca="1">ILP_A_CostFocused!$D$9*U75+ILP_A_CostFocused!$D$10*V75+ILP_A_CostFocused!$D$11*W75+ILP_A_CostFocused!$D$12*X75+ILP_A_CostFocused!$D$13*Y75</f>
        <v>14243.73217188568</v>
      </c>
      <c r="AB75" s="45">
        <f ca="1">ILP_A_CostFocused!$E$9*U75+ILP_A_CostFocused!$E$10*V75+ILP_A_CostFocused!$E$11*W75+ILP_A_CostFocused!$E$12*X75+ILP_A_CostFocused!$E$13*Y75</f>
        <v>12008.110616581114</v>
      </c>
      <c r="AC75" s="45">
        <f ca="1">Inputs!$B$6*$C75</f>
        <v>20700</v>
      </c>
      <c r="AD75" s="45">
        <f ca="1">Inputs!$B$7*$C75</f>
        <v>17250</v>
      </c>
      <c r="AE75" s="45">
        <f ca="1">Inputs!$B$8*$C75</f>
        <v>13799.999999999998</v>
      </c>
      <c r="AF75" s="45">
        <f t="shared" ca="1" si="53"/>
        <v>10241.393645265023</v>
      </c>
      <c r="AG75" s="45">
        <f t="shared" ca="1" si="54"/>
        <v>3006.2678281143199</v>
      </c>
      <c r="AH75" s="45">
        <f t="shared" ca="1" si="55"/>
        <v>1791.8893834188839</v>
      </c>
      <c r="AI75" s="45">
        <f t="shared" ca="1" si="56"/>
        <v>15039.550856798227</v>
      </c>
      <c r="AJ75" s="45">
        <f ca="1">U75*(Inputs!$B$12-ILP_A_CostFocused!$F$9)+V75*(Inputs!$B$13-ILP_A_CostFocused!$F$10)+W75*(Inputs!$B$14-ILP_A_CostFocused!$F$11)+X75*(Inputs!$B$15-ILP_A_CostFocused!$F$12)+Y75*(Inputs!$B$16-ILP_A_CostFocused!$F$13)</f>
        <v>24815.484806593853</v>
      </c>
      <c r="AK75" s="45">
        <f t="shared" ca="1" si="57"/>
        <v>15039.550856798227</v>
      </c>
      <c r="AL75" s="45">
        <f t="shared" ca="1" si="58"/>
        <v>0</v>
      </c>
      <c r="AM75" s="45">
        <f t="shared" ca="1" si="59"/>
        <v>0</v>
      </c>
      <c r="AN75" s="45">
        <f t="shared" ca="1" si="60"/>
        <v>0</v>
      </c>
      <c r="AO75" s="45">
        <f ca="1">MIN(AL75,Inputs!$B$36)</f>
        <v>0</v>
      </c>
      <c r="AP75" s="45">
        <f ca="1">MIN(AN75,Inputs!$B$36-AO75)</f>
        <v>0</v>
      </c>
      <c r="AQ75" s="45">
        <f ca="1">MIN(AM75,Inputs!$B$36-AO75-AP75)</f>
        <v>0</v>
      </c>
      <c r="AR75" s="45">
        <f t="shared" ca="1" si="61"/>
        <v>0</v>
      </c>
      <c r="AS75" s="45">
        <f t="shared" ca="1" si="62"/>
        <v>0</v>
      </c>
      <c r="AT75" s="45">
        <f t="shared" ca="1" si="63"/>
        <v>0</v>
      </c>
      <c r="AU75" s="45">
        <f t="shared" ca="1" si="64"/>
        <v>0</v>
      </c>
      <c r="AV75" s="46">
        <f ca="1">AU75*Inputs!$B$35</f>
        <v>0</v>
      </c>
      <c r="AW75" s="46">
        <f ca="1">AR75*Inputs!$C$6+AT75*Inputs!$C$7+AS75*Inputs!$C$8</f>
        <v>0</v>
      </c>
      <c r="AX75" s="46">
        <f t="shared" ca="1" si="65"/>
        <v>38828837.030327447</v>
      </c>
      <c r="AY75" s="46">
        <f ca="1">IF(J75&gt;1,($CD$4)*Inputs!$B$55*((Z75+AA75+AB75)/(SUM(ILP_A_CostFocused!$C$9:$E$13))),0)</f>
        <v>0</v>
      </c>
      <c r="AZ75" s="46">
        <f t="shared" ca="1" si="66"/>
        <v>0</v>
      </c>
      <c r="BA75" s="41">
        <f t="shared" ca="1" si="67"/>
        <v>0</v>
      </c>
      <c r="BB75" s="41">
        <f t="shared" ca="1" si="68"/>
        <v>1</v>
      </c>
      <c r="BC75" s="41">
        <f t="shared" ca="1" si="69"/>
        <v>1</v>
      </c>
      <c r="BD75" s="41">
        <f t="shared" ca="1" si="70"/>
        <v>1</v>
      </c>
    </row>
    <row r="76" spans="1:56" ht="15" customHeight="1" x14ac:dyDescent="0.3">
      <c r="A76" s="41">
        <v>69</v>
      </c>
      <c r="B76" s="42">
        <f t="shared" ca="1" si="52"/>
        <v>0.26615284623226543</v>
      </c>
      <c r="C76" s="43">
        <f ca="1">IF(B76&lt;=Inputs!$C$40,Inputs!$D$40,IF(B76&lt;=Inputs!$C$41,Inputs!$D$41,Inputs!$D$42))</f>
        <v>1</v>
      </c>
      <c r="D76" s="42">
        <f t="shared" ca="1" si="50"/>
        <v>0.17949838381362326</v>
      </c>
      <c r="E76" s="42">
        <f t="shared" ca="1" si="50"/>
        <v>0.51161621926141387</v>
      </c>
      <c r="F76" s="42">
        <f t="shared" ca="1" si="50"/>
        <v>6.2005216042541278E-2</v>
      </c>
      <c r="G76" s="42">
        <f t="shared" ca="1" si="50"/>
        <v>0.5538786804644843</v>
      </c>
      <c r="H76" s="42">
        <f t="shared" ca="1" si="50"/>
        <v>0.45248105605473588</v>
      </c>
      <c r="I76" s="42">
        <f t="shared" ca="1" si="50"/>
        <v>0.35259414377947285</v>
      </c>
      <c r="J76" s="43">
        <f ca="1">IF(I76&lt;Inputs!$B$54,1+Inputs!$B$55,1)</f>
        <v>1</v>
      </c>
      <c r="K76" s="42">
        <f t="shared" ca="1" si="51"/>
        <v>9.1866340148573866E-2</v>
      </c>
      <c r="L76" s="42">
        <f t="shared" ca="1" si="51"/>
        <v>7.4203497519172767E-2</v>
      </c>
      <c r="M76" s="42">
        <f t="shared" ca="1" si="51"/>
        <v>0.35358483296530341</v>
      </c>
      <c r="N76" s="42">
        <f t="shared" ca="1" si="51"/>
        <v>0.34642984806192467</v>
      </c>
      <c r="O76" s="42">
        <f t="shared" ca="1" si="51"/>
        <v>0.69240637092644186</v>
      </c>
      <c r="P76" s="42">
        <f t="shared" ca="1" si="51"/>
        <v>0.3228509425402839</v>
      </c>
      <c r="Q76" s="42">
        <f t="shared" ca="1" si="51"/>
        <v>0.85209148813949354</v>
      </c>
      <c r="R76" s="42">
        <f t="shared" ca="1" si="51"/>
        <v>0.85782504098452672</v>
      </c>
      <c r="S76" s="42">
        <f t="shared" ca="1" si="51"/>
        <v>1.994548447665645E-2</v>
      </c>
      <c r="T76" s="42">
        <f t="shared" ca="1" si="51"/>
        <v>0.4718624240454069</v>
      </c>
      <c r="U76" s="44">
        <f ca="1">(IF(D76&gt;=Inputs!$E$12,1,IF(K76&lt;=Inputs!$C$46,Inputs!$D$46,IF(K76&lt;=Inputs!$C$47,Inputs!$D$47,Inputs!$D$48))))*((Inputs!$B$28+(P76-0.5)*2*Inputs!$B$53)/Inputs!$B$28)</f>
        <v>0.99820699334554941</v>
      </c>
      <c r="V76" s="44">
        <f ca="1">(IF(E76&gt;=Inputs!$E$13,1,IF(L76&lt;=Inputs!$C$46,Inputs!$D$46,IF(L76&lt;=Inputs!$C$47,Inputs!$D$47,Inputs!$D$48))))*((Inputs!$B$29+(Q76-0.5)*2*Inputs!$B$53)/Inputs!$B$29)</f>
        <v>1.0035493093562449</v>
      </c>
      <c r="W76" s="44">
        <f ca="1">(IF(F76&gt;=Inputs!$E$14,1,IF(M76&lt;=Inputs!$C$46,Inputs!$D$46,IF(M76&lt;=Inputs!$C$47,Inputs!$D$47,Inputs!$D$48))))*((Inputs!$B$30+(R76-0.5)*2*Inputs!$B$53)/Inputs!$B$30)</f>
        <v>1.0035962315676836</v>
      </c>
      <c r="X76" s="44">
        <f ca="1">(IF(G76&gt;=Inputs!$E$15,1,IF(N76&lt;=Inputs!$C$46,Inputs!$D$46,IF(N76&lt;=Inputs!$C$47,Inputs!$D$47,Inputs!$D$48))))*((Inputs!$B$31+(S76-0.5)*2*Inputs!$B$53)/Inputs!$B$31)</f>
        <v>0.99512635009620976</v>
      </c>
      <c r="Y76" s="44">
        <f ca="1">(IF(H76&gt;=Inputs!$E$16,1,IF(O76&lt;=Inputs!$C$46,Inputs!$D$46,IF(O76&lt;=Inputs!$C$47,Inputs!$D$47,Inputs!$D$48))))*((Inputs!$B$32+(T76-0.5)*2*Inputs!$B$53)/Inputs!$B$32)</f>
        <v>0.99971692579522542</v>
      </c>
      <c r="Z76" s="45">
        <f ca="1">ILP_A_CostFocused!$C$9*U76+ILP_A_CostFocused!$C$10*V76+ILP_A_CostFocused!$C$11*W76+ILP_A_CostFocused!$C$12*X76+ILP_A_CostFocused!$C$13*Y76</f>
        <v>17934.925056935965</v>
      </c>
      <c r="AA76" s="45">
        <f ca="1">ILP_A_CostFocused!$D$9*U76+ILP_A_CostFocused!$D$10*V76+ILP_A_CostFocused!$D$11*W76+ILP_A_CostFocused!$D$12*X76+ILP_A_CostFocused!$D$13*Y76</f>
        <v>15044.881894511402</v>
      </c>
      <c r="AB76" s="45">
        <f ca="1">ILP_A_CostFocused!$E$9*U76+ILP_A_CostFocused!$E$10*V76+ILP_A_CostFocused!$E$11*W76+ILP_A_CostFocused!$E$12*X76+ILP_A_CostFocused!$E$13*Y76</f>
        <v>12004.127036997932</v>
      </c>
      <c r="AC76" s="45">
        <f ca="1">Inputs!$B$6*$C76</f>
        <v>18000</v>
      </c>
      <c r="AD76" s="45">
        <f ca="1">Inputs!$B$7*$C76</f>
        <v>15000</v>
      </c>
      <c r="AE76" s="45">
        <f ca="1">Inputs!$B$8*$C76</f>
        <v>12000</v>
      </c>
      <c r="AF76" s="45">
        <f t="shared" ca="1" si="53"/>
        <v>65.074943064035324</v>
      </c>
      <c r="AG76" s="45">
        <f t="shared" ca="1" si="54"/>
        <v>0</v>
      </c>
      <c r="AH76" s="45">
        <f t="shared" ca="1" si="55"/>
        <v>0</v>
      </c>
      <c r="AI76" s="45">
        <f t="shared" ca="1" si="56"/>
        <v>65.074943064035324</v>
      </c>
      <c r="AJ76" s="45">
        <f ca="1">U76*(Inputs!$B$12-ILP_A_CostFocused!$F$9)+V76*(Inputs!$B$13-ILP_A_CostFocused!$F$10)+W76*(Inputs!$B$14-ILP_A_CostFocused!$F$11)+X76*(Inputs!$B$15-ILP_A_CostFocused!$F$12)+Y76*(Inputs!$B$16-ILP_A_CostFocused!$F$13)</f>
        <v>25021.08933453371</v>
      </c>
      <c r="AK76" s="45">
        <f t="shared" ca="1" si="57"/>
        <v>65.074943064035324</v>
      </c>
      <c r="AL76" s="45">
        <f t="shared" ca="1" si="58"/>
        <v>0</v>
      </c>
      <c r="AM76" s="45">
        <f t="shared" ca="1" si="59"/>
        <v>0</v>
      </c>
      <c r="AN76" s="45">
        <f t="shared" ca="1" si="60"/>
        <v>0</v>
      </c>
      <c r="AO76" s="45">
        <f ca="1">MIN(AL76,Inputs!$B$36)</f>
        <v>0</v>
      </c>
      <c r="AP76" s="45">
        <f ca="1">MIN(AN76,Inputs!$B$36-AO76)</f>
        <v>0</v>
      </c>
      <c r="AQ76" s="45">
        <f ca="1">MIN(AM76,Inputs!$B$36-AO76-AP76)</f>
        <v>0</v>
      </c>
      <c r="AR76" s="45">
        <f t="shared" ca="1" si="61"/>
        <v>0</v>
      </c>
      <c r="AS76" s="45">
        <f t="shared" ca="1" si="62"/>
        <v>0</v>
      </c>
      <c r="AT76" s="45">
        <f t="shared" ca="1" si="63"/>
        <v>0</v>
      </c>
      <c r="AU76" s="45">
        <f t="shared" ca="1" si="64"/>
        <v>0</v>
      </c>
      <c r="AV76" s="46">
        <f ca="1">AU76*Inputs!$B$35</f>
        <v>0</v>
      </c>
      <c r="AW76" s="46">
        <f ca="1">AR76*Inputs!$C$6+AT76*Inputs!$C$7+AS76*Inputs!$C$8</f>
        <v>0</v>
      </c>
      <c r="AX76" s="46">
        <f t="shared" ca="1" si="65"/>
        <v>47377080.752704181</v>
      </c>
      <c r="AY76" s="46">
        <f ca="1">IF(J76&gt;1,($CD$4)*Inputs!$B$55*((Z76+AA76+AB76)/(SUM(ILP_A_CostFocused!$C$9:$E$13))),0)</f>
        <v>0</v>
      </c>
      <c r="AZ76" s="46">
        <f t="shared" ca="1" si="66"/>
        <v>0</v>
      </c>
      <c r="BA76" s="41">
        <f t="shared" ca="1" si="67"/>
        <v>0</v>
      </c>
      <c r="BB76" s="41">
        <f t="shared" ca="1" si="68"/>
        <v>1</v>
      </c>
      <c r="BC76" s="41">
        <f t="shared" ca="1" si="69"/>
        <v>1</v>
      </c>
      <c r="BD76" s="41">
        <f t="shared" ca="1" si="70"/>
        <v>1</v>
      </c>
    </row>
    <row r="77" spans="1:56" ht="15" customHeight="1" x14ac:dyDescent="0.3">
      <c r="A77" s="41">
        <v>70</v>
      </c>
      <c r="B77" s="42">
        <f t="shared" ca="1" si="52"/>
        <v>0.15045399053361197</v>
      </c>
      <c r="C77" s="43">
        <f ca="1">IF(B77&lt;=Inputs!$C$40,Inputs!$D$40,IF(B77&lt;=Inputs!$C$41,Inputs!$D$41,Inputs!$D$42))</f>
        <v>0.9</v>
      </c>
      <c r="D77" s="42">
        <f t="shared" ca="1" si="50"/>
        <v>4.658882951511667E-2</v>
      </c>
      <c r="E77" s="42">
        <f t="shared" ca="1" si="50"/>
        <v>0.46658664908096004</v>
      </c>
      <c r="F77" s="42">
        <f t="shared" ca="1" si="50"/>
        <v>0.94987218580134547</v>
      </c>
      <c r="G77" s="42">
        <f t="shared" ca="1" si="50"/>
        <v>0.39545615315425409</v>
      </c>
      <c r="H77" s="42">
        <f t="shared" ca="1" si="50"/>
        <v>0.20625105008956568</v>
      </c>
      <c r="I77" s="42">
        <f t="shared" ca="1" si="50"/>
        <v>0.82641259301766568</v>
      </c>
      <c r="J77" s="43">
        <f ca="1">IF(I77&lt;Inputs!$B$54,1+Inputs!$B$55,1)</f>
        <v>1</v>
      </c>
      <c r="K77" s="42">
        <f t="shared" ca="1" si="51"/>
        <v>0.17413562071821342</v>
      </c>
      <c r="L77" s="42">
        <f t="shared" ca="1" si="51"/>
        <v>0.71083460594013659</v>
      </c>
      <c r="M77" s="42">
        <f t="shared" ca="1" si="51"/>
        <v>0.59877106664658064</v>
      </c>
      <c r="N77" s="42">
        <f t="shared" ca="1" si="51"/>
        <v>0.35641827599836151</v>
      </c>
      <c r="O77" s="42">
        <f t="shared" ca="1" si="51"/>
        <v>0.20422791650141436</v>
      </c>
      <c r="P77" s="42">
        <f t="shared" ca="1" si="51"/>
        <v>0.92770639073500705</v>
      </c>
      <c r="Q77" s="42">
        <f t="shared" ca="1" si="51"/>
        <v>0.66284975924290679</v>
      </c>
      <c r="R77" s="42">
        <f t="shared" ca="1" si="51"/>
        <v>0.45631325464912698</v>
      </c>
      <c r="S77" s="42">
        <f t="shared" ca="1" si="51"/>
        <v>0.79302863456618833</v>
      </c>
      <c r="T77" s="42">
        <f t="shared" ca="1" si="51"/>
        <v>0.90138251989080154</v>
      </c>
      <c r="U77" s="44">
        <f ca="1">(IF(D77&gt;=Inputs!$E$12,1,IF(K77&lt;=Inputs!$C$46,Inputs!$D$46,IF(K77&lt;=Inputs!$C$47,Inputs!$D$47,Inputs!$D$48))))*((Inputs!$B$28+(P77-0.5)*2*Inputs!$B$53)/Inputs!$B$28)</f>
        <v>0.60259740723118416</v>
      </c>
      <c r="V77" s="44">
        <f ca="1">(IF(E77&gt;=Inputs!$E$13,1,IF(L77&lt;=Inputs!$C$46,Inputs!$D$46,IF(L77&lt;=Inputs!$C$47,Inputs!$D$47,Inputs!$D$48))))*((Inputs!$B$29+(Q77-0.5)*2*Inputs!$B$53)/Inputs!$B$29)</f>
        <v>1.0016416306375293</v>
      </c>
      <c r="W77" s="44">
        <f ca="1">(IF(F77&gt;=Inputs!$E$14,1,IF(M77&lt;=Inputs!$C$46,Inputs!$D$46,IF(M77&lt;=Inputs!$C$47,Inputs!$D$47,Inputs!$D$48))))*((Inputs!$B$30+(R77-0.5)*2*Inputs!$B$53)/Inputs!$B$30)</f>
        <v>0.9995609372326546</v>
      </c>
      <c r="X77" s="44">
        <f ca="1">(IF(G77&gt;=Inputs!$E$15,1,IF(N77&lt;=Inputs!$C$46,Inputs!$D$46,IF(N77&lt;=Inputs!$C$47,Inputs!$D$47,Inputs!$D$48))))*((Inputs!$B$31+(S77-0.5)*2*Inputs!$B$53)/Inputs!$B$31)</f>
        <v>1.0029749099955958</v>
      </c>
      <c r="Y77" s="44">
        <f ca="1">(IF(H77&gt;=Inputs!$E$16,1,IF(O77&lt;=Inputs!$C$46,Inputs!$D$46,IF(O77&lt;=Inputs!$C$47,Inputs!$D$47,Inputs!$D$48))))*((Inputs!$B$32+(T77-0.5)*2*Inputs!$B$53)/Inputs!$B$32)</f>
        <v>1.0040380535200282</v>
      </c>
      <c r="Z77" s="45">
        <f ca="1">ILP_A_CostFocused!$C$9*U77+ILP_A_CostFocused!$C$10*V77+ILP_A_CostFocused!$C$11*W77+ILP_A_CostFocused!$C$12*X77+ILP_A_CostFocused!$C$13*Y77</f>
        <v>15205.94625167672</v>
      </c>
      <c r="AA77" s="45">
        <f ca="1">ILP_A_CostFocused!$D$9*U77+ILP_A_CostFocused!$D$10*V77+ILP_A_CostFocused!$D$11*W77+ILP_A_CostFocused!$D$12*X77+ILP_A_CostFocused!$D$13*Y77</f>
        <v>15015.622551351893</v>
      </c>
      <c r="AB77" s="45">
        <f ca="1">ILP_A_CostFocused!$E$9*U77+ILP_A_CostFocused!$E$10*V77+ILP_A_CostFocused!$E$11*W77+ILP_A_CostFocused!$E$12*X77+ILP_A_CostFocused!$E$13*Y77</f>
        <v>9146.5811591246675</v>
      </c>
      <c r="AC77" s="45">
        <f ca="1">Inputs!$B$6*$C77</f>
        <v>16200</v>
      </c>
      <c r="AD77" s="45">
        <f ca="1">Inputs!$B$7*$C77</f>
        <v>13500</v>
      </c>
      <c r="AE77" s="45">
        <f ca="1">Inputs!$B$8*$C77</f>
        <v>10800</v>
      </c>
      <c r="AF77" s="45">
        <f t="shared" ca="1" si="53"/>
        <v>994.05374832328016</v>
      </c>
      <c r="AG77" s="45">
        <f t="shared" ca="1" si="54"/>
        <v>0</v>
      </c>
      <c r="AH77" s="45">
        <f t="shared" ca="1" si="55"/>
        <v>1653.4188408753325</v>
      </c>
      <c r="AI77" s="45">
        <f t="shared" ca="1" si="56"/>
        <v>2647.4725891986127</v>
      </c>
      <c r="AJ77" s="45">
        <f ca="1">U77*(Inputs!$B$12-ILP_A_CostFocused!$F$9)+V77*(Inputs!$B$13-ILP_A_CostFocused!$F$10)+W77*(Inputs!$B$14-ILP_A_CostFocused!$F$11)+X77*(Inputs!$B$15-ILP_A_CostFocused!$F$12)+Y77*(Inputs!$B$16-ILP_A_CostFocused!$F$13)</f>
        <v>24386.95328924316</v>
      </c>
      <c r="AK77" s="45">
        <f t="shared" ca="1" si="57"/>
        <v>2647.4725891986127</v>
      </c>
      <c r="AL77" s="45">
        <f t="shared" ca="1" si="58"/>
        <v>0</v>
      </c>
      <c r="AM77" s="45">
        <f t="shared" ca="1" si="59"/>
        <v>0</v>
      </c>
      <c r="AN77" s="45">
        <f t="shared" ca="1" si="60"/>
        <v>0</v>
      </c>
      <c r="AO77" s="45">
        <f ca="1">MIN(AL77,Inputs!$B$36)</f>
        <v>0</v>
      </c>
      <c r="AP77" s="45">
        <f ca="1">MIN(AN77,Inputs!$B$36-AO77)</f>
        <v>0</v>
      </c>
      <c r="AQ77" s="45">
        <f ca="1">MIN(AM77,Inputs!$B$36-AO77-AP77)</f>
        <v>0</v>
      </c>
      <c r="AR77" s="45">
        <f t="shared" ca="1" si="61"/>
        <v>0</v>
      </c>
      <c r="AS77" s="45">
        <f t="shared" ca="1" si="62"/>
        <v>0</v>
      </c>
      <c r="AT77" s="45">
        <f t="shared" ca="1" si="63"/>
        <v>0</v>
      </c>
      <c r="AU77" s="45">
        <f t="shared" ca="1" si="64"/>
        <v>0</v>
      </c>
      <c r="AV77" s="46">
        <f ca="1">AU77*Inputs!$B$35</f>
        <v>0</v>
      </c>
      <c r="AW77" s="46">
        <f ca="1">AR77*Inputs!$C$6+AT77*Inputs!$C$7+AS77*Inputs!$C$8</f>
        <v>0</v>
      </c>
      <c r="AX77" s="46">
        <f t="shared" ca="1" si="65"/>
        <v>41431337.934094235</v>
      </c>
      <c r="AY77" s="46">
        <f ca="1">IF(J77&gt;1,($CD$4)*Inputs!$B$55*((Z77+AA77+AB77)/(SUM(ILP_A_CostFocused!$C$9:$E$13))),0)</f>
        <v>0</v>
      </c>
      <c r="AZ77" s="46">
        <f t="shared" ca="1" si="66"/>
        <v>0</v>
      </c>
      <c r="BA77" s="41">
        <f t="shared" ca="1" si="67"/>
        <v>0</v>
      </c>
      <c r="BB77" s="41">
        <f t="shared" ca="1" si="68"/>
        <v>1</v>
      </c>
      <c r="BC77" s="41">
        <f t="shared" ca="1" si="69"/>
        <v>1</v>
      </c>
      <c r="BD77" s="41">
        <f t="shared" ca="1" si="70"/>
        <v>1</v>
      </c>
    </row>
    <row r="78" spans="1:56" ht="15" customHeight="1" x14ac:dyDescent="0.3">
      <c r="A78" s="41">
        <v>71</v>
      </c>
      <c r="B78" s="42">
        <f t="shared" ca="1" si="52"/>
        <v>0.73303244413615554</v>
      </c>
      <c r="C78" s="43">
        <f ca="1">IF(B78&lt;=Inputs!$C$40,Inputs!$D$40,IF(B78&lt;=Inputs!$C$41,Inputs!$D$41,Inputs!$D$42))</f>
        <v>1</v>
      </c>
      <c r="D78" s="42">
        <f t="shared" ref="D78:I87" ca="1" si="71">RAND()</f>
        <v>0.60754476910979749</v>
      </c>
      <c r="E78" s="42">
        <f t="shared" ca="1" si="71"/>
        <v>0.4925640552048598</v>
      </c>
      <c r="F78" s="42">
        <f t="shared" ca="1" si="71"/>
        <v>0.36169055914901105</v>
      </c>
      <c r="G78" s="42">
        <f t="shared" ca="1" si="71"/>
        <v>0.49528299541679632</v>
      </c>
      <c r="H78" s="42">
        <f t="shared" ca="1" si="71"/>
        <v>7.1196430424601442E-2</v>
      </c>
      <c r="I78" s="42">
        <f t="shared" ca="1" si="71"/>
        <v>0.75803909559694105</v>
      </c>
      <c r="J78" s="43">
        <f ca="1">IF(I78&lt;Inputs!$B$54,1+Inputs!$B$55,1)</f>
        <v>1</v>
      </c>
      <c r="K78" s="42">
        <f t="shared" ref="K78:T87" ca="1" si="72">RAND()</f>
        <v>0.37015472829733709</v>
      </c>
      <c r="L78" s="42">
        <f t="shared" ca="1" si="72"/>
        <v>0.36239877584531255</v>
      </c>
      <c r="M78" s="42">
        <f t="shared" ca="1" si="72"/>
        <v>0.21248745389597645</v>
      </c>
      <c r="N78" s="42">
        <f t="shared" ca="1" si="72"/>
        <v>0.75788064404277955</v>
      </c>
      <c r="O78" s="42">
        <f t="shared" ca="1" si="72"/>
        <v>0.92305994731922791</v>
      </c>
      <c r="P78" s="42">
        <f t="shared" ca="1" si="72"/>
        <v>0.68069501791149167</v>
      </c>
      <c r="Q78" s="42">
        <f t="shared" ca="1" si="72"/>
        <v>0.16014050049609607</v>
      </c>
      <c r="R78" s="42">
        <f t="shared" ca="1" si="72"/>
        <v>0.34137229915355383</v>
      </c>
      <c r="S78" s="42">
        <f t="shared" ca="1" si="72"/>
        <v>0.78356862249249515</v>
      </c>
      <c r="T78" s="42">
        <f t="shared" ca="1" si="72"/>
        <v>0.65990651890818208</v>
      </c>
      <c r="U78" s="44">
        <f ca="1">(IF(D78&gt;=Inputs!$E$12,1,IF(K78&lt;=Inputs!$C$46,Inputs!$D$46,IF(K78&lt;=Inputs!$C$47,Inputs!$D$47,Inputs!$D$48))))*((Inputs!$B$28+(P78-0.5)*2*Inputs!$B$53)/Inputs!$B$28)</f>
        <v>1.0018288969424241</v>
      </c>
      <c r="V78" s="44">
        <f ca="1">(IF(E78&gt;=Inputs!$E$13,1,IF(L78&lt;=Inputs!$C$46,Inputs!$D$46,IF(L78&lt;=Inputs!$C$47,Inputs!$D$47,Inputs!$D$48))))*((Inputs!$B$29+(Q78-0.5)*2*Inputs!$B$53)/Inputs!$B$29)</f>
        <v>0.9965739969808074</v>
      </c>
      <c r="W78" s="44">
        <f ca="1">(IF(F78&gt;=Inputs!$E$14,1,IF(M78&lt;=Inputs!$C$46,Inputs!$D$46,IF(M78&lt;=Inputs!$C$47,Inputs!$D$47,Inputs!$D$48))))*((Inputs!$B$30+(R78-0.5)*2*Inputs!$B$53)/Inputs!$B$30)</f>
        <v>0.99840575175028701</v>
      </c>
      <c r="X78" s="44">
        <f ca="1">(IF(G78&gt;=Inputs!$E$15,1,IF(N78&lt;=Inputs!$C$46,Inputs!$D$46,IF(N78&lt;=Inputs!$C$47,Inputs!$D$47,Inputs!$D$48))))*((Inputs!$B$31+(S78-0.5)*2*Inputs!$B$53)/Inputs!$B$31)</f>
        <v>1.0028788692638833</v>
      </c>
      <c r="Y78" s="44">
        <f ca="1">(IF(H78&gt;=Inputs!$E$16,1,IF(O78&lt;=Inputs!$C$46,Inputs!$D$46,IF(O78&lt;=Inputs!$C$47,Inputs!$D$47,Inputs!$D$48))))*((Inputs!$B$32+(T78-0.5)*2*Inputs!$B$53)/Inputs!$B$32)</f>
        <v>1.001608717494046</v>
      </c>
      <c r="Z78" s="45">
        <f ca="1">ILP_A_CostFocused!$C$9*U78+ILP_A_CostFocused!$C$10*V78+ILP_A_CostFocused!$C$11*W78+ILP_A_CostFocused!$C$12*X78+ILP_A_CostFocused!$C$13*Y78</f>
        <v>18043.797414838769</v>
      </c>
      <c r="AA78" s="45">
        <f ca="1">ILP_A_CostFocused!$D$9*U78+ILP_A_CostFocused!$D$10*V78+ILP_A_CostFocused!$D$11*W78+ILP_A_CostFocused!$D$12*X78+ILP_A_CostFocused!$D$13*Y78</f>
        <v>14964.163063192856</v>
      </c>
      <c r="AB78" s="45">
        <f ca="1">ILP_A_CostFocused!$E$9*U78+ILP_A_CostFocused!$E$10*V78+ILP_A_CostFocused!$E$11*W78+ILP_A_CostFocused!$E$12*X78+ILP_A_CostFocused!$E$13*Y78</f>
        <v>11996.723243493328</v>
      </c>
      <c r="AC78" s="45">
        <f ca="1">Inputs!$B$6*$C78</f>
        <v>18000</v>
      </c>
      <c r="AD78" s="45">
        <f ca="1">Inputs!$B$7*$C78</f>
        <v>15000</v>
      </c>
      <c r="AE78" s="45">
        <f ca="1">Inputs!$B$8*$C78</f>
        <v>12000</v>
      </c>
      <c r="AF78" s="45">
        <f t="shared" ca="1" si="53"/>
        <v>0</v>
      </c>
      <c r="AG78" s="45">
        <f t="shared" ca="1" si="54"/>
        <v>35.836936807143502</v>
      </c>
      <c r="AH78" s="45">
        <f t="shared" ca="1" si="55"/>
        <v>3.2767565066715179</v>
      </c>
      <c r="AI78" s="45">
        <f t="shared" ca="1" si="56"/>
        <v>39.11369331381502</v>
      </c>
      <c r="AJ78" s="45">
        <f ca="1">U78*(Inputs!$B$12-ILP_A_CostFocused!$F$9)+V78*(Inputs!$B$13-ILP_A_CostFocused!$F$10)+W78*(Inputs!$B$14-ILP_A_CostFocused!$F$11)+X78*(Inputs!$B$15-ILP_A_CostFocused!$F$12)+Y78*(Inputs!$B$16-ILP_A_CostFocused!$F$13)</f>
        <v>25014.566553616154</v>
      </c>
      <c r="AK78" s="45">
        <f t="shared" ca="1" si="57"/>
        <v>39.11369331381502</v>
      </c>
      <c r="AL78" s="45">
        <f t="shared" ca="1" si="58"/>
        <v>0</v>
      </c>
      <c r="AM78" s="45">
        <f t="shared" ca="1" si="59"/>
        <v>0</v>
      </c>
      <c r="AN78" s="45">
        <f t="shared" ca="1" si="60"/>
        <v>0</v>
      </c>
      <c r="AO78" s="45">
        <f ca="1">MIN(AL78,Inputs!$B$36)</f>
        <v>0</v>
      </c>
      <c r="AP78" s="45">
        <f ca="1">MIN(AN78,Inputs!$B$36-AO78)</f>
        <v>0</v>
      </c>
      <c r="AQ78" s="45">
        <f ca="1">MIN(AM78,Inputs!$B$36-AO78-AP78)</f>
        <v>0</v>
      </c>
      <c r="AR78" s="45">
        <f t="shared" ca="1" si="61"/>
        <v>0</v>
      </c>
      <c r="AS78" s="45">
        <f t="shared" ca="1" si="62"/>
        <v>0</v>
      </c>
      <c r="AT78" s="45">
        <f t="shared" ca="1" si="63"/>
        <v>0</v>
      </c>
      <c r="AU78" s="45">
        <f t="shared" ca="1" si="64"/>
        <v>0</v>
      </c>
      <c r="AV78" s="46">
        <f ca="1">AU78*Inputs!$B$35</f>
        <v>0</v>
      </c>
      <c r="AW78" s="46">
        <f ca="1">AR78*Inputs!$C$6+AT78*Inputs!$C$7+AS78*Inputs!$C$8</f>
        <v>0</v>
      </c>
      <c r="AX78" s="46">
        <f t="shared" ca="1" si="65"/>
        <v>47396212.299721703</v>
      </c>
      <c r="AY78" s="46">
        <f ca="1">IF(J78&gt;1,($CD$4)*Inputs!$B$55*((Z78+AA78+AB78)/(SUM(ILP_A_CostFocused!$C$9:$E$13))),0)</f>
        <v>0</v>
      </c>
      <c r="AZ78" s="46">
        <f t="shared" ca="1" si="66"/>
        <v>0</v>
      </c>
      <c r="BA78" s="41">
        <f t="shared" ca="1" si="67"/>
        <v>0</v>
      </c>
      <c r="BB78" s="41">
        <f t="shared" ca="1" si="68"/>
        <v>1</v>
      </c>
      <c r="BC78" s="41">
        <f t="shared" ca="1" si="69"/>
        <v>1</v>
      </c>
      <c r="BD78" s="41">
        <f t="shared" ca="1" si="70"/>
        <v>1</v>
      </c>
    </row>
    <row r="79" spans="1:56" ht="15" customHeight="1" x14ac:dyDescent="0.3">
      <c r="A79" s="41">
        <v>72</v>
      </c>
      <c r="B79" s="42">
        <f t="shared" ca="1" si="52"/>
        <v>5.7830901102275178E-2</v>
      </c>
      <c r="C79" s="43">
        <f ca="1">IF(B79&lt;=Inputs!$C$40,Inputs!$D$40,IF(B79&lt;=Inputs!$C$41,Inputs!$D$41,Inputs!$D$42))</f>
        <v>0.9</v>
      </c>
      <c r="D79" s="42">
        <f t="shared" ca="1" si="71"/>
        <v>7.6179960319303519E-2</v>
      </c>
      <c r="E79" s="42">
        <f t="shared" ca="1" si="71"/>
        <v>0.62721156048413462</v>
      </c>
      <c r="F79" s="42">
        <f t="shared" ca="1" si="71"/>
        <v>5.3831524976820977E-2</v>
      </c>
      <c r="G79" s="42">
        <f t="shared" ca="1" si="71"/>
        <v>0.74272170500329404</v>
      </c>
      <c r="H79" s="42">
        <f t="shared" ca="1" si="71"/>
        <v>0.28289855825208365</v>
      </c>
      <c r="I79" s="42">
        <f t="shared" ca="1" si="71"/>
        <v>6.7875346106742396E-2</v>
      </c>
      <c r="J79" s="43">
        <f ca="1">IF(I79&lt;Inputs!$B$54,1+Inputs!$B$55,1)</f>
        <v>1.25</v>
      </c>
      <c r="K79" s="42">
        <f t="shared" ca="1" si="72"/>
        <v>0.96313253030410761</v>
      </c>
      <c r="L79" s="42">
        <f t="shared" ca="1" si="72"/>
        <v>0.92414934154522321</v>
      </c>
      <c r="M79" s="42">
        <f t="shared" ca="1" si="72"/>
        <v>0.24734887520264315</v>
      </c>
      <c r="N79" s="42">
        <f t="shared" ca="1" si="72"/>
        <v>0.82962711384194121</v>
      </c>
      <c r="O79" s="42">
        <f t="shared" ca="1" si="72"/>
        <v>2.9882359527751645E-2</v>
      </c>
      <c r="P79" s="42">
        <f t="shared" ca="1" si="72"/>
        <v>0.83160671159841504</v>
      </c>
      <c r="Q79" s="42">
        <f t="shared" ca="1" si="72"/>
        <v>0.52842821498394288</v>
      </c>
      <c r="R79" s="42">
        <f t="shared" ca="1" si="72"/>
        <v>0.57639951938785461</v>
      </c>
      <c r="S79" s="42">
        <f t="shared" ca="1" si="72"/>
        <v>0.1467774291916738</v>
      </c>
      <c r="T79" s="42">
        <f t="shared" ca="1" si="72"/>
        <v>0.29763165330850638</v>
      </c>
      <c r="U79" s="44">
        <f ca="1">(IF(D79&gt;=Inputs!$E$12,1,IF(K79&lt;=Inputs!$C$46,Inputs!$D$46,IF(K79&lt;=Inputs!$C$47,Inputs!$D$47,Inputs!$D$48))))*((Inputs!$B$28+(P79-0.5)*2*Inputs!$B$53)/Inputs!$B$28)</f>
        <v>1.0033563432348018</v>
      </c>
      <c r="V79" s="44">
        <f ca="1">(IF(E79&gt;=Inputs!$E$13,1,IF(L79&lt;=Inputs!$C$46,Inputs!$D$46,IF(L79&lt;=Inputs!$C$47,Inputs!$D$47,Inputs!$D$48))))*((Inputs!$B$29+(Q79-0.5)*2*Inputs!$B$53)/Inputs!$B$29)</f>
        <v>1.000286574747822</v>
      </c>
      <c r="W79" s="44">
        <f ca="1">(IF(F79&gt;=Inputs!$E$14,1,IF(M79&lt;=Inputs!$C$46,Inputs!$D$46,IF(M79&lt;=Inputs!$C$47,Inputs!$D$47,Inputs!$D$48))))*((Inputs!$B$30+(R79-0.5)*2*Inputs!$B$53)/Inputs!$B$30)</f>
        <v>1.0007678343657072</v>
      </c>
      <c r="X79" s="44">
        <f ca="1">(IF(G79&gt;=Inputs!$E$15,1,IF(N79&lt;=Inputs!$C$46,Inputs!$D$46,IF(N79&lt;=Inputs!$C$47,Inputs!$D$47,Inputs!$D$48))))*((Inputs!$B$31+(S79-0.5)*2*Inputs!$B$53)/Inputs!$B$31)</f>
        <v>0.99641398405270731</v>
      </c>
      <c r="Y79" s="44">
        <f ca="1">(IF(H79&gt;=Inputs!$E$16,1,IF(O79&lt;=Inputs!$C$46,Inputs!$D$46,IF(O79&lt;=Inputs!$C$47,Inputs!$D$47,Inputs!$D$48))))*((Inputs!$B$32+(T79-0.5)*2*Inputs!$B$53)/Inputs!$B$32)</f>
        <v>0.99796410113992462</v>
      </c>
      <c r="Z79" s="45">
        <f ca="1">ILP_A_CostFocused!$C$9*U79+ILP_A_CostFocused!$C$10*V79+ILP_A_CostFocused!$C$11*W79+ILP_A_CostFocused!$C$12*X79+ILP_A_CostFocused!$C$13*Y79</f>
        <v>17985.166559432957</v>
      </c>
      <c r="AA79" s="45">
        <f ca="1">ILP_A_CostFocused!$D$9*U79+ILP_A_CostFocused!$D$10*V79+ILP_A_CostFocused!$D$11*W79+ILP_A_CostFocused!$D$12*X79+ILP_A_CostFocused!$D$13*Y79</f>
        <v>15002.745251605382</v>
      </c>
      <c r="AB79" s="45">
        <f ca="1">ILP_A_CostFocused!$E$9*U79+ILP_A_CostFocused!$E$10*V79+ILP_A_CostFocused!$E$11*W79+ILP_A_CostFocused!$E$12*X79+ILP_A_CostFocused!$E$13*Y79</f>
        <v>12025.541230080118</v>
      </c>
      <c r="AC79" s="45">
        <f ca="1">Inputs!$B$6*$C79</f>
        <v>16200</v>
      </c>
      <c r="AD79" s="45">
        <f ca="1">Inputs!$B$7*$C79</f>
        <v>13500</v>
      </c>
      <c r="AE79" s="45">
        <f ca="1">Inputs!$B$8*$C79</f>
        <v>10800</v>
      </c>
      <c r="AF79" s="45">
        <f t="shared" ca="1" si="53"/>
        <v>0</v>
      </c>
      <c r="AG79" s="45">
        <f t="shared" ca="1" si="54"/>
        <v>0</v>
      </c>
      <c r="AH79" s="45">
        <f t="shared" ca="1" si="55"/>
        <v>0</v>
      </c>
      <c r="AI79" s="45">
        <f t="shared" ca="1" si="56"/>
        <v>0</v>
      </c>
      <c r="AJ79" s="45">
        <f ca="1">U79*(Inputs!$B$12-ILP_A_CostFocused!$F$9)+V79*(Inputs!$B$13-ILP_A_CostFocused!$F$10)+W79*(Inputs!$B$14-ILP_A_CostFocused!$F$11)+X79*(Inputs!$B$15-ILP_A_CostFocused!$F$12)+Y79*(Inputs!$B$16-ILP_A_CostFocused!$F$13)</f>
        <v>24980.67166959343</v>
      </c>
      <c r="AK79" s="45">
        <f t="shared" ca="1" si="57"/>
        <v>0</v>
      </c>
      <c r="AL79" s="45">
        <f t="shared" ca="1" si="58"/>
        <v>0</v>
      </c>
      <c r="AM79" s="45">
        <f t="shared" ca="1" si="59"/>
        <v>0</v>
      </c>
      <c r="AN79" s="45">
        <f t="shared" ca="1" si="60"/>
        <v>0</v>
      </c>
      <c r="AO79" s="45">
        <f ca="1">MIN(AL79,Inputs!$B$36)</f>
        <v>0</v>
      </c>
      <c r="AP79" s="45">
        <f ca="1">MIN(AN79,Inputs!$B$36-AO79)</f>
        <v>0</v>
      </c>
      <c r="AQ79" s="45">
        <f ca="1">MIN(AM79,Inputs!$B$36-AO79-AP79)</f>
        <v>0</v>
      </c>
      <c r="AR79" s="45">
        <f t="shared" ca="1" si="61"/>
        <v>0</v>
      </c>
      <c r="AS79" s="45">
        <f t="shared" ca="1" si="62"/>
        <v>0</v>
      </c>
      <c r="AT79" s="45">
        <f t="shared" ca="1" si="63"/>
        <v>0</v>
      </c>
      <c r="AU79" s="45">
        <f t="shared" ca="1" si="64"/>
        <v>0</v>
      </c>
      <c r="AV79" s="46">
        <f ca="1">AU79*Inputs!$B$35</f>
        <v>0</v>
      </c>
      <c r="AW79" s="46">
        <f ca="1">AR79*Inputs!$C$6+AT79*Inputs!$C$7+AS79*Inputs!$C$8</f>
        <v>0</v>
      </c>
      <c r="AX79" s="46">
        <f t="shared" ca="1" si="65"/>
        <v>47407707.163398936</v>
      </c>
      <c r="AY79" s="46">
        <f ca="1">IF(J79&gt;1,($CD$4)*Inputs!$B$55*((Z79+AA79+AB79)/(SUM(ILP_A_CostFocused!$C$9:$E$13))),0)</f>
        <v>554710.78481526754</v>
      </c>
      <c r="AZ79" s="46">
        <f t="shared" ca="1" si="66"/>
        <v>0</v>
      </c>
      <c r="BA79" s="41">
        <f t="shared" ca="1" si="67"/>
        <v>0</v>
      </c>
      <c r="BB79" s="41">
        <f t="shared" ca="1" si="68"/>
        <v>1</v>
      </c>
      <c r="BC79" s="41">
        <f t="shared" ca="1" si="69"/>
        <v>1</v>
      </c>
      <c r="BD79" s="41">
        <f t="shared" ca="1" si="70"/>
        <v>1</v>
      </c>
    </row>
    <row r="80" spans="1:56" ht="15" customHeight="1" x14ac:dyDescent="0.3">
      <c r="A80" s="41">
        <v>73</v>
      </c>
      <c r="B80" s="42">
        <f t="shared" ca="1" si="52"/>
        <v>0.25843463924893317</v>
      </c>
      <c r="C80" s="43">
        <f ca="1">IF(B80&lt;=Inputs!$C$40,Inputs!$D$40,IF(B80&lt;=Inputs!$C$41,Inputs!$D$41,Inputs!$D$42))</f>
        <v>1</v>
      </c>
      <c r="D80" s="42">
        <f t="shared" ca="1" si="71"/>
        <v>0.1651466542578286</v>
      </c>
      <c r="E80" s="42">
        <f t="shared" ca="1" si="71"/>
        <v>0.3117967505814434</v>
      </c>
      <c r="F80" s="42">
        <f t="shared" ca="1" si="71"/>
        <v>0.56658759785835189</v>
      </c>
      <c r="G80" s="42">
        <f t="shared" ca="1" si="71"/>
        <v>0.24614827135694606</v>
      </c>
      <c r="H80" s="42">
        <f t="shared" ca="1" si="71"/>
        <v>0.71358292150645608</v>
      </c>
      <c r="I80" s="42">
        <f t="shared" ca="1" si="71"/>
        <v>0.11033866367356271</v>
      </c>
      <c r="J80" s="43">
        <f ca="1">IF(I80&lt;Inputs!$B$54,1+Inputs!$B$55,1)</f>
        <v>1</v>
      </c>
      <c r="K80" s="42">
        <f t="shared" ca="1" si="72"/>
        <v>0.53027138705429</v>
      </c>
      <c r="L80" s="42">
        <f t="shared" ca="1" si="72"/>
        <v>0.60379130795178981</v>
      </c>
      <c r="M80" s="42">
        <f t="shared" ca="1" si="72"/>
        <v>0.20405980534977841</v>
      </c>
      <c r="N80" s="42">
        <f t="shared" ca="1" si="72"/>
        <v>0.84003351434001972</v>
      </c>
      <c r="O80" s="42">
        <f t="shared" ca="1" si="72"/>
        <v>0.11322692782850907</v>
      </c>
      <c r="P80" s="42">
        <f t="shared" ca="1" si="72"/>
        <v>0.10250303715043918</v>
      </c>
      <c r="Q80" s="42">
        <f t="shared" ca="1" si="72"/>
        <v>0.81124850441900431</v>
      </c>
      <c r="R80" s="42">
        <f t="shared" ca="1" si="72"/>
        <v>0.65078108164432125</v>
      </c>
      <c r="S80" s="42">
        <f t="shared" ca="1" si="72"/>
        <v>0.34594696660187885</v>
      </c>
      <c r="T80" s="42">
        <f t="shared" ca="1" si="72"/>
        <v>0.81745356594147489</v>
      </c>
      <c r="U80" s="44">
        <f ca="1">(IF(D80&gt;=Inputs!$E$12,1,IF(K80&lt;=Inputs!$C$46,Inputs!$D$46,IF(K80&lt;=Inputs!$C$47,Inputs!$D$47,Inputs!$D$48))))*((Inputs!$B$28+(P80-0.5)*2*Inputs!$B$53)/Inputs!$B$28)</f>
        <v>0.99597675138816233</v>
      </c>
      <c r="V80" s="44">
        <f ca="1">(IF(E80&gt;=Inputs!$E$13,1,IF(L80&lt;=Inputs!$C$46,Inputs!$D$46,IF(L80&lt;=Inputs!$C$47,Inputs!$D$47,Inputs!$D$48))))*((Inputs!$B$29+(Q80-0.5)*2*Inputs!$B$53)/Inputs!$B$29)</f>
        <v>1.0031375857300302</v>
      </c>
      <c r="W80" s="44">
        <f ca="1">(IF(F80&gt;=Inputs!$E$14,1,IF(M80&lt;=Inputs!$C$46,Inputs!$D$46,IF(M80&lt;=Inputs!$C$47,Inputs!$D$47,Inputs!$D$48))))*((Inputs!$B$30+(R80-0.5)*2*Inputs!$B$53)/Inputs!$B$30)</f>
        <v>1.0015153877552194</v>
      </c>
      <c r="X80" s="44">
        <f ca="1">(IF(G80&gt;=Inputs!$E$15,1,IF(N80&lt;=Inputs!$C$46,Inputs!$D$46,IF(N80&lt;=Inputs!$C$47,Inputs!$D$47,Inputs!$D$48))))*((Inputs!$B$31+(S80-0.5)*2*Inputs!$B$53)/Inputs!$B$31)</f>
        <v>0.99843600981321712</v>
      </c>
      <c r="Y80" s="44">
        <f ca="1">(IF(H80&gt;=Inputs!$E$16,1,IF(O80&lt;=Inputs!$C$46,Inputs!$D$46,IF(O80&lt;=Inputs!$C$47,Inputs!$D$47,Inputs!$D$48))))*((Inputs!$B$32+(T80-0.5)*2*Inputs!$B$53)/Inputs!$B$32)</f>
        <v>1.0031936978464937</v>
      </c>
      <c r="Z80" s="45">
        <f ca="1">ILP_A_CostFocused!$C$9*U80+ILP_A_CostFocused!$C$10*V80+ILP_A_CostFocused!$C$11*W80+ILP_A_CostFocused!$C$12*X80+ILP_A_CostFocused!$C$13*Y80</f>
        <v>17954.771669399597</v>
      </c>
      <c r="AA80" s="45">
        <f ca="1">ILP_A_CostFocused!$D$9*U80+ILP_A_CostFocused!$D$10*V80+ILP_A_CostFocused!$D$11*W80+ILP_A_CostFocused!$D$12*X80+ILP_A_CostFocused!$D$13*Y80</f>
        <v>15034.189632600746</v>
      </c>
      <c r="AB80" s="45">
        <f ca="1">ILP_A_CostFocused!$E$9*U80+ILP_A_CostFocused!$E$10*V80+ILP_A_CostFocused!$E$11*W80+ILP_A_CostFocused!$E$12*X80+ILP_A_CostFocused!$E$13*Y80</f>
        <v>11986.093021498913</v>
      </c>
      <c r="AC80" s="45">
        <f ca="1">Inputs!$B$6*$C80</f>
        <v>18000</v>
      </c>
      <c r="AD80" s="45">
        <f ca="1">Inputs!$B$7*$C80</f>
        <v>15000</v>
      </c>
      <c r="AE80" s="45">
        <f ca="1">Inputs!$B$8*$C80</f>
        <v>12000</v>
      </c>
      <c r="AF80" s="45">
        <f t="shared" ca="1" si="53"/>
        <v>45.228330600402842</v>
      </c>
      <c r="AG80" s="45">
        <f t="shared" ca="1" si="54"/>
        <v>0</v>
      </c>
      <c r="AH80" s="45">
        <f t="shared" ca="1" si="55"/>
        <v>13.906978501086996</v>
      </c>
      <c r="AI80" s="45">
        <f t="shared" ca="1" si="56"/>
        <v>59.135309101489838</v>
      </c>
      <c r="AJ80" s="45">
        <f ca="1">U80*(Inputs!$B$12-ILP_A_CostFocused!$F$9)+V80*(Inputs!$B$13-ILP_A_CostFocused!$F$10)+W80*(Inputs!$B$14-ILP_A_CostFocused!$F$11)+X80*(Inputs!$B$15-ILP_A_CostFocused!$F$12)+Y80*(Inputs!$B$16-ILP_A_CostFocused!$F$13)</f>
        <v>25053.337525205625</v>
      </c>
      <c r="AK80" s="45">
        <f t="shared" ca="1" si="57"/>
        <v>59.135309101489838</v>
      </c>
      <c r="AL80" s="45">
        <f t="shared" ca="1" si="58"/>
        <v>0</v>
      </c>
      <c r="AM80" s="45">
        <f t="shared" ca="1" si="59"/>
        <v>0</v>
      </c>
      <c r="AN80" s="45">
        <f t="shared" ca="1" si="60"/>
        <v>0</v>
      </c>
      <c r="AO80" s="45">
        <f ca="1">MIN(AL80,Inputs!$B$36)</f>
        <v>0</v>
      </c>
      <c r="AP80" s="45">
        <f ca="1">MIN(AN80,Inputs!$B$36-AO80)</f>
        <v>0</v>
      </c>
      <c r="AQ80" s="45">
        <f ca="1">MIN(AM80,Inputs!$B$36-AO80-AP80)</f>
        <v>0</v>
      </c>
      <c r="AR80" s="45">
        <f t="shared" ca="1" si="61"/>
        <v>0</v>
      </c>
      <c r="AS80" s="45">
        <f t="shared" ca="1" si="62"/>
        <v>0</v>
      </c>
      <c r="AT80" s="45">
        <f t="shared" ca="1" si="63"/>
        <v>0</v>
      </c>
      <c r="AU80" s="45">
        <f t="shared" ca="1" si="64"/>
        <v>0</v>
      </c>
      <c r="AV80" s="46">
        <f ca="1">AU80*Inputs!$B$35</f>
        <v>0</v>
      </c>
      <c r="AW80" s="46">
        <f ca="1">AR80*Inputs!$C$6+AT80*Inputs!$C$7+AS80*Inputs!$C$8</f>
        <v>0</v>
      </c>
      <c r="AX80" s="46">
        <f t="shared" ca="1" si="65"/>
        <v>47366700.195043519</v>
      </c>
      <c r="AY80" s="46">
        <f ca="1">IF(J80&gt;1,($CD$4)*Inputs!$B$55*((Z80+AA80+AB80)/(SUM(ILP_A_CostFocused!$C$9:$E$13))),0)</f>
        <v>0</v>
      </c>
      <c r="AZ80" s="46">
        <f t="shared" ca="1" si="66"/>
        <v>0</v>
      </c>
      <c r="BA80" s="41">
        <f t="shared" ca="1" si="67"/>
        <v>0</v>
      </c>
      <c r="BB80" s="41">
        <f t="shared" ca="1" si="68"/>
        <v>1</v>
      </c>
      <c r="BC80" s="41">
        <f t="shared" ca="1" si="69"/>
        <v>1</v>
      </c>
      <c r="BD80" s="41">
        <f t="shared" ca="1" si="70"/>
        <v>1</v>
      </c>
    </row>
    <row r="81" spans="1:56" ht="15" customHeight="1" x14ac:dyDescent="0.3">
      <c r="A81" s="41">
        <v>74</v>
      </c>
      <c r="B81" s="42">
        <f t="shared" ca="1" si="52"/>
        <v>0.45724082588231629</v>
      </c>
      <c r="C81" s="43">
        <f ca="1">IF(B81&lt;=Inputs!$C$40,Inputs!$D$40,IF(B81&lt;=Inputs!$C$41,Inputs!$D$41,Inputs!$D$42))</f>
        <v>1</v>
      </c>
      <c r="D81" s="42">
        <f t="shared" ca="1" si="71"/>
        <v>0.65267069654669052</v>
      </c>
      <c r="E81" s="42">
        <f t="shared" ca="1" si="71"/>
        <v>0.73154505785477664</v>
      </c>
      <c r="F81" s="42">
        <f t="shared" ca="1" si="71"/>
        <v>0.16043065937210554</v>
      </c>
      <c r="G81" s="42">
        <f t="shared" ca="1" si="71"/>
        <v>0.38470850181610405</v>
      </c>
      <c r="H81" s="42">
        <f t="shared" ca="1" si="71"/>
        <v>0.45705412549453106</v>
      </c>
      <c r="I81" s="42">
        <f t="shared" ca="1" si="71"/>
        <v>0.69581644181409785</v>
      </c>
      <c r="J81" s="43">
        <f ca="1">IF(I81&lt;Inputs!$B$54,1+Inputs!$B$55,1)</f>
        <v>1</v>
      </c>
      <c r="K81" s="42">
        <f t="shared" ca="1" si="72"/>
        <v>0.15609032707906734</v>
      </c>
      <c r="L81" s="42">
        <f t="shared" ca="1" si="72"/>
        <v>0.66217542666975604</v>
      </c>
      <c r="M81" s="42">
        <f t="shared" ca="1" si="72"/>
        <v>0.51892708979113533</v>
      </c>
      <c r="N81" s="42">
        <f t="shared" ca="1" si="72"/>
        <v>0.60127801684636217</v>
      </c>
      <c r="O81" s="42">
        <f t="shared" ca="1" si="72"/>
        <v>7.5160409602116784E-2</v>
      </c>
      <c r="P81" s="42">
        <f t="shared" ca="1" si="72"/>
        <v>0.47148220768961746</v>
      </c>
      <c r="Q81" s="42">
        <f t="shared" ca="1" si="72"/>
        <v>0.75130266816641267</v>
      </c>
      <c r="R81" s="42">
        <f t="shared" ca="1" si="72"/>
        <v>0.42951784648482683</v>
      </c>
      <c r="S81" s="42">
        <f t="shared" ca="1" si="72"/>
        <v>0.92021413244991956</v>
      </c>
      <c r="T81" s="42">
        <f t="shared" ca="1" si="72"/>
        <v>7.2855563842980642E-3</v>
      </c>
      <c r="U81" s="44">
        <f ca="1">(IF(D81&gt;=Inputs!$E$12,1,IF(K81&lt;=Inputs!$C$46,Inputs!$D$46,IF(K81&lt;=Inputs!$C$47,Inputs!$D$47,Inputs!$D$48))))*((Inputs!$B$28+(P81-0.5)*2*Inputs!$B$53)/Inputs!$B$28)</f>
        <v>0.99971135837742531</v>
      </c>
      <c r="V81" s="44">
        <f ca="1">(IF(E81&gt;=Inputs!$E$13,1,IF(L81&lt;=Inputs!$C$46,Inputs!$D$46,IF(L81&lt;=Inputs!$C$47,Inputs!$D$47,Inputs!$D$48))))*((Inputs!$B$29+(Q81-0.5)*2*Inputs!$B$53)/Inputs!$B$29)</f>
        <v>1.002533293025871</v>
      </c>
      <c r="W81" s="44">
        <f ca="1">(IF(F81&gt;=Inputs!$E$14,1,IF(M81&lt;=Inputs!$C$46,Inputs!$D$46,IF(M81&lt;=Inputs!$C$47,Inputs!$D$47,Inputs!$D$48))))*((Inputs!$B$30+(R81-0.5)*2*Inputs!$B$53)/Inputs!$B$30)</f>
        <v>0.99929163664808873</v>
      </c>
      <c r="X81" s="44">
        <f ca="1">(IF(G81&gt;=Inputs!$E$15,1,IF(N81&lt;=Inputs!$C$46,Inputs!$D$46,IF(N81&lt;=Inputs!$C$47,Inputs!$D$47,Inputs!$D$48))))*((Inputs!$B$31+(S81-0.5)*2*Inputs!$B$53)/Inputs!$B$31)</f>
        <v>1.0042661333243645</v>
      </c>
      <c r="Y81" s="44">
        <f ca="1">(IF(H81&gt;=Inputs!$E$16,1,IF(O81&lt;=Inputs!$C$46,Inputs!$D$46,IF(O81&lt;=Inputs!$C$47,Inputs!$D$47,Inputs!$D$48))))*((Inputs!$B$32+(T81-0.5)*2*Inputs!$B$53)/Inputs!$B$32)</f>
        <v>0.995043114249339</v>
      </c>
      <c r="Z81" s="45">
        <f ca="1">ILP_A_CostFocused!$C$9*U81+ILP_A_CostFocused!$C$10*V81+ILP_A_CostFocused!$C$11*W81+ILP_A_CostFocused!$C$12*X81+ILP_A_CostFocused!$C$13*Y81</f>
        <v>18044.244350469664</v>
      </c>
      <c r="AA81" s="45">
        <f ca="1">ILP_A_CostFocused!$D$9*U81+ILP_A_CostFocused!$D$10*V81+ILP_A_CostFocused!$D$11*W81+ILP_A_CostFocused!$D$12*X81+ILP_A_CostFocused!$D$13*Y81</f>
        <v>15023.623443731172</v>
      </c>
      <c r="AB81" s="45">
        <f ca="1">ILP_A_CostFocused!$E$9*U81+ILP_A_CostFocused!$E$10*V81+ILP_A_CostFocused!$E$11*W81+ILP_A_CostFocused!$E$12*X81+ILP_A_CostFocused!$E$13*Y81</f>
        <v>12010.081586841643</v>
      </c>
      <c r="AC81" s="45">
        <f ca="1">Inputs!$B$6*$C81</f>
        <v>18000</v>
      </c>
      <c r="AD81" s="45">
        <f ca="1">Inputs!$B$7*$C81</f>
        <v>15000</v>
      </c>
      <c r="AE81" s="45">
        <f ca="1">Inputs!$B$8*$C81</f>
        <v>12000</v>
      </c>
      <c r="AF81" s="45">
        <f t="shared" ca="1" si="53"/>
        <v>0</v>
      </c>
      <c r="AG81" s="45">
        <f t="shared" ca="1" si="54"/>
        <v>0</v>
      </c>
      <c r="AH81" s="45">
        <f t="shared" ca="1" si="55"/>
        <v>0</v>
      </c>
      <c r="AI81" s="45">
        <f t="shared" ca="1" si="56"/>
        <v>0</v>
      </c>
      <c r="AJ81" s="45">
        <f ca="1">U81*(Inputs!$B$12-ILP_A_CostFocused!$F$9)+V81*(Inputs!$B$13-ILP_A_CostFocused!$F$10)+W81*(Inputs!$B$14-ILP_A_CostFocused!$F$11)+X81*(Inputs!$B$15-ILP_A_CostFocused!$F$12)+Y81*(Inputs!$B$16-ILP_A_CostFocused!$F$13)</f>
        <v>24920.530045416133</v>
      </c>
      <c r="AK81" s="45">
        <f t="shared" ca="1" si="57"/>
        <v>0</v>
      </c>
      <c r="AL81" s="45">
        <f t="shared" ca="1" si="58"/>
        <v>0</v>
      </c>
      <c r="AM81" s="45">
        <f t="shared" ca="1" si="59"/>
        <v>0</v>
      </c>
      <c r="AN81" s="45">
        <f t="shared" ca="1" si="60"/>
        <v>0</v>
      </c>
      <c r="AO81" s="45">
        <f ca="1">MIN(AL81,Inputs!$B$36)</f>
        <v>0</v>
      </c>
      <c r="AP81" s="45">
        <f ca="1">MIN(AN81,Inputs!$B$36-AO81)</f>
        <v>0</v>
      </c>
      <c r="AQ81" s="45">
        <f ca="1">MIN(AM81,Inputs!$B$36-AO81-AP81)</f>
        <v>0</v>
      </c>
      <c r="AR81" s="45">
        <f t="shared" ca="1" si="61"/>
        <v>0</v>
      </c>
      <c r="AS81" s="45">
        <f t="shared" ca="1" si="62"/>
        <v>0</v>
      </c>
      <c r="AT81" s="45">
        <f t="shared" ca="1" si="63"/>
        <v>0</v>
      </c>
      <c r="AU81" s="45">
        <f t="shared" ca="1" si="64"/>
        <v>0</v>
      </c>
      <c r="AV81" s="46">
        <f ca="1">AU81*Inputs!$B$35</f>
        <v>0</v>
      </c>
      <c r="AW81" s="46">
        <f ca="1">AR81*Inputs!$C$6+AT81*Inputs!$C$7+AS81*Inputs!$C$8</f>
        <v>0</v>
      </c>
      <c r="AX81" s="46">
        <f t="shared" ca="1" si="65"/>
        <v>47473844.703943551</v>
      </c>
      <c r="AY81" s="46">
        <f ca="1">IF(J81&gt;1,($CD$4)*Inputs!$B$55*((Z81+AA81+AB81)/(SUM(ILP_A_CostFocused!$C$9:$E$13))),0)</f>
        <v>0</v>
      </c>
      <c r="AZ81" s="46">
        <f t="shared" ca="1" si="66"/>
        <v>0</v>
      </c>
      <c r="BA81" s="41">
        <f t="shared" ca="1" si="67"/>
        <v>0</v>
      </c>
      <c r="BB81" s="41">
        <f t="shared" ca="1" si="68"/>
        <v>1</v>
      </c>
      <c r="BC81" s="41">
        <f t="shared" ca="1" si="69"/>
        <v>1</v>
      </c>
      <c r="BD81" s="41">
        <f t="shared" ca="1" si="70"/>
        <v>1</v>
      </c>
    </row>
    <row r="82" spans="1:56" ht="15" customHeight="1" x14ac:dyDescent="0.3">
      <c r="A82" s="41">
        <v>75</v>
      </c>
      <c r="B82" s="42">
        <f t="shared" ca="1" si="52"/>
        <v>1.9502609012424843E-2</v>
      </c>
      <c r="C82" s="43">
        <f ca="1">IF(B82&lt;=Inputs!$C$40,Inputs!$D$40,IF(B82&lt;=Inputs!$C$41,Inputs!$D$41,Inputs!$D$42))</f>
        <v>0.9</v>
      </c>
      <c r="D82" s="42">
        <f t="shared" ca="1" si="71"/>
        <v>5.3158964700259492E-2</v>
      </c>
      <c r="E82" s="42">
        <f t="shared" ca="1" si="71"/>
        <v>0.57619707009768173</v>
      </c>
      <c r="F82" s="42">
        <f t="shared" ca="1" si="71"/>
        <v>0.49186943564426522</v>
      </c>
      <c r="G82" s="42">
        <f t="shared" ca="1" si="71"/>
        <v>0.25180446396973089</v>
      </c>
      <c r="H82" s="42">
        <f t="shared" ca="1" si="71"/>
        <v>0.31133156518844307</v>
      </c>
      <c r="I82" s="42">
        <f t="shared" ca="1" si="71"/>
        <v>0.97923590740827804</v>
      </c>
      <c r="J82" s="43">
        <f ca="1">IF(I82&lt;Inputs!$B$54,1+Inputs!$B$55,1)</f>
        <v>1</v>
      </c>
      <c r="K82" s="42">
        <f t="shared" ca="1" si="72"/>
        <v>0.53534347807441551</v>
      </c>
      <c r="L82" s="42">
        <f t="shared" ca="1" si="72"/>
        <v>2.6974527648622848E-2</v>
      </c>
      <c r="M82" s="42">
        <f t="shared" ca="1" si="72"/>
        <v>0.77378440907960988</v>
      </c>
      <c r="N82" s="42">
        <f t="shared" ca="1" si="72"/>
        <v>0.60059407096398931</v>
      </c>
      <c r="O82" s="42">
        <f t="shared" ca="1" si="72"/>
        <v>0.23538136662277231</v>
      </c>
      <c r="P82" s="42">
        <f t="shared" ca="1" si="72"/>
        <v>0.10964958319334406</v>
      </c>
      <c r="Q82" s="42">
        <f t="shared" ca="1" si="72"/>
        <v>0.43377104505493014</v>
      </c>
      <c r="R82" s="42">
        <f t="shared" ca="1" si="72"/>
        <v>0.67149024786860811</v>
      </c>
      <c r="S82" s="42">
        <f t="shared" ca="1" si="72"/>
        <v>0.25371447583245366</v>
      </c>
      <c r="T82" s="42">
        <f t="shared" ca="1" si="72"/>
        <v>0.72839854704428875</v>
      </c>
      <c r="U82" s="44">
        <f ca="1">(IF(D82&gt;=Inputs!$E$12,1,IF(K82&lt;=Inputs!$C$46,Inputs!$D$46,IF(K82&lt;=Inputs!$C$47,Inputs!$D$47,Inputs!$D$48))))*((Inputs!$B$28+(P82-0.5)*2*Inputs!$B$53)/Inputs!$B$28)</f>
        <v>0.29881472545504051</v>
      </c>
      <c r="V82" s="44">
        <f ca="1">(IF(E82&gt;=Inputs!$E$13,1,IF(L82&lt;=Inputs!$C$46,Inputs!$D$46,IF(L82&lt;=Inputs!$C$47,Inputs!$D$47,Inputs!$D$48))))*((Inputs!$B$29+(Q82-0.5)*2*Inputs!$B$53)/Inputs!$B$29)</f>
        <v>0.99933236940579573</v>
      </c>
      <c r="W82" s="44">
        <f ca="1">(IF(F82&gt;=Inputs!$E$14,1,IF(M82&lt;=Inputs!$C$46,Inputs!$D$46,IF(M82&lt;=Inputs!$C$47,Inputs!$D$47,Inputs!$D$48))))*((Inputs!$B$30+(R82-0.5)*2*Inputs!$B$53)/Inputs!$B$30)</f>
        <v>1.0017235200790815</v>
      </c>
      <c r="X82" s="44">
        <f ca="1">(IF(G82&gt;=Inputs!$E$15,1,IF(N82&lt;=Inputs!$C$46,Inputs!$D$46,IF(N82&lt;=Inputs!$C$47,Inputs!$D$47,Inputs!$D$48))))*((Inputs!$B$31+(S82-0.5)*2*Inputs!$B$53)/Inputs!$B$31)</f>
        <v>0.9974996393485529</v>
      </c>
      <c r="Y82" s="44">
        <f ca="1">(IF(H82&gt;=Inputs!$E$16,1,IF(O82&lt;=Inputs!$C$46,Inputs!$D$46,IF(O82&lt;=Inputs!$C$47,Inputs!$D$47,Inputs!$D$48))))*((Inputs!$B$32+(T82-0.5)*2*Inputs!$B$53)/Inputs!$B$32)</f>
        <v>1.0022977721030613</v>
      </c>
      <c r="Z82" s="45">
        <f ca="1">ILP_A_CostFocused!$C$9*U82+ILP_A_CostFocused!$C$10*V82+ILP_A_CostFocused!$C$11*W82+ILP_A_CostFocused!$C$12*X82+ILP_A_CostFocused!$C$13*Y82</f>
        <v>12986.10768090833</v>
      </c>
      <c r="AA82" s="45">
        <f ca="1">ILP_A_CostFocused!$D$9*U82+ILP_A_CostFocused!$D$10*V82+ILP_A_CostFocused!$D$11*W82+ILP_A_CostFocused!$D$12*X82+ILP_A_CostFocused!$D$13*Y82</f>
        <v>15000.02408678151</v>
      </c>
      <c r="AB82" s="45">
        <f ca="1">ILP_A_CostFocused!$E$9*U82+ILP_A_CostFocused!$E$10*V82+ILP_A_CostFocused!$E$11*W82+ILP_A_CostFocused!$E$12*X82+ILP_A_CostFocused!$E$13*Y82</f>
        <v>6948.2613964241109</v>
      </c>
      <c r="AC82" s="45">
        <f ca="1">Inputs!$B$6*$C82</f>
        <v>16200</v>
      </c>
      <c r="AD82" s="45">
        <f ca="1">Inputs!$B$7*$C82</f>
        <v>13500</v>
      </c>
      <c r="AE82" s="45">
        <f ca="1">Inputs!$B$8*$C82</f>
        <v>10800</v>
      </c>
      <c r="AF82" s="45">
        <f t="shared" ca="1" si="53"/>
        <v>3213.8923190916703</v>
      </c>
      <c r="AG82" s="45">
        <f t="shared" ca="1" si="54"/>
        <v>0</v>
      </c>
      <c r="AH82" s="45">
        <f t="shared" ca="1" si="55"/>
        <v>3851.7386035758891</v>
      </c>
      <c r="AI82" s="45">
        <f t="shared" ca="1" si="56"/>
        <v>7065.6309226675594</v>
      </c>
      <c r="AJ82" s="45">
        <f ca="1">U82*(Inputs!$B$12-ILP_A_CostFocused!$F$9)+V82*(Inputs!$B$13-ILP_A_CostFocused!$F$10)+W82*(Inputs!$B$14-ILP_A_CostFocused!$F$11)+X82*(Inputs!$B$15-ILP_A_CostFocused!$F$12)+Y82*(Inputs!$B$16-ILP_A_CostFocused!$F$13)</f>
        <v>23864.163629604449</v>
      </c>
      <c r="AK82" s="45">
        <f t="shared" ca="1" si="57"/>
        <v>7065.6309226675594</v>
      </c>
      <c r="AL82" s="45">
        <f t="shared" ca="1" si="58"/>
        <v>0</v>
      </c>
      <c r="AM82" s="45">
        <f t="shared" ca="1" si="59"/>
        <v>0</v>
      </c>
      <c r="AN82" s="45">
        <f t="shared" ca="1" si="60"/>
        <v>0</v>
      </c>
      <c r="AO82" s="45">
        <f ca="1">MIN(AL82,Inputs!$B$36)</f>
        <v>0</v>
      </c>
      <c r="AP82" s="45">
        <f ca="1">MIN(AN82,Inputs!$B$36-AO82)</f>
        <v>0</v>
      </c>
      <c r="AQ82" s="45">
        <f ca="1">MIN(AM82,Inputs!$B$36-AO82-AP82)</f>
        <v>0</v>
      </c>
      <c r="AR82" s="45">
        <f t="shared" ca="1" si="61"/>
        <v>0</v>
      </c>
      <c r="AS82" s="45">
        <f t="shared" ca="1" si="62"/>
        <v>0</v>
      </c>
      <c r="AT82" s="45">
        <f t="shared" ca="1" si="63"/>
        <v>0</v>
      </c>
      <c r="AU82" s="45">
        <f t="shared" ca="1" si="64"/>
        <v>0</v>
      </c>
      <c r="AV82" s="46">
        <f ca="1">AU82*Inputs!$B$35</f>
        <v>0</v>
      </c>
      <c r="AW82" s="46">
        <f ca="1">AR82*Inputs!$C$6+AT82*Inputs!$C$7+AS82*Inputs!$C$8</f>
        <v>0</v>
      </c>
      <c r="AX82" s="46">
        <f t="shared" ca="1" si="65"/>
        <v>36740382.385381266</v>
      </c>
      <c r="AY82" s="46">
        <f ca="1">IF(J82&gt;1,($CD$4)*Inputs!$B$55*((Z82+AA82+AB82)/(SUM(ILP_A_CostFocused!$C$9:$E$13))),0)</f>
        <v>0</v>
      </c>
      <c r="AZ82" s="46">
        <f t="shared" ca="1" si="66"/>
        <v>0</v>
      </c>
      <c r="BA82" s="41">
        <f t="shared" ca="1" si="67"/>
        <v>0</v>
      </c>
      <c r="BB82" s="41">
        <f t="shared" ca="1" si="68"/>
        <v>1</v>
      </c>
      <c r="BC82" s="41">
        <f t="shared" ca="1" si="69"/>
        <v>1</v>
      </c>
      <c r="BD82" s="41">
        <f t="shared" ca="1" si="70"/>
        <v>1</v>
      </c>
    </row>
    <row r="83" spans="1:56" ht="15" customHeight="1" x14ac:dyDescent="0.3">
      <c r="A83" s="41">
        <v>76</v>
      </c>
      <c r="B83" s="42">
        <f t="shared" ca="1" si="52"/>
        <v>0.46428471932677673</v>
      </c>
      <c r="C83" s="43">
        <f ca="1">IF(B83&lt;=Inputs!$C$40,Inputs!$D$40,IF(B83&lt;=Inputs!$C$41,Inputs!$D$41,Inputs!$D$42))</f>
        <v>1</v>
      </c>
      <c r="D83" s="42">
        <f t="shared" ca="1" si="71"/>
        <v>2.9608865278580199E-2</v>
      </c>
      <c r="E83" s="42">
        <f t="shared" ca="1" si="71"/>
        <v>0.29623156295545205</v>
      </c>
      <c r="F83" s="42">
        <f t="shared" ca="1" si="71"/>
        <v>0.52120534056554313</v>
      </c>
      <c r="G83" s="42">
        <f t="shared" ca="1" si="71"/>
        <v>0.57903031028525731</v>
      </c>
      <c r="H83" s="42">
        <f t="shared" ca="1" si="71"/>
        <v>0.46168383177523908</v>
      </c>
      <c r="I83" s="42">
        <f t="shared" ca="1" si="71"/>
        <v>0.73150789496917978</v>
      </c>
      <c r="J83" s="43">
        <f ca="1">IF(I83&lt;Inputs!$B$54,1+Inputs!$B$55,1)</f>
        <v>1</v>
      </c>
      <c r="K83" s="42">
        <f t="shared" ca="1" si="72"/>
        <v>7.0813583691619386E-2</v>
      </c>
      <c r="L83" s="42">
        <f t="shared" ca="1" si="72"/>
        <v>0.43686263110429446</v>
      </c>
      <c r="M83" s="42">
        <f t="shared" ca="1" si="72"/>
        <v>2.5694945548792147E-2</v>
      </c>
      <c r="N83" s="42">
        <f t="shared" ca="1" si="72"/>
        <v>0.82498496155012857</v>
      </c>
      <c r="O83" s="42">
        <f t="shared" ca="1" si="72"/>
        <v>0.52762419776016156</v>
      </c>
      <c r="P83" s="42">
        <f t="shared" ca="1" si="72"/>
        <v>0.81708021764735128</v>
      </c>
      <c r="Q83" s="42">
        <f t="shared" ca="1" si="72"/>
        <v>0.68074621562554871</v>
      </c>
      <c r="R83" s="42">
        <f t="shared" ca="1" si="72"/>
        <v>0.47262087791649821</v>
      </c>
      <c r="S83" s="42">
        <f t="shared" ca="1" si="72"/>
        <v>0.6687253411578995</v>
      </c>
      <c r="T83" s="42">
        <f t="shared" ca="1" si="72"/>
        <v>0.84669222994091842</v>
      </c>
      <c r="U83" s="44">
        <f ca="1">(IF(D83&gt;=Inputs!$E$12,1,IF(K83&lt;=Inputs!$C$46,Inputs!$D$46,IF(K83&lt;=Inputs!$C$47,Inputs!$D$47,Inputs!$D$48))))*((Inputs!$B$28+(P83-0.5)*2*Inputs!$B$53)/Inputs!$B$28)</f>
        <v>0.60192558836627941</v>
      </c>
      <c r="V83" s="44">
        <f ca="1">(IF(E83&gt;=Inputs!$E$13,1,IF(L83&lt;=Inputs!$C$46,Inputs!$D$46,IF(L83&lt;=Inputs!$C$47,Inputs!$D$47,Inputs!$D$48))))*((Inputs!$B$29+(Q83-0.5)*2*Inputs!$B$53)/Inputs!$B$29)</f>
        <v>1.0018220384639673</v>
      </c>
      <c r="W83" s="44">
        <f ca="1">(IF(F83&gt;=Inputs!$E$14,1,IF(M83&lt;=Inputs!$C$46,Inputs!$D$46,IF(M83&lt;=Inputs!$C$47,Inputs!$D$47,Inputs!$D$48))))*((Inputs!$B$30+(R83-0.5)*2*Inputs!$B$53)/Inputs!$B$30)</f>
        <v>0.99972483294388437</v>
      </c>
      <c r="X83" s="44">
        <f ca="1">(IF(G83&gt;=Inputs!$E$15,1,IF(N83&lt;=Inputs!$C$46,Inputs!$D$46,IF(N83&lt;=Inputs!$C$47,Inputs!$D$47,Inputs!$D$48))))*((Inputs!$B$31+(S83-0.5)*2*Inputs!$B$53)/Inputs!$B$31)</f>
        <v>1.0017129476259685</v>
      </c>
      <c r="Y83" s="44">
        <f ca="1">(IF(H83&gt;=Inputs!$E$16,1,IF(O83&lt;=Inputs!$C$46,Inputs!$D$46,IF(O83&lt;=Inputs!$C$47,Inputs!$D$47,Inputs!$D$48))))*((Inputs!$B$32+(T83-0.5)*2*Inputs!$B$53)/Inputs!$B$32)</f>
        <v>1.0034878493957839</v>
      </c>
      <c r="Z83" s="45">
        <f ca="1">ILP_A_CostFocused!$C$9*U83+ILP_A_CostFocused!$C$10*V83+ILP_A_CostFocused!$C$11*W83+ILP_A_CostFocused!$C$12*X83+ILP_A_CostFocused!$C$13*Y83</f>
        <v>15187.554958206269</v>
      </c>
      <c r="AA83" s="45">
        <f ca="1">ILP_A_CostFocused!$D$9*U83+ILP_A_CostFocused!$D$10*V83+ILP_A_CostFocused!$D$11*W83+ILP_A_CostFocused!$D$12*X83+ILP_A_CostFocused!$D$13*Y83</f>
        <v>15016.775220814738</v>
      </c>
      <c r="AB83" s="45">
        <f ca="1">ILP_A_CostFocused!$E$9*U83+ILP_A_CostFocused!$E$10*V83+ILP_A_CostFocused!$E$11*W83+ILP_A_CostFocused!$E$12*X83+ILP_A_CostFocused!$E$13*Y83</f>
        <v>9142.6100208642565</v>
      </c>
      <c r="AC83" s="45">
        <f ca="1">Inputs!$B$6*$C83</f>
        <v>18000</v>
      </c>
      <c r="AD83" s="45">
        <f ca="1">Inputs!$B$7*$C83</f>
        <v>15000</v>
      </c>
      <c r="AE83" s="45">
        <f ca="1">Inputs!$B$8*$C83</f>
        <v>12000</v>
      </c>
      <c r="AF83" s="45">
        <f t="shared" ca="1" si="53"/>
        <v>2812.4450417937314</v>
      </c>
      <c r="AG83" s="45">
        <f t="shared" ca="1" si="54"/>
        <v>0</v>
      </c>
      <c r="AH83" s="45">
        <f t="shared" ca="1" si="55"/>
        <v>2857.3899791357435</v>
      </c>
      <c r="AI83" s="45">
        <f t="shared" ca="1" si="56"/>
        <v>5669.8350209294749</v>
      </c>
      <c r="AJ83" s="45">
        <f ca="1">U83*(Inputs!$B$12-ILP_A_CostFocused!$F$9)+V83*(Inputs!$B$13-ILP_A_CostFocused!$F$10)+W83*(Inputs!$B$14-ILP_A_CostFocused!$F$11)+X83*(Inputs!$B$15-ILP_A_CostFocused!$F$12)+Y83*(Inputs!$B$16-ILP_A_CostFocused!$F$13)</f>
        <v>24378.67369318963</v>
      </c>
      <c r="AK83" s="45">
        <f t="shared" ca="1" si="57"/>
        <v>5669.8350209294749</v>
      </c>
      <c r="AL83" s="45">
        <f t="shared" ca="1" si="58"/>
        <v>0</v>
      </c>
      <c r="AM83" s="45">
        <f t="shared" ca="1" si="59"/>
        <v>0</v>
      </c>
      <c r="AN83" s="45">
        <f t="shared" ca="1" si="60"/>
        <v>0</v>
      </c>
      <c r="AO83" s="45">
        <f ca="1">MIN(AL83,Inputs!$B$36)</f>
        <v>0</v>
      </c>
      <c r="AP83" s="45">
        <f ca="1">MIN(AN83,Inputs!$B$36-AO83)</f>
        <v>0</v>
      </c>
      <c r="AQ83" s="45">
        <f ca="1">MIN(AM83,Inputs!$B$36-AO83-AP83)</f>
        <v>0</v>
      </c>
      <c r="AR83" s="45">
        <f t="shared" ca="1" si="61"/>
        <v>0</v>
      </c>
      <c r="AS83" s="45">
        <f t="shared" ca="1" si="62"/>
        <v>0</v>
      </c>
      <c r="AT83" s="45">
        <f t="shared" ca="1" si="63"/>
        <v>0</v>
      </c>
      <c r="AU83" s="45">
        <f t="shared" ca="1" si="64"/>
        <v>0</v>
      </c>
      <c r="AV83" s="46">
        <f ca="1">AU83*Inputs!$B$35</f>
        <v>0</v>
      </c>
      <c r="AW83" s="46">
        <f ca="1">AR83*Inputs!$C$6+AT83*Inputs!$C$7+AS83*Inputs!$C$8</f>
        <v>0</v>
      </c>
      <c r="AX83" s="46">
        <f t="shared" ca="1" si="65"/>
        <v>41409281.480563939</v>
      </c>
      <c r="AY83" s="46">
        <f ca="1">IF(J83&gt;1,($CD$4)*Inputs!$B$55*((Z83+AA83+AB83)/(SUM(ILP_A_CostFocused!$C$9:$E$13))),0)</f>
        <v>0</v>
      </c>
      <c r="AZ83" s="46">
        <f t="shared" ca="1" si="66"/>
        <v>0</v>
      </c>
      <c r="BA83" s="41">
        <f t="shared" ca="1" si="67"/>
        <v>0</v>
      </c>
      <c r="BB83" s="41">
        <f t="shared" ca="1" si="68"/>
        <v>1</v>
      </c>
      <c r="BC83" s="41">
        <f t="shared" ca="1" si="69"/>
        <v>1</v>
      </c>
      <c r="BD83" s="41">
        <f t="shared" ca="1" si="70"/>
        <v>1</v>
      </c>
    </row>
    <row r="84" spans="1:56" ht="15" customHeight="1" x14ac:dyDescent="0.3">
      <c r="A84" s="41">
        <v>77</v>
      </c>
      <c r="B84" s="42">
        <f t="shared" ca="1" si="52"/>
        <v>0.86524119518775489</v>
      </c>
      <c r="C84" s="43">
        <f ca="1">IF(B84&lt;=Inputs!$C$40,Inputs!$D$40,IF(B84&lt;=Inputs!$C$41,Inputs!$D$41,Inputs!$D$42))</f>
        <v>1.1499999999999999</v>
      </c>
      <c r="D84" s="42">
        <f t="shared" ca="1" si="71"/>
        <v>0.72393879568130826</v>
      </c>
      <c r="E84" s="42">
        <f t="shared" ca="1" si="71"/>
        <v>0.80334725096777271</v>
      </c>
      <c r="F84" s="42">
        <f t="shared" ca="1" si="71"/>
        <v>6.4111747311580314E-2</v>
      </c>
      <c r="G84" s="42">
        <f t="shared" ca="1" si="71"/>
        <v>0.90008519114099028</v>
      </c>
      <c r="H84" s="42">
        <f t="shared" ca="1" si="71"/>
        <v>0.84176288751692518</v>
      </c>
      <c r="I84" s="42">
        <f t="shared" ca="1" si="71"/>
        <v>0.70200780028290111</v>
      </c>
      <c r="J84" s="43">
        <f ca="1">IF(I84&lt;Inputs!$B$54,1+Inputs!$B$55,1)</f>
        <v>1</v>
      </c>
      <c r="K84" s="42">
        <f t="shared" ca="1" si="72"/>
        <v>0.52954869330801091</v>
      </c>
      <c r="L84" s="42">
        <f t="shared" ca="1" si="72"/>
        <v>0.4414794212337031</v>
      </c>
      <c r="M84" s="42">
        <f t="shared" ca="1" si="72"/>
        <v>0.75932933387645407</v>
      </c>
      <c r="N84" s="42">
        <f t="shared" ca="1" si="72"/>
        <v>0.32023121496666773</v>
      </c>
      <c r="O84" s="42">
        <f t="shared" ca="1" si="72"/>
        <v>0.99904893878023748</v>
      </c>
      <c r="P84" s="42">
        <f t="shared" ca="1" si="72"/>
        <v>2.7180156349500106E-2</v>
      </c>
      <c r="Q84" s="42">
        <f t="shared" ca="1" si="72"/>
        <v>7.4738508777096757E-2</v>
      </c>
      <c r="R84" s="42">
        <f t="shared" ca="1" si="72"/>
        <v>0.7543156180177143</v>
      </c>
      <c r="S84" s="42">
        <f t="shared" ca="1" si="72"/>
        <v>1.4963909411505716E-2</v>
      </c>
      <c r="T84" s="42">
        <f t="shared" ca="1" si="72"/>
        <v>0.63656858887869627</v>
      </c>
      <c r="U84" s="44">
        <f ca="1">(IF(D84&gt;=Inputs!$E$12,1,IF(K84&lt;=Inputs!$C$46,Inputs!$D$46,IF(K84&lt;=Inputs!$C$47,Inputs!$D$47,Inputs!$D$48))))*((Inputs!$B$28+(P84-0.5)*2*Inputs!$B$53)/Inputs!$B$28)</f>
        <v>0.99521437405212043</v>
      </c>
      <c r="V84" s="44">
        <f ca="1">(IF(E84&gt;=Inputs!$E$13,1,IF(L84&lt;=Inputs!$C$46,Inputs!$D$46,IF(L84&lt;=Inputs!$C$47,Inputs!$D$47,Inputs!$D$48))))*((Inputs!$B$29+(Q84-0.5)*2*Inputs!$B$53)/Inputs!$B$29)</f>
        <v>0.99571308980622075</v>
      </c>
      <c r="W84" s="44">
        <f ca="1">(IF(F84&gt;=Inputs!$E$14,1,IF(M84&lt;=Inputs!$C$46,Inputs!$D$46,IF(M84&lt;=Inputs!$C$47,Inputs!$D$47,Inputs!$D$48))))*((Inputs!$B$30+(R84-0.5)*2*Inputs!$B$53)/Inputs!$B$30)</f>
        <v>1.0025559358594747</v>
      </c>
      <c r="X84" s="44">
        <f ca="1">(IF(G84&gt;=Inputs!$E$15,1,IF(N84&lt;=Inputs!$C$46,Inputs!$D$46,IF(N84&lt;=Inputs!$C$47,Inputs!$D$47,Inputs!$D$48))))*((Inputs!$B$31+(S84-0.5)*2*Inputs!$B$53)/Inputs!$B$31)</f>
        <v>0.995075775730066</v>
      </c>
      <c r="Y84" s="44">
        <f ca="1">(IF(H84&gt;=Inputs!$E$16,1,IF(O84&lt;=Inputs!$C$46,Inputs!$D$46,IF(O84&lt;=Inputs!$C$47,Inputs!$D$47,Inputs!$D$48))))*((Inputs!$B$32+(T84-0.5)*2*Inputs!$B$53)/Inputs!$B$32)</f>
        <v>1.0013739294655803</v>
      </c>
      <c r="Z84" s="45">
        <f ca="1">ILP_A_CostFocused!$C$9*U84+ILP_A_CostFocused!$C$10*V84+ILP_A_CostFocused!$C$11*W84+ILP_A_CostFocused!$C$12*X84+ILP_A_CostFocused!$C$13*Y84</f>
        <v>17912.405758046341</v>
      </c>
      <c r="AA84" s="45">
        <f ca="1">ILP_A_CostFocused!$D$9*U84+ILP_A_CostFocused!$D$10*V84+ILP_A_CostFocused!$D$11*W84+ILP_A_CostFocused!$D$12*X84+ILP_A_CostFocused!$D$13*Y84</f>
        <v>14969.123660080837</v>
      </c>
      <c r="AB84" s="45">
        <f ca="1">ILP_A_CostFocused!$E$9*U84+ILP_A_CostFocused!$E$10*V84+ILP_A_CostFocused!$E$11*W84+ILP_A_CostFocused!$E$12*X84+ILP_A_CostFocused!$E$13*Y84</f>
        <v>11944.966324245128</v>
      </c>
      <c r="AC84" s="45">
        <f ca="1">Inputs!$B$6*$C84</f>
        <v>20700</v>
      </c>
      <c r="AD84" s="45">
        <f ca="1">Inputs!$B$7*$C84</f>
        <v>17250</v>
      </c>
      <c r="AE84" s="45">
        <f ca="1">Inputs!$B$8*$C84</f>
        <v>13799.999999999998</v>
      </c>
      <c r="AF84" s="45">
        <f t="shared" ca="1" si="53"/>
        <v>2787.5942419536586</v>
      </c>
      <c r="AG84" s="45">
        <f t="shared" ca="1" si="54"/>
        <v>2280.876339919163</v>
      </c>
      <c r="AH84" s="45">
        <f t="shared" ca="1" si="55"/>
        <v>1855.0336757548703</v>
      </c>
      <c r="AI84" s="45">
        <f t="shared" ca="1" si="56"/>
        <v>6923.5042576276919</v>
      </c>
      <c r="AJ84" s="45">
        <f ca="1">U84*(Inputs!$B$12-ILP_A_CostFocused!$F$9)+V84*(Inputs!$B$13-ILP_A_CostFocused!$F$10)+W84*(Inputs!$B$14-ILP_A_CostFocused!$F$11)+X84*(Inputs!$B$15-ILP_A_CostFocused!$F$12)+Y84*(Inputs!$B$16-ILP_A_CostFocused!$F$13)</f>
        <v>25031.662916666377</v>
      </c>
      <c r="AK84" s="45">
        <f t="shared" ca="1" si="57"/>
        <v>6923.5042576276919</v>
      </c>
      <c r="AL84" s="45">
        <f t="shared" ca="1" si="58"/>
        <v>0</v>
      </c>
      <c r="AM84" s="45">
        <f t="shared" ca="1" si="59"/>
        <v>0</v>
      </c>
      <c r="AN84" s="45">
        <f t="shared" ca="1" si="60"/>
        <v>0</v>
      </c>
      <c r="AO84" s="45">
        <f ca="1">MIN(AL84,Inputs!$B$36)</f>
        <v>0</v>
      </c>
      <c r="AP84" s="45">
        <f ca="1">MIN(AN84,Inputs!$B$36-AO84)</f>
        <v>0</v>
      </c>
      <c r="AQ84" s="45">
        <f ca="1">MIN(AM84,Inputs!$B$36-AO84-AP84)</f>
        <v>0</v>
      </c>
      <c r="AR84" s="45">
        <f t="shared" ca="1" si="61"/>
        <v>0</v>
      </c>
      <c r="AS84" s="45">
        <f t="shared" ca="1" si="62"/>
        <v>0</v>
      </c>
      <c r="AT84" s="45">
        <f t="shared" ca="1" si="63"/>
        <v>0</v>
      </c>
      <c r="AU84" s="45">
        <f t="shared" ca="1" si="64"/>
        <v>0</v>
      </c>
      <c r="AV84" s="46">
        <f ca="1">AU84*Inputs!$B$35</f>
        <v>0</v>
      </c>
      <c r="AW84" s="46">
        <f ca="1">AR84*Inputs!$C$6+AT84*Inputs!$C$7+AS84*Inputs!$C$8</f>
        <v>0</v>
      </c>
      <c r="AX84" s="46">
        <f t="shared" ca="1" si="65"/>
        <v>47209803.430692539</v>
      </c>
      <c r="AY84" s="46">
        <f ca="1">IF(J84&gt;1,($CD$4)*Inputs!$B$55*((Z84+AA84+AB84)/(SUM(ILP_A_CostFocused!$C$9:$E$13))),0)</f>
        <v>0</v>
      </c>
      <c r="AZ84" s="46">
        <f t="shared" ca="1" si="66"/>
        <v>0</v>
      </c>
      <c r="BA84" s="41">
        <f t="shared" ca="1" si="67"/>
        <v>0</v>
      </c>
      <c r="BB84" s="41">
        <f t="shared" ca="1" si="68"/>
        <v>1</v>
      </c>
      <c r="BC84" s="41">
        <f t="shared" ca="1" si="69"/>
        <v>1</v>
      </c>
      <c r="BD84" s="41">
        <f t="shared" ca="1" si="70"/>
        <v>1</v>
      </c>
    </row>
    <row r="85" spans="1:56" ht="15" customHeight="1" x14ac:dyDescent="0.3">
      <c r="A85" s="41">
        <v>78</v>
      </c>
      <c r="B85" s="42">
        <f t="shared" ca="1" si="52"/>
        <v>0.27569746283402619</v>
      </c>
      <c r="C85" s="43">
        <f ca="1">IF(B85&lt;=Inputs!$C$40,Inputs!$D$40,IF(B85&lt;=Inputs!$C$41,Inputs!$D$41,Inputs!$D$42))</f>
        <v>1</v>
      </c>
      <c r="D85" s="42">
        <f t="shared" ca="1" si="71"/>
        <v>0.34421067744748124</v>
      </c>
      <c r="E85" s="42">
        <f t="shared" ca="1" si="71"/>
        <v>0.46870518453212384</v>
      </c>
      <c r="F85" s="42">
        <f t="shared" ca="1" si="71"/>
        <v>0.56541498964211023</v>
      </c>
      <c r="G85" s="42">
        <f t="shared" ca="1" si="71"/>
        <v>0.94293339312503066</v>
      </c>
      <c r="H85" s="42">
        <f t="shared" ca="1" si="71"/>
        <v>0.11335252363798276</v>
      </c>
      <c r="I85" s="42">
        <f t="shared" ca="1" si="71"/>
        <v>7.8438483313171603E-2</v>
      </c>
      <c r="J85" s="43">
        <f ca="1">IF(I85&lt;Inputs!$B$54,1+Inputs!$B$55,1)</f>
        <v>1.25</v>
      </c>
      <c r="K85" s="42">
        <f t="shared" ca="1" si="72"/>
        <v>0.83713356958580509</v>
      </c>
      <c r="L85" s="42">
        <f t="shared" ca="1" si="72"/>
        <v>0.39518274972934275</v>
      </c>
      <c r="M85" s="42">
        <f t="shared" ca="1" si="72"/>
        <v>0.59511691904723818</v>
      </c>
      <c r="N85" s="42">
        <f t="shared" ca="1" si="72"/>
        <v>0.85133469409659868</v>
      </c>
      <c r="O85" s="42">
        <f t="shared" ca="1" si="72"/>
        <v>0.89460516023271952</v>
      </c>
      <c r="P85" s="42">
        <f t="shared" ca="1" si="72"/>
        <v>0.39492461183291394</v>
      </c>
      <c r="Q85" s="42">
        <f t="shared" ca="1" si="72"/>
        <v>0.87087880111081628</v>
      </c>
      <c r="R85" s="42">
        <f t="shared" ca="1" si="72"/>
        <v>0.41201376869304218</v>
      </c>
      <c r="S85" s="42">
        <f t="shared" ca="1" si="72"/>
        <v>0.84087220686314779</v>
      </c>
      <c r="T85" s="42">
        <f t="shared" ca="1" si="72"/>
        <v>5.5570915886336558E-2</v>
      </c>
      <c r="U85" s="44">
        <f ca="1">(IF(D85&gt;=Inputs!$E$12,1,IF(K85&lt;=Inputs!$C$46,Inputs!$D$46,IF(K85&lt;=Inputs!$C$47,Inputs!$D$47,Inputs!$D$48))))*((Inputs!$B$28+(P85-0.5)*2*Inputs!$B$53)/Inputs!$B$28)</f>
        <v>0.99893648392543433</v>
      </c>
      <c r="V85" s="44">
        <f ca="1">(IF(E85&gt;=Inputs!$E$13,1,IF(L85&lt;=Inputs!$C$46,Inputs!$D$46,IF(L85&lt;=Inputs!$C$47,Inputs!$D$47,Inputs!$D$48))))*((Inputs!$B$29+(Q85-0.5)*2*Inputs!$B$53)/Inputs!$B$29)</f>
        <v>1.003738697591843</v>
      </c>
      <c r="W85" s="44">
        <f ca="1">(IF(F85&gt;=Inputs!$E$14,1,IF(M85&lt;=Inputs!$C$46,Inputs!$D$46,IF(M85&lt;=Inputs!$C$47,Inputs!$D$47,Inputs!$D$48))))*((Inputs!$B$30+(R85-0.5)*2*Inputs!$B$53)/Inputs!$B$30)</f>
        <v>0.99911571626827178</v>
      </c>
      <c r="X85" s="44">
        <f ca="1">(IF(G85&gt;=Inputs!$E$15,1,IF(N85&lt;=Inputs!$C$46,Inputs!$D$46,IF(N85&lt;=Inputs!$C$47,Inputs!$D$47,Inputs!$D$48))))*((Inputs!$B$31+(S85-0.5)*2*Inputs!$B$53)/Inputs!$B$31)</f>
        <v>1.0034606315417578</v>
      </c>
      <c r="Y85" s="44">
        <f ca="1">(IF(H85&gt;=Inputs!$E$16,1,IF(O85&lt;=Inputs!$C$46,Inputs!$D$46,IF(O85&lt;=Inputs!$C$47,Inputs!$D$47,Inputs!$D$48))))*((Inputs!$B$32+(T85-0.5)*2*Inputs!$B$53)/Inputs!$B$32)</f>
        <v>0.99552888245358484</v>
      </c>
      <c r="Z85" s="45">
        <f ca="1">ILP_A_CostFocused!$C$9*U85+ILP_A_CostFocused!$C$10*V85+ILP_A_CostFocused!$C$11*W85+ILP_A_CostFocused!$C$12*X85+ILP_A_CostFocused!$C$13*Y85</f>
        <v>18030.140099716755</v>
      </c>
      <c r="AA85" s="45">
        <f ca="1">ILP_A_CostFocused!$D$9*U85+ILP_A_CostFocused!$D$10*V85+ILP_A_CostFocused!$D$11*W85+ILP_A_CostFocused!$D$12*X85+ILP_A_CostFocused!$D$13*Y85</f>
        <v>15032.774389515174</v>
      </c>
      <c r="AB85" s="45">
        <f ca="1">ILP_A_CostFocused!$E$9*U85+ILP_A_CostFocused!$E$10*V85+ILP_A_CostFocused!$E$11*W85+ILP_A_CostFocused!$E$12*X85+ILP_A_CostFocused!$E$13*Y85</f>
        <v>12010.288432703974</v>
      </c>
      <c r="AC85" s="45">
        <f ca="1">Inputs!$B$6*$C85</f>
        <v>18000</v>
      </c>
      <c r="AD85" s="45">
        <f ca="1">Inputs!$B$7*$C85</f>
        <v>15000</v>
      </c>
      <c r="AE85" s="45">
        <f ca="1">Inputs!$B$8*$C85</f>
        <v>12000</v>
      </c>
      <c r="AF85" s="45">
        <f t="shared" ca="1" si="53"/>
        <v>0</v>
      </c>
      <c r="AG85" s="45">
        <f t="shared" ca="1" si="54"/>
        <v>0</v>
      </c>
      <c r="AH85" s="45">
        <f t="shared" ca="1" si="55"/>
        <v>0</v>
      </c>
      <c r="AI85" s="45">
        <f t="shared" ca="1" si="56"/>
        <v>0</v>
      </c>
      <c r="AJ85" s="45">
        <f ca="1">U85*(Inputs!$B$12-ILP_A_CostFocused!$F$9)+V85*(Inputs!$B$13-ILP_A_CostFocused!$F$10)+W85*(Inputs!$B$14-ILP_A_CostFocused!$F$11)+X85*(Inputs!$B$15-ILP_A_CostFocused!$F$12)+Y85*(Inputs!$B$16-ILP_A_CostFocused!$F$13)</f>
        <v>24925.087713949248</v>
      </c>
      <c r="AK85" s="45">
        <f t="shared" ca="1" si="57"/>
        <v>0</v>
      </c>
      <c r="AL85" s="45">
        <f t="shared" ca="1" si="58"/>
        <v>0</v>
      </c>
      <c r="AM85" s="45">
        <f t="shared" ca="1" si="59"/>
        <v>0</v>
      </c>
      <c r="AN85" s="45">
        <f t="shared" ca="1" si="60"/>
        <v>0</v>
      </c>
      <c r="AO85" s="45">
        <f ca="1">MIN(AL85,Inputs!$B$36)</f>
        <v>0</v>
      </c>
      <c r="AP85" s="45">
        <f ca="1">MIN(AN85,Inputs!$B$36-AO85)</f>
        <v>0</v>
      </c>
      <c r="AQ85" s="45">
        <f ca="1">MIN(AM85,Inputs!$B$36-AO85-AP85)</f>
        <v>0</v>
      </c>
      <c r="AR85" s="45">
        <f t="shared" ca="1" si="61"/>
        <v>0</v>
      </c>
      <c r="AS85" s="45">
        <f t="shared" ca="1" si="62"/>
        <v>0</v>
      </c>
      <c r="AT85" s="45">
        <f t="shared" ca="1" si="63"/>
        <v>0</v>
      </c>
      <c r="AU85" s="45">
        <f t="shared" ca="1" si="64"/>
        <v>0</v>
      </c>
      <c r="AV85" s="46">
        <f ca="1">AU85*Inputs!$B$35</f>
        <v>0</v>
      </c>
      <c r="AW85" s="46">
        <f ca="1">AR85*Inputs!$C$6+AT85*Inputs!$C$7+AS85*Inputs!$C$8</f>
        <v>0</v>
      </c>
      <c r="AX85" s="46">
        <f t="shared" ca="1" si="65"/>
        <v>47469173.120764412</v>
      </c>
      <c r="AY85" s="46">
        <f ca="1">IF(J85&gt;1,($CD$4)*Inputs!$B$55*((Z85+AA85+AB85)/(SUM(ILP_A_CostFocused!$C$9:$E$13))),0)</f>
        <v>555447.09587433212</v>
      </c>
      <c r="AZ85" s="46">
        <f t="shared" ca="1" si="66"/>
        <v>0</v>
      </c>
      <c r="BA85" s="41">
        <f t="shared" ca="1" si="67"/>
        <v>0</v>
      </c>
      <c r="BB85" s="41">
        <f t="shared" ca="1" si="68"/>
        <v>1</v>
      </c>
      <c r="BC85" s="41">
        <f t="shared" ca="1" si="69"/>
        <v>1</v>
      </c>
      <c r="BD85" s="41">
        <f t="shared" ca="1" si="70"/>
        <v>1</v>
      </c>
    </row>
    <row r="86" spans="1:56" ht="15" customHeight="1" x14ac:dyDescent="0.3">
      <c r="A86" s="41">
        <v>79</v>
      </c>
      <c r="B86" s="42">
        <f t="shared" ca="1" si="52"/>
        <v>0.67549445289232202</v>
      </c>
      <c r="C86" s="43">
        <f ca="1">IF(B86&lt;=Inputs!$C$40,Inputs!$D$40,IF(B86&lt;=Inputs!$C$41,Inputs!$D$41,Inputs!$D$42))</f>
        <v>1</v>
      </c>
      <c r="D86" s="42">
        <f t="shared" ca="1" si="71"/>
        <v>0.96318685298269735</v>
      </c>
      <c r="E86" s="42">
        <f t="shared" ca="1" si="71"/>
        <v>0.95553369572269664</v>
      </c>
      <c r="F86" s="42">
        <f t="shared" ca="1" si="71"/>
        <v>0.69028287472891536</v>
      </c>
      <c r="G86" s="42">
        <f t="shared" ca="1" si="71"/>
        <v>0.33044575138798105</v>
      </c>
      <c r="H86" s="42">
        <f t="shared" ca="1" si="71"/>
        <v>0.91439678602440488</v>
      </c>
      <c r="I86" s="42">
        <f t="shared" ca="1" si="71"/>
        <v>0.36353271808664689</v>
      </c>
      <c r="J86" s="43">
        <f ca="1">IF(I86&lt;Inputs!$B$54,1+Inputs!$B$55,1)</f>
        <v>1</v>
      </c>
      <c r="K86" s="42">
        <f t="shared" ca="1" si="72"/>
        <v>0.40980634831099838</v>
      </c>
      <c r="L86" s="42">
        <f t="shared" ca="1" si="72"/>
        <v>0.28404539516311311</v>
      </c>
      <c r="M86" s="42">
        <f t="shared" ca="1" si="72"/>
        <v>0.21563102039888815</v>
      </c>
      <c r="N86" s="42">
        <f t="shared" ca="1" si="72"/>
        <v>0.72638575927338556</v>
      </c>
      <c r="O86" s="42">
        <f t="shared" ca="1" si="72"/>
        <v>0.46337341938624321</v>
      </c>
      <c r="P86" s="42">
        <f t="shared" ca="1" si="72"/>
        <v>0.24400609211271318</v>
      </c>
      <c r="Q86" s="42">
        <f t="shared" ca="1" si="72"/>
        <v>0.86757675455477523</v>
      </c>
      <c r="R86" s="42">
        <f t="shared" ca="1" si="72"/>
        <v>0.15464431104653864</v>
      </c>
      <c r="S86" s="42">
        <f t="shared" ca="1" si="72"/>
        <v>0.74000495090627516</v>
      </c>
      <c r="T86" s="42">
        <f t="shared" ca="1" si="72"/>
        <v>0.69385602038634187</v>
      </c>
      <c r="U86" s="44">
        <f ca="1">(IF(D86&gt;=Inputs!$E$12,1,IF(K86&lt;=Inputs!$C$46,Inputs!$D$46,IF(K86&lt;=Inputs!$C$47,Inputs!$D$47,Inputs!$D$48))))*((Inputs!$B$28+(P86-0.5)*2*Inputs!$B$53)/Inputs!$B$28)</f>
        <v>0.99740896854365091</v>
      </c>
      <c r="V86" s="44">
        <f ca="1">(IF(E86&gt;=Inputs!$E$13,1,IF(L86&lt;=Inputs!$C$46,Inputs!$D$46,IF(L86&lt;=Inputs!$C$47,Inputs!$D$47,Inputs!$D$48))))*((Inputs!$B$29+(Q86-0.5)*2*Inputs!$B$53)/Inputs!$B$29)</f>
        <v>1.0037054108322054</v>
      </c>
      <c r="W86" s="44">
        <f ca="1">(IF(F86&gt;=Inputs!$E$14,1,IF(M86&lt;=Inputs!$C$46,Inputs!$D$46,IF(M86&lt;=Inputs!$C$47,Inputs!$D$47,Inputs!$D$48))))*((Inputs!$B$30+(R86-0.5)*2*Inputs!$B$53)/Inputs!$B$30)</f>
        <v>0.99652908855323152</v>
      </c>
      <c r="X86" s="44">
        <f ca="1">(IF(G86&gt;=Inputs!$E$15,1,IF(N86&lt;=Inputs!$C$46,Inputs!$D$46,IF(N86&lt;=Inputs!$C$47,Inputs!$D$47,Inputs!$D$48))))*((Inputs!$B$31+(S86-0.5)*2*Inputs!$B$53)/Inputs!$B$31)</f>
        <v>1.0024365984863581</v>
      </c>
      <c r="Y86" s="44">
        <f ca="1">(IF(H86&gt;=Inputs!$E$16,1,IF(O86&lt;=Inputs!$C$46,Inputs!$D$46,IF(O86&lt;=Inputs!$C$47,Inputs!$D$47,Inputs!$D$48))))*((Inputs!$B$32+(T86-0.5)*2*Inputs!$B$53)/Inputs!$B$32)</f>
        <v>1.0019502617745104</v>
      </c>
      <c r="Z86" s="45">
        <f ca="1">ILP_A_CostFocused!$C$9*U86+ILP_A_CostFocused!$C$10*V86+ILP_A_CostFocused!$C$11*W86+ILP_A_CostFocused!$C$12*X86+ILP_A_CostFocused!$C$13*Y86</f>
        <v>18008.213924088348</v>
      </c>
      <c r="AA86" s="45">
        <f ca="1">ILP_A_CostFocused!$D$9*U86+ILP_A_CostFocused!$D$10*V86+ILP_A_CostFocused!$D$11*W86+ILP_A_CostFocused!$D$12*X86+ILP_A_CostFocused!$D$13*Y86</f>
        <v>15018.548888941028</v>
      </c>
      <c r="AB86" s="45">
        <f ca="1">ILP_A_CostFocused!$E$9*U86+ILP_A_CostFocused!$E$10*V86+ILP_A_CostFocused!$E$11*W86+ILP_A_CostFocused!$E$12*X86+ILP_A_CostFocused!$E$13*Y86</f>
        <v>11999.130545508873</v>
      </c>
      <c r="AC86" s="45">
        <f ca="1">Inputs!$B$6*$C86</f>
        <v>18000</v>
      </c>
      <c r="AD86" s="45">
        <f ca="1">Inputs!$B$7*$C86</f>
        <v>15000</v>
      </c>
      <c r="AE86" s="45">
        <f ca="1">Inputs!$B$8*$C86</f>
        <v>12000</v>
      </c>
      <c r="AF86" s="45">
        <f t="shared" ca="1" si="53"/>
        <v>0</v>
      </c>
      <c r="AG86" s="45">
        <f t="shared" ca="1" si="54"/>
        <v>0</v>
      </c>
      <c r="AH86" s="45">
        <f t="shared" ca="1" si="55"/>
        <v>0.86945449112681672</v>
      </c>
      <c r="AI86" s="45">
        <f t="shared" ca="1" si="56"/>
        <v>0.86945449112681672</v>
      </c>
      <c r="AJ86" s="45">
        <f ca="1">U86*(Inputs!$B$12-ILP_A_CostFocused!$F$9)+V86*(Inputs!$B$13-ILP_A_CostFocused!$F$10)+W86*(Inputs!$B$14-ILP_A_CostFocused!$F$11)+X86*(Inputs!$B$15-ILP_A_CostFocused!$F$12)+Y86*(Inputs!$B$16-ILP_A_CostFocused!$F$13)</f>
        <v>24997.897149457007</v>
      </c>
      <c r="AK86" s="45">
        <f t="shared" ca="1" si="57"/>
        <v>0.86945449112681672</v>
      </c>
      <c r="AL86" s="45">
        <f t="shared" ca="1" si="58"/>
        <v>0</v>
      </c>
      <c r="AM86" s="45">
        <f t="shared" ca="1" si="59"/>
        <v>0</v>
      </c>
      <c r="AN86" s="45">
        <f t="shared" ca="1" si="60"/>
        <v>0</v>
      </c>
      <c r="AO86" s="45">
        <f ca="1">MIN(AL86,Inputs!$B$36)</f>
        <v>0</v>
      </c>
      <c r="AP86" s="45">
        <f ca="1">MIN(AN86,Inputs!$B$36-AO86)</f>
        <v>0</v>
      </c>
      <c r="AQ86" s="45">
        <f ca="1">MIN(AM86,Inputs!$B$36-AO86-AP86)</f>
        <v>0</v>
      </c>
      <c r="AR86" s="45">
        <f t="shared" ca="1" si="61"/>
        <v>0</v>
      </c>
      <c r="AS86" s="45">
        <f t="shared" ca="1" si="62"/>
        <v>0</v>
      </c>
      <c r="AT86" s="45">
        <f t="shared" ca="1" si="63"/>
        <v>0</v>
      </c>
      <c r="AU86" s="45">
        <f t="shared" ca="1" si="64"/>
        <v>0</v>
      </c>
      <c r="AV86" s="46">
        <f ca="1">AU86*Inputs!$B$35</f>
        <v>0</v>
      </c>
      <c r="AW86" s="46">
        <f ca="1">AR86*Inputs!$C$6+AT86*Inputs!$C$7+AS86*Inputs!$C$8</f>
        <v>0</v>
      </c>
      <c r="AX86" s="46">
        <f t="shared" ca="1" si="65"/>
        <v>47419463.131975137</v>
      </c>
      <c r="AY86" s="46">
        <f ca="1">IF(J86&gt;1,($CD$4)*Inputs!$B$55*((Z86+AA86+AB86)/(SUM(ILP_A_CostFocused!$C$9:$E$13))),0)</f>
        <v>0</v>
      </c>
      <c r="AZ86" s="46">
        <f t="shared" ca="1" si="66"/>
        <v>0</v>
      </c>
      <c r="BA86" s="41">
        <f t="shared" ca="1" si="67"/>
        <v>0</v>
      </c>
      <c r="BB86" s="41">
        <f t="shared" ca="1" si="68"/>
        <v>1</v>
      </c>
      <c r="BC86" s="41">
        <f t="shared" ca="1" si="69"/>
        <v>1</v>
      </c>
      <c r="BD86" s="41">
        <f t="shared" ca="1" si="70"/>
        <v>1</v>
      </c>
    </row>
    <row r="87" spans="1:56" ht="15" customHeight="1" x14ac:dyDescent="0.3">
      <c r="A87" s="41">
        <v>80</v>
      </c>
      <c r="B87" s="42">
        <f t="shared" ca="1" si="52"/>
        <v>0.95770063880846623</v>
      </c>
      <c r="C87" s="43">
        <f ca="1">IF(B87&lt;=Inputs!$C$40,Inputs!$D$40,IF(B87&lt;=Inputs!$C$41,Inputs!$D$41,Inputs!$D$42))</f>
        <v>1.1499999999999999</v>
      </c>
      <c r="D87" s="42">
        <f t="shared" ca="1" si="71"/>
        <v>0.79295876127017972</v>
      </c>
      <c r="E87" s="42">
        <f t="shared" ca="1" si="71"/>
        <v>0.51647417274091934</v>
      </c>
      <c r="F87" s="42">
        <f t="shared" ca="1" si="71"/>
        <v>0.8850366519219125</v>
      </c>
      <c r="G87" s="42">
        <f t="shared" ca="1" si="71"/>
        <v>0.30440831602188456</v>
      </c>
      <c r="H87" s="42">
        <f t="shared" ca="1" si="71"/>
        <v>0.87195710249088054</v>
      </c>
      <c r="I87" s="42">
        <f t="shared" ca="1" si="71"/>
        <v>0.89549676602612038</v>
      </c>
      <c r="J87" s="43">
        <f ca="1">IF(I87&lt;Inputs!$B$54,1+Inputs!$B$55,1)</f>
        <v>1</v>
      </c>
      <c r="K87" s="42">
        <f t="shared" ca="1" si="72"/>
        <v>0.74294619719612687</v>
      </c>
      <c r="L87" s="42">
        <f t="shared" ca="1" si="72"/>
        <v>0.95822347006291453</v>
      </c>
      <c r="M87" s="42">
        <f t="shared" ca="1" si="72"/>
        <v>0.74879926786101481</v>
      </c>
      <c r="N87" s="42">
        <f t="shared" ca="1" si="72"/>
        <v>7.982148314692572E-2</v>
      </c>
      <c r="O87" s="42">
        <f t="shared" ca="1" si="72"/>
        <v>0.77096165535705274</v>
      </c>
      <c r="P87" s="42">
        <f t="shared" ca="1" si="72"/>
        <v>0.20100948959189358</v>
      </c>
      <c r="Q87" s="42">
        <f t="shared" ca="1" si="72"/>
        <v>0.69618006520384268</v>
      </c>
      <c r="R87" s="42">
        <f t="shared" ca="1" si="72"/>
        <v>0.9633775681963459</v>
      </c>
      <c r="S87" s="42">
        <f t="shared" ca="1" si="72"/>
        <v>0.18074831070551645</v>
      </c>
      <c r="T87" s="42">
        <f t="shared" ca="1" si="72"/>
        <v>0.96135968818624706</v>
      </c>
      <c r="U87" s="44">
        <f ca="1">(IF(D87&gt;=Inputs!$E$12,1,IF(K87&lt;=Inputs!$C$46,Inputs!$D$46,IF(K87&lt;=Inputs!$C$47,Inputs!$D$47,Inputs!$D$48))))*((Inputs!$B$28+(P87-0.5)*2*Inputs!$B$53)/Inputs!$B$28)</f>
        <v>0.99697378025902728</v>
      </c>
      <c r="V87" s="44">
        <f ca="1">(IF(E87&gt;=Inputs!$E$13,1,IF(L87&lt;=Inputs!$C$46,Inputs!$D$46,IF(L87&lt;=Inputs!$C$47,Inputs!$D$47,Inputs!$D$48))))*((Inputs!$B$29+(Q87-0.5)*2*Inputs!$B$53)/Inputs!$B$29)</f>
        <v>1.0019776216250387</v>
      </c>
      <c r="W87" s="44">
        <f ca="1">(IF(F87&gt;=Inputs!$E$14,1,IF(M87&lt;=Inputs!$C$46,Inputs!$D$46,IF(M87&lt;=Inputs!$C$47,Inputs!$D$47,Inputs!$D$48))))*((Inputs!$B$30+(R87-0.5)*2*Inputs!$B$53)/Inputs!$B$30)</f>
        <v>1.0046570609868979</v>
      </c>
      <c r="X87" s="44">
        <f ca="1">(IF(G87&gt;=Inputs!$E$15,1,IF(N87&lt;=Inputs!$C$46,Inputs!$D$46,IF(N87&lt;=Inputs!$C$47,Inputs!$D$47,Inputs!$D$48))))*((Inputs!$B$31+(S87-0.5)*2*Inputs!$B$53)/Inputs!$B$31)</f>
        <v>0.99675886609853315</v>
      </c>
      <c r="Y87" s="44">
        <f ca="1">(IF(H87&gt;=Inputs!$E$16,1,IF(O87&lt;=Inputs!$C$46,Inputs!$D$46,IF(O87&lt;=Inputs!$C$47,Inputs!$D$47,Inputs!$D$48))))*((Inputs!$B$32+(T87-0.5)*2*Inputs!$B$53)/Inputs!$B$32)</f>
        <v>1.0046414455551935</v>
      </c>
      <c r="Z87" s="45">
        <f ca="1">ILP_A_CostFocused!$C$9*U87+ILP_A_CostFocused!$C$10*V87+ILP_A_CostFocused!$C$11*W87+ILP_A_CostFocused!$C$12*X87+ILP_A_CostFocused!$C$13*Y87</f>
        <v>17943.647309769363</v>
      </c>
      <c r="AA87" s="45">
        <f ca="1">ILP_A_CostFocused!$D$9*U87+ILP_A_CostFocused!$D$10*V87+ILP_A_CostFocused!$D$11*W87+ILP_A_CostFocused!$D$12*X87+ILP_A_CostFocused!$D$13*Y87</f>
        <v>15037.684801760604</v>
      </c>
      <c r="AB87" s="45">
        <f ca="1">ILP_A_CostFocused!$E$9*U87+ILP_A_CostFocused!$E$10*V87+ILP_A_CostFocused!$E$11*W87+ILP_A_CostFocused!$E$12*X87+ILP_A_CostFocused!$E$13*Y87</f>
        <v>11987.703801665182</v>
      </c>
      <c r="AC87" s="45">
        <f ca="1">Inputs!$B$6*$C87</f>
        <v>20700</v>
      </c>
      <c r="AD87" s="45">
        <f ca="1">Inputs!$B$7*$C87</f>
        <v>17250</v>
      </c>
      <c r="AE87" s="45">
        <f ca="1">Inputs!$B$8*$C87</f>
        <v>13799.999999999998</v>
      </c>
      <c r="AF87" s="45">
        <f t="shared" ca="1" si="53"/>
        <v>2756.3526902306367</v>
      </c>
      <c r="AG87" s="45">
        <f t="shared" ca="1" si="54"/>
        <v>2212.3151982393956</v>
      </c>
      <c r="AH87" s="45">
        <f t="shared" ca="1" si="55"/>
        <v>1812.2961983348159</v>
      </c>
      <c r="AI87" s="45">
        <f t="shared" ca="1" si="56"/>
        <v>6780.9640868048482</v>
      </c>
      <c r="AJ87" s="45">
        <f ca="1">U87*(Inputs!$B$12-ILP_A_CostFocused!$F$9)+V87*(Inputs!$B$13-ILP_A_CostFocused!$F$10)+W87*(Inputs!$B$14-ILP_A_CostFocused!$F$11)+X87*(Inputs!$B$15-ILP_A_CostFocused!$F$12)+Y87*(Inputs!$B$16-ILP_A_CostFocused!$F$13)</f>
        <v>25101.501143039801</v>
      </c>
      <c r="AK87" s="45">
        <f t="shared" ca="1" si="57"/>
        <v>6780.9640868048482</v>
      </c>
      <c r="AL87" s="45">
        <f t="shared" ca="1" si="58"/>
        <v>0</v>
      </c>
      <c r="AM87" s="45">
        <f t="shared" ca="1" si="59"/>
        <v>0</v>
      </c>
      <c r="AN87" s="45">
        <f t="shared" ca="1" si="60"/>
        <v>0</v>
      </c>
      <c r="AO87" s="45">
        <f ca="1">MIN(AL87,Inputs!$B$36)</f>
        <v>0</v>
      </c>
      <c r="AP87" s="45">
        <f ca="1">MIN(AN87,Inputs!$B$36-AO87)</f>
        <v>0</v>
      </c>
      <c r="AQ87" s="45">
        <f ca="1">MIN(AM87,Inputs!$B$36-AO87-AP87)</f>
        <v>0</v>
      </c>
      <c r="AR87" s="45">
        <f t="shared" ca="1" si="61"/>
        <v>0</v>
      </c>
      <c r="AS87" s="45">
        <f t="shared" ca="1" si="62"/>
        <v>0</v>
      </c>
      <c r="AT87" s="45">
        <f t="shared" ca="1" si="63"/>
        <v>0</v>
      </c>
      <c r="AU87" s="45">
        <f t="shared" ca="1" si="64"/>
        <v>0</v>
      </c>
      <c r="AV87" s="46">
        <f ca="1">AU87*Inputs!$B$35</f>
        <v>0</v>
      </c>
      <c r="AW87" s="46">
        <f ca="1">AR87*Inputs!$C$6+AT87*Inputs!$C$7+AS87*Inputs!$C$8</f>
        <v>0</v>
      </c>
      <c r="AX87" s="46">
        <f t="shared" ca="1" si="65"/>
        <v>47360663.168152452</v>
      </c>
      <c r="AY87" s="46">
        <f ca="1">IF(J87&gt;1,($CD$4)*Inputs!$B$55*((Z87+AA87+AB87)/(SUM(ILP_A_CostFocused!$C$9:$E$13))),0)</f>
        <v>0</v>
      </c>
      <c r="AZ87" s="46">
        <f t="shared" ca="1" si="66"/>
        <v>0</v>
      </c>
      <c r="BA87" s="41">
        <f t="shared" ca="1" si="67"/>
        <v>0</v>
      </c>
      <c r="BB87" s="41">
        <f t="shared" ca="1" si="68"/>
        <v>1</v>
      </c>
      <c r="BC87" s="41">
        <f t="shared" ca="1" si="69"/>
        <v>1</v>
      </c>
      <c r="BD87" s="41">
        <f t="shared" ca="1" si="70"/>
        <v>1</v>
      </c>
    </row>
    <row r="88" spans="1:56" ht="15" customHeight="1" x14ac:dyDescent="0.3">
      <c r="A88" s="41">
        <v>81</v>
      </c>
      <c r="B88" s="42">
        <f t="shared" ca="1" si="52"/>
        <v>7.5262979555145271E-2</v>
      </c>
      <c r="C88" s="43">
        <f ca="1">IF(B88&lt;=Inputs!$C$40,Inputs!$D$40,IF(B88&lt;=Inputs!$C$41,Inputs!$D$41,Inputs!$D$42))</f>
        <v>0.9</v>
      </c>
      <c r="D88" s="42">
        <f t="shared" ref="D88:I97" ca="1" si="73">RAND()</f>
        <v>9.9550619386519434E-2</v>
      </c>
      <c r="E88" s="42">
        <f t="shared" ca="1" si="73"/>
        <v>0.19168810804206571</v>
      </c>
      <c r="F88" s="42">
        <f t="shared" ca="1" si="73"/>
        <v>9.9280516426345833E-2</v>
      </c>
      <c r="G88" s="42">
        <f t="shared" ca="1" si="73"/>
        <v>0.35538261884463618</v>
      </c>
      <c r="H88" s="42">
        <f t="shared" ca="1" si="73"/>
        <v>9.7088538653952505E-2</v>
      </c>
      <c r="I88" s="42">
        <f t="shared" ca="1" si="73"/>
        <v>0.60369803146731127</v>
      </c>
      <c r="J88" s="43">
        <f ca="1">IF(I88&lt;Inputs!$B$54,1+Inputs!$B$55,1)</f>
        <v>1</v>
      </c>
      <c r="K88" s="42">
        <f t="shared" ref="K88:T97" ca="1" si="74">RAND()</f>
        <v>0.88418383859093808</v>
      </c>
      <c r="L88" s="42">
        <f t="shared" ca="1" si="74"/>
        <v>0.21076986565055822</v>
      </c>
      <c r="M88" s="42">
        <f t="shared" ca="1" si="74"/>
        <v>0.87995130079664019</v>
      </c>
      <c r="N88" s="42">
        <f t="shared" ca="1" si="74"/>
        <v>0.11444536777022474</v>
      </c>
      <c r="O88" s="42">
        <f t="shared" ca="1" si="74"/>
        <v>0.86394830795486421</v>
      </c>
      <c r="P88" s="42">
        <f t="shared" ca="1" si="74"/>
        <v>0.5118656755865908</v>
      </c>
      <c r="Q88" s="42">
        <f t="shared" ca="1" si="74"/>
        <v>0.47552593688804012</v>
      </c>
      <c r="R88" s="42">
        <f t="shared" ca="1" si="74"/>
        <v>0.9019503143091131</v>
      </c>
      <c r="S88" s="42">
        <f t="shared" ca="1" si="74"/>
        <v>0.40693201474625096</v>
      </c>
      <c r="T88" s="42">
        <f t="shared" ca="1" si="74"/>
        <v>0.51420228947058311</v>
      </c>
      <c r="U88" s="44">
        <f ca="1">(IF(D88&gt;=Inputs!$E$12,1,IF(K88&lt;=Inputs!$C$46,Inputs!$D$46,IF(K88&lt;=Inputs!$C$47,Inputs!$D$47,Inputs!$D$48))))*((Inputs!$B$28+(P88-0.5)*2*Inputs!$B$53)/Inputs!$B$28)</f>
        <v>1.0001200979310383</v>
      </c>
      <c r="V88" s="44">
        <f ca="1">(IF(E88&gt;=Inputs!$E$13,1,IF(L88&lt;=Inputs!$C$46,Inputs!$D$46,IF(L88&lt;=Inputs!$C$47,Inputs!$D$47,Inputs!$D$48))))*((Inputs!$B$29+(Q88-0.5)*2*Inputs!$B$53)/Inputs!$B$29)</f>
        <v>0.99975328565411337</v>
      </c>
      <c r="W88" s="44">
        <f ca="1">(IF(F88&gt;=Inputs!$E$14,1,IF(M88&lt;=Inputs!$C$46,Inputs!$D$46,IF(M88&lt;=Inputs!$C$47,Inputs!$D$47,Inputs!$D$48))))*((Inputs!$B$30+(R88-0.5)*2*Inputs!$B$53)/Inputs!$B$30)</f>
        <v>1.0040397016513478</v>
      </c>
      <c r="X88" s="44">
        <f ca="1">(IF(G88&gt;=Inputs!$E$15,1,IF(N88&lt;=Inputs!$C$46,Inputs!$D$46,IF(N88&lt;=Inputs!$C$47,Inputs!$D$47,Inputs!$D$48))))*((Inputs!$B$31+(S88-0.5)*2*Inputs!$B$53)/Inputs!$B$31)</f>
        <v>0.99905514735782996</v>
      </c>
      <c r="Y88" s="44">
        <f ca="1">(IF(H88&gt;=Inputs!$E$16,1,IF(O88&lt;=Inputs!$C$46,Inputs!$D$46,IF(O88&lt;=Inputs!$C$47,Inputs!$D$47,Inputs!$D$48))))*((Inputs!$B$32+(T88-0.5)*2*Inputs!$B$53)/Inputs!$B$32)</f>
        <v>1.0001428801757604</v>
      </c>
      <c r="Z88" s="45">
        <f ca="1">ILP_A_CostFocused!$C$9*U88+ILP_A_CostFocused!$C$10*V88+ILP_A_CostFocused!$C$11*W88+ILP_A_CostFocused!$C$12*X88+ILP_A_CostFocused!$C$13*Y88</f>
        <v>17990.628017087671</v>
      </c>
      <c r="AA88" s="45">
        <f ca="1">ILP_A_CostFocused!$D$9*U88+ILP_A_CostFocused!$D$10*V88+ILP_A_CostFocused!$D$11*W88+ILP_A_CostFocused!$D$12*X88+ILP_A_CostFocused!$D$13*Y88</f>
        <v>15016.933535415719</v>
      </c>
      <c r="AB88" s="45">
        <f ca="1">ILP_A_CostFocused!$E$9*U88+ILP_A_CostFocused!$E$10*V88+ILP_A_CostFocused!$E$11*W88+ILP_A_CostFocused!$E$12*X88+ILP_A_CostFocused!$E$13*Y88</f>
        <v>11999.68047624322</v>
      </c>
      <c r="AC88" s="45">
        <f ca="1">Inputs!$B$6*$C88</f>
        <v>16200</v>
      </c>
      <c r="AD88" s="45">
        <f ca="1">Inputs!$B$7*$C88</f>
        <v>13500</v>
      </c>
      <c r="AE88" s="45">
        <f ca="1">Inputs!$B$8*$C88</f>
        <v>10800</v>
      </c>
      <c r="AF88" s="45">
        <f t="shared" ca="1" si="53"/>
        <v>0</v>
      </c>
      <c r="AG88" s="45">
        <f t="shared" ca="1" si="54"/>
        <v>0</v>
      </c>
      <c r="AH88" s="45">
        <f t="shared" ca="1" si="55"/>
        <v>0</v>
      </c>
      <c r="AI88" s="45">
        <f t="shared" ca="1" si="56"/>
        <v>0</v>
      </c>
      <c r="AJ88" s="45">
        <f ca="1">U88*(Inputs!$B$12-ILP_A_CostFocused!$F$9)+V88*(Inputs!$B$13-ILP_A_CostFocused!$F$10)+W88*(Inputs!$B$14-ILP_A_CostFocused!$F$11)+X88*(Inputs!$B$15-ILP_A_CostFocused!$F$12)+Y88*(Inputs!$B$16-ILP_A_CostFocused!$F$13)</f>
        <v>25034.546629705477</v>
      </c>
      <c r="AK88" s="45">
        <f t="shared" ca="1" si="57"/>
        <v>0</v>
      </c>
      <c r="AL88" s="45">
        <f t="shared" ca="1" si="58"/>
        <v>0</v>
      </c>
      <c r="AM88" s="45">
        <f t="shared" ca="1" si="59"/>
        <v>0</v>
      </c>
      <c r="AN88" s="45">
        <f t="shared" ca="1" si="60"/>
        <v>0</v>
      </c>
      <c r="AO88" s="45">
        <f ca="1">MIN(AL88,Inputs!$B$36)</f>
        <v>0</v>
      </c>
      <c r="AP88" s="45">
        <f ca="1">MIN(AN88,Inputs!$B$36-AO88)</f>
        <v>0</v>
      </c>
      <c r="AQ88" s="45">
        <f ca="1">MIN(AM88,Inputs!$B$36-AO88-AP88)</f>
        <v>0</v>
      </c>
      <c r="AR88" s="45">
        <f t="shared" ca="1" si="61"/>
        <v>0</v>
      </c>
      <c r="AS88" s="45">
        <f t="shared" ca="1" si="62"/>
        <v>0</v>
      </c>
      <c r="AT88" s="45">
        <f t="shared" ca="1" si="63"/>
        <v>0</v>
      </c>
      <c r="AU88" s="45">
        <f t="shared" ca="1" si="64"/>
        <v>0</v>
      </c>
      <c r="AV88" s="46">
        <f ca="1">AU88*Inputs!$B$35</f>
        <v>0</v>
      </c>
      <c r="AW88" s="46">
        <f ca="1">AR88*Inputs!$C$6+AT88*Inputs!$C$7+AS88*Inputs!$C$8</f>
        <v>0</v>
      </c>
      <c r="AX88" s="46">
        <f t="shared" ca="1" si="65"/>
        <v>47400226.167173132</v>
      </c>
      <c r="AY88" s="46">
        <f ca="1">IF(J88&gt;1,($CD$4)*Inputs!$B$55*((Z88+AA88+AB88)/(SUM(ILP_A_CostFocused!$C$9:$E$13))),0)</f>
        <v>0</v>
      </c>
      <c r="AZ88" s="46">
        <f t="shared" ca="1" si="66"/>
        <v>0</v>
      </c>
      <c r="BA88" s="41">
        <f t="shared" ca="1" si="67"/>
        <v>0</v>
      </c>
      <c r="BB88" s="41">
        <f t="shared" ca="1" si="68"/>
        <v>1</v>
      </c>
      <c r="BC88" s="41">
        <f t="shared" ca="1" si="69"/>
        <v>1</v>
      </c>
      <c r="BD88" s="41">
        <f t="shared" ca="1" si="70"/>
        <v>1</v>
      </c>
    </row>
    <row r="89" spans="1:56" ht="15" customHeight="1" x14ac:dyDescent="0.3">
      <c r="A89" s="41">
        <v>82</v>
      </c>
      <c r="B89" s="42">
        <f t="shared" ca="1" si="52"/>
        <v>0.53359525546900233</v>
      </c>
      <c r="C89" s="43">
        <f ca="1">IF(B89&lt;=Inputs!$C$40,Inputs!$D$40,IF(B89&lt;=Inputs!$C$41,Inputs!$D$41,Inputs!$D$42))</f>
        <v>1</v>
      </c>
      <c r="D89" s="42">
        <f t="shared" ca="1" si="73"/>
        <v>0.17579530446462521</v>
      </c>
      <c r="E89" s="42">
        <f t="shared" ca="1" si="73"/>
        <v>0.79641697014116963</v>
      </c>
      <c r="F89" s="42">
        <f t="shared" ca="1" si="73"/>
        <v>5.1066544278742576E-2</v>
      </c>
      <c r="G89" s="42">
        <f t="shared" ca="1" si="73"/>
        <v>0.33723867862135837</v>
      </c>
      <c r="H89" s="42">
        <f t="shared" ca="1" si="73"/>
        <v>0.46708883202271101</v>
      </c>
      <c r="I89" s="42">
        <f t="shared" ca="1" si="73"/>
        <v>0.55851498234580477</v>
      </c>
      <c r="J89" s="43">
        <f ca="1">IF(I89&lt;Inputs!$B$54,1+Inputs!$B$55,1)</f>
        <v>1</v>
      </c>
      <c r="K89" s="42">
        <f t="shared" ca="1" si="74"/>
        <v>0.59410779388524459</v>
      </c>
      <c r="L89" s="42">
        <f t="shared" ca="1" si="74"/>
        <v>0.99162432620671692</v>
      </c>
      <c r="M89" s="42">
        <f t="shared" ca="1" si="74"/>
        <v>0.89506376430151524</v>
      </c>
      <c r="N89" s="42">
        <f t="shared" ca="1" si="74"/>
        <v>0.7964772107152247</v>
      </c>
      <c r="O89" s="42">
        <f t="shared" ca="1" si="74"/>
        <v>0.12017219354406994</v>
      </c>
      <c r="P89" s="42">
        <f t="shared" ca="1" si="74"/>
        <v>0.46126519216950634</v>
      </c>
      <c r="Q89" s="42">
        <f t="shared" ca="1" si="74"/>
        <v>0.48657055611643218</v>
      </c>
      <c r="R89" s="42">
        <f t="shared" ca="1" si="74"/>
        <v>0.57320791120598702</v>
      </c>
      <c r="S89" s="42">
        <f t="shared" ca="1" si="74"/>
        <v>0.94835275021416099</v>
      </c>
      <c r="T89" s="42">
        <f t="shared" ca="1" si="74"/>
        <v>0.86755480151803865</v>
      </c>
      <c r="U89" s="44">
        <f ca="1">(IF(D89&gt;=Inputs!$E$12,1,IF(K89&lt;=Inputs!$C$46,Inputs!$D$46,IF(K89&lt;=Inputs!$C$47,Inputs!$D$47,Inputs!$D$48))))*((Inputs!$B$28+(P89-0.5)*2*Inputs!$B$53)/Inputs!$B$28)</f>
        <v>0.99960794728916502</v>
      </c>
      <c r="V89" s="44">
        <f ca="1">(IF(E89&gt;=Inputs!$E$13,1,IF(L89&lt;=Inputs!$C$46,Inputs!$D$46,IF(L89&lt;=Inputs!$C$47,Inputs!$D$47,Inputs!$D$48))))*((Inputs!$B$29+(Q89-0.5)*2*Inputs!$B$53)/Inputs!$B$29)</f>
        <v>0.99986462254149622</v>
      </c>
      <c r="W89" s="44">
        <f ca="1">(IF(F89&gt;=Inputs!$E$14,1,IF(M89&lt;=Inputs!$C$46,Inputs!$D$46,IF(M89&lt;=Inputs!$C$47,Inputs!$D$47,Inputs!$D$48))))*((Inputs!$B$30+(R89-0.5)*2*Inputs!$B$53)/Inputs!$B$30)</f>
        <v>1.0007357579015677</v>
      </c>
      <c r="X89" s="44">
        <f ca="1">(IF(G89&gt;=Inputs!$E$15,1,IF(N89&lt;=Inputs!$C$46,Inputs!$D$46,IF(N89&lt;=Inputs!$C$47,Inputs!$D$47,Inputs!$D$48))))*((Inputs!$B$31+(S89-0.5)*2*Inputs!$B$53)/Inputs!$B$31)</f>
        <v>1.0045518045707023</v>
      </c>
      <c r="Y89" s="44">
        <f ca="1">(IF(H89&gt;=Inputs!$E$16,1,IF(O89&lt;=Inputs!$C$46,Inputs!$D$46,IF(O89&lt;=Inputs!$C$47,Inputs!$D$47,Inputs!$D$48))))*((Inputs!$B$32+(T89-0.5)*2*Inputs!$B$53)/Inputs!$B$32)</f>
        <v>1.0036977344217106</v>
      </c>
      <c r="Z89" s="45">
        <f ca="1">ILP_A_CostFocused!$C$9*U89+ILP_A_CostFocused!$C$10*V89+ILP_A_CostFocused!$C$11*W89+ILP_A_CostFocused!$C$12*X89+ILP_A_CostFocused!$C$13*Y89</f>
        <v>18046.35929726778</v>
      </c>
      <c r="AA89" s="45">
        <f ca="1">ILP_A_CostFocused!$D$9*U89+ILP_A_CostFocused!$D$10*V89+ILP_A_CostFocused!$D$11*W89+ILP_A_CostFocused!$D$12*X89+ILP_A_CostFocused!$D$13*Y89</f>
        <v>15007.08851788539</v>
      </c>
      <c r="AB89" s="45">
        <f ca="1">ILP_A_CostFocused!$E$9*U89+ILP_A_CostFocused!$E$10*V89+ILP_A_CostFocused!$E$11*W89+ILP_A_CostFocused!$E$12*X89+ILP_A_CostFocused!$E$13*Y89</f>
        <v>11996.52740868117</v>
      </c>
      <c r="AC89" s="45">
        <f ca="1">Inputs!$B$6*$C89</f>
        <v>18000</v>
      </c>
      <c r="AD89" s="45">
        <f ca="1">Inputs!$B$7*$C89</f>
        <v>15000</v>
      </c>
      <c r="AE89" s="45">
        <f ca="1">Inputs!$B$8*$C89</f>
        <v>12000</v>
      </c>
      <c r="AF89" s="45">
        <f t="shared" ca="1" si="53"/>
        <v>0</v>
      </c>
      <c r="AG89" s="45">
        <f t="shared" ca="1" si="54"/>
        <v>0</v>
      </c>
      <c r="AH89" s="45">
        <f t="shared" ca="1" si="55"/>
        <v>3.4725913188303821</v>
      </c>
      <c r="AI89" s="45">
        <f t="shared" ca="1" si="56"/>
        <v>3.4725913188303821</v>
      </c>
      <c r="AJ89" s="45">
        <f ca="1">U89*(Inputs!$B$12-ILP_A_CostFocused!$F$9)+V89*(Inputs!$B$13-ILP_A_CostFocused!$F$10)+W89*(Inputs!$B$14-ILP_A_CostFocused!$F$11)+X89*(Inputs!$B$15-ILP_A_CostFocused!$F$12)+Y89*(Inputs!$B$16-ILP_A_CostFocused!$F$13)</f>
        <v>25061.509172267717</v>
      </c>
      <c r="AK89" s="45">
        <f t="shared" ca="1" si="57"/>
        <v>3.4725913188303821</v>
      </c>
      <c r="AL89" s="45">
        <f t="shared" ca="1" si="58"/>
        <v>0</v>
      </c>
      <c r="AM89" s="45">
        <f t="shared" ca="1" si="59"/>
        <v>0</v>
      </c>
      <c r="AN89" s="45">
        <f t="shared" ca="1" si="60"/>
        <v>0</v>
      </c>
      <c r="AO89" s="45">
        <f ca="1">MIN(AL89,Inputs!$B$36)</f>
        <v>0</v>
      </c>
      <c r="AP89" s="45">
        <f ca="1">MIN(AN89,Inputs!$B$36-AO89)</f>
        <v>0</v>
      </c>
      <c r="AQ89" s="45">
        <f ca="1">MIN(AM89,Inputs!$B$36-AO89-AP89)</f>
        <v>0</v>
      </c>
      <c r="AR89" s="45">
        <f t="shared" ca="1" si="61"/>
        <v>0</v>
      </c>
      <c r="AS89" s="45">
        <f t="shared" ca="1" si="62"/>
        <v>0</v>
      </c>
      <c r="AT89" s="45">
        <f t="shared" ca="1" si="63"/>
        <v>0</v>
      </c>
      <c r="AU89" s="45">
        <f t="shared" ca="1" si="64"/>
        <v>0</v>
      </c>
      <c r="AV89" s="46">
        <f ca="1">AU89*Inputs!$B$35</f>
        <v>0</v>
      </c>
      <c r="AW89" s="46">
        <f ca="1">AR89*Inputs!$C$6+AT89*Inputs!$C$7+AS89*Inputs!$C$8</f>
        <v>0</v>
      </c>
      <c r="AX89" s="46">
        <f t="shared" ca="1" si="65"/>
        <v>47443886.292949297</v>
      </c>
      <c r="AY89" s="46">
        <f ca="1">IF(J89&gt;1,($CD$4)*Inputs!$B$55*((Z89+AA89+AB89)/(SUM(ILP_A_CostFocused!$C$9:$E$13))),0)</f>
        <v>0</v>
      </c>
      <c r="AZ89" s="46">
        <f t="shared" ca="1" si="66"/>
        <v>0</v>
      </c>
      <c r="BA89" s="41">
        <f t="shared" ca="1" si="67"/>
        <v>0</v>
      </c>
      <c r="BB89" s="41">
        <f t="shared" ca="1" si="68"/>
        <v>1</v>
      </c>
      <c r="BC89" s="41">
        <f t="shared" ca="1" si="69"/>
        <v>1</v>
      </c>
      <c r="BD89" s="41">
        <f t="shared" ca="1" si="70"/>
        <v>1</v>
      </c>
    </row>
    <row r="90" spans="1:56" ht="15" customHeight="1" x14ac:dyDescent="0.3">
      <c r="A90" s="41">
        <v>83</v>
      </c>
      <c r="B90" s="42">
        <f t="shared" ca="1" si="52"/>
        <v>0.51736033674241932</v>
      </c>
      <c r="C90" s="43">
        <f ca="1">IF(B90&lt;=Inputs!$C$40,Inputs!$D$40,IF(B90&lt;=Inputs!$C$41,Inputs!$D$41,Inputs!$D$42))</f>
        <v>1</v>
      </c>
      <c r="D90" s="42">
        <f t="shared" ca="1" si="73"/>
        <v>0.47456406628646097</v>
      </c>
      <c r="E90" s="42">
        <f t="shared" ca="1" si="73"/>
        <v>0.25699891637822303</v>
      </c>
      <c r="F90" s="42">
        <f t="shared" ca="1" si="73"/>
        <v>0.80889035823056643</v>
      </c>
      <c r="G90" s="42">
        <f t="shared" ca="1" si="73"/>
        <v>0.56955854124466798</v>
      </c>
      <c r="H90" s="42">
        <f t="shared" ca="1" si="73"/>
        <v>0.13273843591488543</v>
      </c>
      <c r="I90" s="42">
        <f t="shared" ca="1" si="73"/>
        <v>0.7633053921683487</v>
      </c>
      <c r="J90" s="43">
        <f ca="1">IF(I90&lt;Inputs!$B$54,1+Inputs!$B$55,1)</f>
        <v>1</v>
      </c>
      <c r="K90" s="42">
        <f t="shared" ca="1" si="74"/>
        <v>0.81288050819678392</v>
      </c>
      <c r="L90" s="42">
        <f t="shared" ca="1" si="74"/>
        <v>2.4486999123526476E-2</v>
      </c>
      <c r="M90" s="42">
        <f t="shared" ca="1" si="74"/>
        <v>0.82115331314224116</v>
      </c>
      <c r="N90" s="42">
        <f t="shared" ca="1" si="74"/>
        <v>0.73014685591010275</v>
      </c>
      <c r="O90" s="42">
        <f t="shared" ca="1" si="74"/>
        <v>0.84573345015988699</v>
      </c>
      <c r="P90" s="42">
        <f t="shared" ca="1" si="74"/>
        <v>0.11900715913822268</v>
      </c>
      <c r="Q90" s="42">
        <f t="shared" ca="1" si="74"/>
        <v>5.104725447342584E-2</v>
      </c>
      <c r="R90" s="42">
        <f t="shared" ca="1" si="74"/>
        <v>0.52837107596672239</v>
      </c>
      <c r="S90" s="42">
        <f t="shared" ca="1" si="74"/>
        <v>0.4862944896691499</v>
      </c>
      <c r="T90" s="42">
        <f t="shared" ca="1" si="74"/>
        <v>0.25338587475238528</v>
      </c>
      <c r="U90" s="44">
        <f ca="1">(IF(D90&gt;=Inputs!$E$12,1,IF(K90&lt;=Inputs!$C$46,Inputs!$D$46,IF(K90&lt;=Inputs!$C$47,Inputs!$D$47,Inputs!$D$48))))*((Inputs!$B$28+(P90-0.5)*2*Inputs!$B$53)/Inputs!$B$28)</f>
        <v>0.99614379715726942</v>
      </c>
      <c r="V90" s="44">
        <f ca="1">(IF(E90&gt;=Inputs!$E$13,1,IF(L90&lt;=Inputs!$C$46,Inputs!$D$46,IF(L90&lt;=Inputs!$C$47,Inputs!$D$47,Inputs!$D$48))))*((Inputs!$B$29+(Q90-0.5)*2*Inputs!$B$53)/Inputs!$B$29)</f>
        <v>0.99547426667815953</v>
      </c>
      <c r="W90" s="44">
        <f ca="1">(IF(F90&gt;=Inputs!$E$14,1,IF(M90&lt;=Inputs!$C$46,Inputs!$D$46,IF(M90&lt;=Inputs!$C$47,Inputs!$D$47,Inputs!$D$48))))*((Inputs!$B$30+(R90-0.5)*2*Inputs!$B$53)/Inputs!$B$30)</f>
        <v>1.0002851364418766</v>
      </c>
      <c r="X90" s="44">
        <f ca="1">(IF(G90&gt;=Inputs!$E$15,1,IF(N90&lt;=Inputs!$C$46,Inputs!$D$46,IF(N90&lt;=Inputs!$C$47,Inputs!$D$47,Inputs!$D$48))))*((Inputs!$B$31+(S90-0.5)*2*Inputs!$B$53)/Inputs!$B$31)</f>
        <v>0.9998608577631386</v>
      </c>
      <c r="Y90" s="44">
        <f ca="1">(IF(H90&gt;=Inputs!$E$16,1,IF(O90&lt;=Inputs!$C$46,Inputs!$D$46,IF(O90&lt;=Inputs!$C$47,Inputs!$D$47,Inputs!$D$48))))*((Inputs!$B$32+(T90-0.5)*2*Inputs!$B$53)/Inputs!$B$32)</f>
        <v>0.99751897258302202</v>
      </c>
      <c r="Z90" s="45">
        <f ca="1">ILP_A_CostFocused!$C$9*U90+ILP_A_CostFocused!$C$10*V90+ILP_A_CostFocused!$C$11*W90+ILP_A_CostFocused!$C$12*X90+ILP_A_CostFocused!$C$13*Y90</f>
        <v>17970.673684692076</v>
      </c>
      <c r="AA90" s="45">
        <f ca="1">ILP_A_CostFocused!$D$9*U90+ILP_A_CostFocused!$D$10*V90+ILP_A_CostFocused!$D$11*W90+ILP_A_CostFocused!$D$12*X90+ILP_A_CostFocused!$D$13*Y90</f>
        <v>14960.546454502384</v>
      </c>
      <c r="AB90" s="45">
        <f ca="1">ILP_A_CostFocused!$E$9*U90+ILP_A_CostFocused!$E$10*V90+ILP_A_CostFocused!$E$11*W90+ILP_A_CostFocused!$E$12*X90+ILP_A_CostFocused!$E$13*Y90</f>
        <v>11950.511819587506</v>
      </c>
      <c r="AC90" s="45">
        <f ca="1">Inputs!$B$6*$C90</f>
        <v>18000</v>
      </c>
      <c r="AD90" s="45">
        <f ca="1">Inputs!$B$7*$C90</f>
        <v>15000</v>
      </c>
      <c r="AE90" s="45">
        <f ca="1">Inputs!$B$8*$C90</f>
        <v>12000</v>
      </c>
      <c r="AF90" s="45">
        <f t="shared" ca="1" si="53"/>
        <v>29.326315307924233</v>
      </c>
      <c r="AG90" s="45">
        <f t="shared" ca="1" si="54"/>
        <v>39.453545497615778</v>
      </c>
      <c r="AH90" s="45">
        <f t="shared" ca="1" si="55"/>
        <v>49.48818041249433</v>
      </c>
      <c r="AI90" s="45">
        <f t="shared" ca="1" si="56"/>
        <v>118.26804121803434</v>
      </c>
      <c r="AJ90" s="45">
        <f ca="1">U90*(Inputs!$B$12-ILP_A_CostFocused!$F$9)+V90*(Inputs!$B$13-ILP_A_CostFocused!$F$10)+W90*(Inputs!$B$14-ILP_A_CostFocused!$F$11)+X90*(Inputs!$B$15-ILP_A_CostFocused!$F$12)+Y90*(Inputs!$B$16-ILP_A_CostFocused!$F$13)</f>
        <v>24958.03018487597</v>
      </c>
      <c r="AK90" s="45">
        <f t="shared" ca="1" si="57"/>
        <v>118.26804121803434</v>
      </c>
      <c r="AL90" s="45">
        <f t="shared" ca="1" si="58"/>
        <v>0</v>
      </c>
      <c r="AM90" s="45">
        <f t="shared" ca="1" si="59"/>
        <v>0</v>
      </c>
      <c r="AN90" s="45">
        <f t="shared" ca="1" si="60"/>
        <v>0</v>
      </c>
      <c r="AO90" s="45">
        <f ca="1">MIN(AL90,Inputs!$B$36)</f>
        <v>0</v>
      </c>
      <c r="AP90" s="45">
        <f ca="1">MIN(AN90,Inputs!$B$36-AO90)</f>
        <v>0</v>
      </c>
      <c r="AQ90" s="45">
        <f ca="1">MIN(AM90,Inputs!$B$36-AO90-AP90)</f>
        <v>0</v>
      </c>
      <c r="AR90" s="45">
        <f t="shared" ca="1" si="61"/>
        <v>0</v>
      </c>
      <c r="AS90" s="45">
        <f t="shared" ca="1" si="62"/>
        <v>0</v>
      </c>
      <c r="AT90" s="45">
        <f t="shared" ca="1" si="63"/>
        <v>0</v>
      </c>
      <c r="AU90" s="45">
        <f t="shared" ca="1" si="64"/>
        <v>0</v>
      </c>
      <c r="AV90" s="46">
        <f ca="1">AU90*Inputs!$B$35</f>
        <v>0</v>
      </c>
      <c r="AW90" s="46">
        <f ca="1">AR90*Inputs!$C$6+AT90*Inputs!$C$7+AS90*Inputs!$C$8</f>
        <v>0</v>
      </c>
      <c r="AX90" s="46">
        <f t="shared" ca="1" si="65"/>
        <v>47266855.780226074</v>
      </c>
      <c r="AY90" s="46">
        <f ca="1">IF(J90&gt;1,($CD$4)*Inputs!$B$55*((Z90+AA90+AB90)/(SUM(ILP_A_CostFocused!$C$9:$E$13))),0)</f>
        <v>0</v>
      </c>
      <c r="AZ90" s="46">
        <f t="shared" ca="1" si="66"/>
        <v>0</v>
      </c>
      <c r="BA90" s="41">
        <f t="shared" ca="1" si="67"/>
        <v>0</v>
      </c>
      <c r="BB90" s="41">
        <f t="shared" ca="1" si="68"/>
        <v>1</v>
      </c>
      <c r="BC90" s="41">
        <f t="shared" ca="1" si="69"/>
        <v>1</v>
      </c>
      <c r="BD90" s="41">
        <f t="shared" ca="1" si="70"/>
        <v>1</v>
      </c>
    </row>
    <row r="91" spans="1:56" ht="15" customHeight="1" x14ac:dyDescent="0.3">
      <c r="A91" s="41">
        <v>84</v>
      </c>
      <c r="B91" s="42">
        <f t="shared" ca="1" si="52"/>
        <v>0.13435895605971071</v>
      </c>
      <c r="C91" s="43">
        <f ca="1">IF(B91&lt;=Inputs!$C$40,Inputs!$D$40,IF(B91&lt;=Inputs!$C$41,Inputs!$D$41,Inputs!$D$42))</f>
        <v>0.9</v>
      </c>
      <c r="D91" s="42">
        <f t="shared" ca="1" si="73"/>
        <v>0.21023155967920248</v>
      </c>
      <c r="E91" s="42">
        <f t="shared" ca="1" si="73"/>
        <v>0.23680831565283411</v>
      </c>
      <c r="F91" s="42">
        <f t="shared" ca="1" si="73"/>
        <v>0.23707886657692423</v>
      </c>
      <c r="G91" s="42">
        <f t="shared" ca="1" si="73"/>
        <v>2.8610660162298407E-2</v>
      </c>
      <c r="H91" s="42">
        <f t="shared" ca="1" si="73"/>
        <v>0.48332006438197272</v>
      </c>
      <c r="I91" s="42">
        <f t="shared" ca="1" si="73"/>
        <v>0.88407692123373782</v>
      </c>
      <c r="J91" s="43">
        <f ca="1">IF(I91&lt;Inputs!$B$54,1+Inputs!$B$55,1)</f>
        <v>1</v>
      </c>
      <c r="K91" s="42">
        <f t="shared" ca="1" si="74"/>
        <v>0.1094681471474438</v>
      </c>
      <c r="L91" s="42">
        <f t="shared" ca="1" si="74"/>
        <v>0.81548891074022223</v>
      </c>
      <c r="M91" s="42">
        <f t="shared" ca="1" si="74"/>
        <v>0.9523993189796166</v>
      </c>
      <c r="N91" s="42">
        <f t="shared" ca="1" si="74"/>
        <v>0.66139894030106894</v>
      </c>
      <c r="O91" s="42">
        <f t="shared" ca="1" si="74"/>
        <v>0.14092016811129637</v>
      </c>
      <c r="P91" s="42">
        <f t="shared" ca="1" si="74"/>
        <v>0.42956875634951952</v>
      </c>
      <c r="Q91" s="42">
        <f t="shared" ca="1" si="74"/>
        <v>0.98608180920036659</v>
      </c>
      <c r="R91" s="42">
        <f t="shared" ca="1" si="74"/>
        <v>9.5359526396402439E-3</v>
      </c>
      <c r="S91" s="42">
        <f t="shared" ca="1" si="74"/>
        <v>0.33788086911569515</v>
      </c>
      <c r="T91" s="42">
        <f t="shared" ca="1" si="74"/>
        <v>0.69613652294726669</v>
      </c>
      <c r="U91" s="44">
        <f ca="1">(IF(D91&gt;=Inputs!$E$12,1,IF(K91&lt;=Inputs!$C$46,Inputs!$D$46,IF(K91&lt;=Inputs!$C$47,Inputs!$D$47,Inputs!$D$48))))*((Inputs!$B$28+(P91-0.5)*2*Inputs!$B$53)/Inputs!$B$28)</f>
        <v>0.99928713316143236</v>
      </c>
      <c r="V91" s="44">
        <f ca="1">(IF(E91&gt;=Inputs!$E$13,1,IF(L91&lt;=Inputs!$C$46,Inputs!$D$46,IF(L91&lt;=Inputs!$C$47,Inputs!$D$47,Inputs!$D$48))))*((Inputs!$B$29+(Q91-0.5)*2*Inputs!$B$53)/Inputs!$B$29)</f>
        <v>1.0049000182379069</v>
      </c>
      <c r="W91" s="44">
        <f ca="1">(IF(F91&gt;=Inputs!$E$14,1,IF(M91&lt;=Inputs!$C$46,Inputs!$D$46,IF(M91&lt;=Inputs!$C$47,Inputs!$D$47,Inputs!$D$48))))*((Inputs!$B$30+(R91-0.5)*2*Inputs!$B$53)/Inputs!$B$30)</f>
        <v>0.99507071309185569</v>
      </c>
      <c r="X91" s="44">
        <f ca="1">(IF(G91&gt;=Inputs!$E$15,1,IF(N91&lt;=Inputs!$C$46,Inputs!$D$46,IF(N91&lt;=Inputs!$C$47,Inputs!$D$47,Inputs!$D$48))))*((Inputs!$B$31+(S91-0.5)*2*Inputs!$B$53)/Inputs!$B$31)</f>
        <v>0.29950623614959093</v>
      </c>
      <c r="Y91" s="44">
        <f ca="1">(IF(H91&gt;=Inputs!$E$16,1,IF(O91&lt;=Inputs!$C$46,Inputs!$D$46,IF(O91&lt;=Inputs!$C$47,Inputs!$D$47,Inputs!$D$48))))*((Inputs!$B$32+(T91-0.5)*2*Inputs!$B$53)/Inputs!$B$32)</f>
        <v>1.00197320445621</v>
      </c>
      <c r="Z91" s="45">
        <f ca="1">ILP_A_CostFocused!$C$9*U91+ILP_A_CostFocused!$C$10*V91+ILP_A_CostFocused!$C$11*W91+ILP_A_CostFocused!$C$12*X91+ILP_A_CostFocused!$C$13*Y91</f>
        <v>10430.028643064625</v>
      </c>
      <c r="AA91" s="45">
        <f ca="1">ILP_A_CostFocused!$D$9*U91+ILP_A_CostFocused!$D$10*V91+ILP_A_CostFocused!$D$11*W91+ILP_A_CostFocused!$D$12*X91+ILP_A_CostFocused!$D$13*Y91</f>
        <v>14305.048676211187</v>
      </c>
      <c r="AB91" s="45">
        <f ca="1">ILP_A_CostFocused!$E$9*U91+ILP_A_CostFocused!$E$10*V91+ILP_A_CostFocused!$E$11*W91+ILP_A_CostFocused!$E$12*X91+ILP_A_CostFocused!$E$13*Y91</f>
        <v>12018.387446304267</v>
      </c>
      <c r="AC91" s="45">
        <f ca="1">Inputs!$B$6*$C91</f>
        <v>16200</v>
      </c>
      <c r="AD91" s="45">
        <f ca="1">Inputs!$B$7*$C91</f>
        <v>13500</v>
      </c>
      <c r="AE91" s="45">
        <f ca="1">Inputs!$B$8*$C91</f>
        <v>10800</v>
      </c>
      <c r="AF91" s="45">
        <f t="shared" ca="1" si="53"/>
        <v>5769.9713569353753</v>
      </c>
      <c r="AG91" s="45">
        <f t="shared" ca="1" si="54"/>
        <v>0</v>
      </c>
      <c r="AH91" s="45">
        <f t="shared" ca="1" si="55"/>
        <v>0</v>
      </c>
      <c r="AI91" s="45">
        <f t="shared" ca="1" si="56"/>
        <v>5769.9713569353753</v>
      </c>
      <c r="AJ91" s="45">
        <f ca="1">U91*(Inputs!$B$12-ILP_A_CostFocused!$F$9)+V91*(Inputs!$B$13-ILP_A_CostFocused!$F$10)+W91*(Inputs!$B$14-ILP_A_CostFocused!$F$11)+X91*(Inputs!$B$15-ILP_A_CostFocused!$F$12)+Y91*(Inputs!$B$16-ILP_A_CostFocused!$F$13)</f>
        <v>24863.321791165901</v>
      </c>
      <c r="AK91" s="45">
        <f t="shared" ca="1" si="57"/>
        <v>5769.9713569353753</v>
      </c>
      <c r="AL91" s="45">
        <f t="shared" ca="1" si="58"/>
        <v>0</v>
      </c>
      <c r="AM91" s="45">
        <f t="shared" ca="1" si="59"/>
        <v>0</v>
      </c>
      <c r="AN91" s="45">
        <f t="shared" ca="1" si="60"/>
        <v>0</v>
      </c>
      <c r="AO91" s="45">
        <f ca="1">MIN(AL91,Inputs!$B$36)</f>
        <v>0</v>
      </c>
      <c r="AP91" s="45">
        <f ca="1">MIN(AN91,Inputs!$B$36-AO91)</f>
        <v>0</v>
      </c>
      <c r="AQ91" s="45">
        <f ca="1">MIN(AM91,Inputs!$B$36-AO91-AP91)</f>
        <v>0</v>
      </c>
      <c r="AR91" s="45">
        <f t="shared" ca="1" si="61"/>
        <v>0</v>
      </c>
      <c r="AS91" s="45">
        <f t="shared" ca="1" si="62"/>
        <v>0</v>
      </c>
      <c r="AT91" s="45">
        <f t="shared" ca="1" si="63"/>
        <v>0</v>
      </c>
      <c r="AU91" s="45">
        <f t="shared" ca="1" si="64"/>
        <v>0</v>
      </c>
      <c r="AV91" s="46">
        <f ca="1">AU91*Inputs!$B$35</f>
        <v>0</v>
      </c>
      <c r="AW91" s="46">
        <f ca="1">AR91*Inputs!$C$6+AT91*Inputs!$C$7+AS91*Inputs!$C$8</f>
        <v>0</v>
      </c>
      <c r="AX91" s="46">
        <f t="shared" ca="1" si="65"/>
        <v>38875156.925260574</v>
      </c>
      <c r="AY91" s="46">
        <f ca="1">IF(J91&gt;1,($CD$4)*Inputs!$B$55*((Z91+AA91+AB91)/(SUM(ILP_A_CostFocused!$C$9:$E$13))),0)</f>
        <v>0</v>
      </c>
      <c r="AZ91" s="46">
        <f t="shared" ca="1" si="66"/>
        <v>0</v>
      </c>
      <c r="BA91" s="41">
        <f t="shared" ca="1" si="67"/>
        <v>0</v>
      </c>
      <c r="BB91" s="41">
        <f t="shared" ca="1" si="68"/>
        <v>1</v>
      </c>
      <c r="BC91" s="41">
        <f t="shared" ca="1" si="69"/>
        <v>1</v>
      </c>
      <c r="BD91" s="41">
        <f t="shared" ca="1" si="70"/>
        <v>1</v>
      </c>
    </row>
    <row r="92" spans="1:56" ht="15" customHeight="1" x14ac:dyDescent="0.3">
      <c r="A92" s="41">
        <v>85</v>
      </c>
      <c r="B92" s="42">
        <f t="shared" ca="1" si="52"/>
        <v>0.26428736811719911</v>
      </c>
      <c r="C92" s="43">
        <f ca="1">IF(B92&lt;=Inputs!$C$40,Inputs!$D$40,IF(B92&lt;=Inputs!$C$41,Inputs!$D$41,Inputs!$D$42))</f>
        <v>1</v>
      </c>
      <c r="D92" s="42">
        <f t="shared" ca="1" si="73"/>
        <v>0.20853342111528772</v>
      </c>
      <c r="E92" s="42">
        <f t="shared" ca="1" si="73"/>
        <v>0.25011272419480746</v>
      </c>
      <c r="F92" s="42">
        <f t="shared" ca="1" si="73"/>
        <v>0.19308094763266137</v>
      </c>
      <c r="G92" s="42">
        <f t="shared" ca="1" si="73"/>
        <v>0.59395973228739796</v>
      </c>
      <c r="H92" s="42">
        <f t="shared" ca="1" si="73"/>
        <v>0.67292359313029859</v>
      </c>
      <c r="I92" s="42">
        <f t="shared" ca="1" si="73"/>
        <v>0.52992889354135664</v>
      </c>
      <c r="J92" s="43">
        <f ca="1">IF(I92&lt;Inputs!$B$54,1+Inputs!$B$55,1)</f>
        <v>1</v>
      </c>
      <c r="K92" s="42">
        <f t="shared" ca="1" si="74"/>
        <v>0.39849199235440347</v>
      </c>
      <c r="L92" s="42">
        <f t="shared" ca="1" si="74"/>
        <v>0.27172980234564392</v>
      </c>
      <c r="M92" s="42">
        <f t="shared" ca="1" si="74"/>
        <v>0.25683174930216446</v>
      </c>
      <c r="N92" s="42">
        <f t="shared" ca="1" si="74"/>
        <v>0.43592318873450797</v>
      </c>
      <c r="O92" s="42">
        <f t="shared" ca="1" si="74"/>
        <v>0.5268855300185773</v>
      </c>
      <c r="P92" s="42">
        <f t="shared" ca="1" si="74"/>
        <v>0.99870491775496828</v>
      </c>
      <c r="Q92" s="42">
        <f t="shared" ca="1" si="74"/>
        <v>0.70162623016729364</v>
      </c>
      <c r="R92" s="42">
        <f t="shared" ca="1" si="74"/>
        <v>0.6068621937714872</v>
      </c>
      <c r="S92" s="42">
        <f t="shared" ca="1" si="74"/>
        <v>0.55241090470242249</v>
      </c>
      <c r="T92" s="42">
        <f t="shared" ca="1" si="74"/>
        <v>0.30293178558789391</v>
      </c>
      <c r="U92" s="44">
        <f ca="1">(IF(D92&gt;=Inputs!$E$12,1,IF(K92&lt;=Inputs!$C$46,Inputs!$D$46,IF(K92&lt;=Inputs!$C$47,Inputs!$D$47,Inputs!$D$48))))*((Inputs!$B$28+(P92-0.5)*2*Inputs!$B$53)/Inputs!$B$28)</f>
        <v>1.0050476206250503</v>
      </c>
      <c r="V92" s="44">
        <f ca="1">(IF(E92&gt;=Inputs!$E$13,1,IF(L92&lt;=Inputs!$C$46,Inputs!$D$46,IF(L92&lt;=Inputs!$C$47,Inputs!$D$47,Inputs!$D$48))))*((Inputs!$B$29+(Q92-0.5)*2*Inputs!$B$53)/Inputs!$B$29)</f>
        <v>1.0020325224815252</v>
      </c>
      <c r="W92" s="44">
        <f ca="1">(IF(F92&gt;=Inputs!$E$14,1,IF(M92&lt;=Inputs!$C$46,Inputs!$D$46,IF(M92&lt;=Inputs!$C$47,Inputs!$D$47,Inputs!$D$48))))*((Inputs!$B$30+(R92-0.5)*2*Inputs!$B$53)/Inputs!$B$30)</f>
        <v>1.0010739918972009</v>
      </c>
      <c r="X92" s="44">
        <f ca="1">(IF(G92&gt;=Inputs!$E$15,1,IF(N92&lt;=Inputs!$C$46,Inputs!$D$46,IF(N92&lt;=Inputs!$C$47,Inputs!$D$47,Inputs!$D$48))))*((Inputs!$B$31+(S92-0.5)*2*Inputs!$B$53)/Inputs!$B$31)</f>
        <v>1.0005320904030703</v>
      </c>
      <c r="Y92" s="44">
        <f ca="1">(IF(H92&gt;=Inputs!$E$16,1,IF(O92&lt;=Inputs!$C$46,Inputs!$D$46,IF(O92&lt;=Inputs!$C$47,Inputs!$D$47,Inputs!$D$48))))*((Inputs!$B$32+(T92-0.5)*2*Inputs!$B$53)/Inputs!$B$32)</f>
        <v>0.99801742239022018</v>
      </c>
      <c r="Z92" s="45">
        <f ca="1">ILP_A_CostFocused!$C$9*U92+ILP_A_CostFocused!$C$10*V92+ILP_A_CostFocused!$C$11*W92+ILP_A_CostFocused!$C$12*X92+ILP_A_CostFocused!$C$13*Y92</f>
        <v>18041.824116216892</v>
      </c>
      <c r="AA92" s="45">
        <f ca="1">ILP_A_CostFocused!$D$9*U92+ILP_A_CostFocused!$D$10*V92+ILP_A_CostFocused!$D$11*W92+ILP_A_CostFocused!$D$12*X92+ILP_A_CostFocused!$D$13*Y92</f>
        <v>15024.183914192919</v>
      </c>
      <c r="AB92" s="45">
        <f ca="1">ILP_A_CostFocused!$E$9*U92+ILP_A_CostFocused!$E$10*V92+ILP_A_CostFocused!$E$11*W92+ILP_A_CostFocused!$E$12*X92+ILP_A_CostFocused!$E$13*Y92</f>
        <v>12046.098976411682</v>
      </c>
      <c r="AC92" s="45">
        <f ca="1">Inputs!$B$6*$C92</f>
        <v>18000</v>
      </c>
      <c r="AD92" s="45">
        <f ca="1">Inputs!$B$7*$C92</f>
        <v>15000</v>
      </c>
      <c r="AE92" s="45">
        <f ca="1">Inputs!$B$8*$C92</f>
        <v>12000</v>
      </c>
      <c r="AF92" s="45">
        <f t="shared" ca="1" si="53"/>
        <v>0</v>
      </c>
      <c r="AG92" s="45">
        <f t="shared" ca="1" si="54"/>
        <v>0</v>
      </c>
      <c r="AH92" s="45">
        <f t="shared" ca="1" si="55"/>
        <v>0</v>
      </c>
      <c r="AI92" s="45">
        <f t="shared" ca="1" si="56"/>
        <v>0</v>
      </c>
      <c r="AJ92" s="45">
        <f ca="1">U92*(Inputs!$B$12-ILP_A_CostFocused!$F$9)+V92*(Inputs!$B$13-ILP_A_CostFocused!$F$10)+W92*(Inputs!$B$14-ILP_A_CostFocused!$F$11)+X92*(Inputs!$B$15-ILP_A_CostFocused!$F$12)+Y92*(Inputs!$B$16-ILP_A_CostFocused!$F$13)</f>
        <v>24987.718553274422</v>
      </c>
      <c r="AK92" s="45">
        <f t="shared" ca="1" si="57"/>
        <v>0</v>
      </c>
      <c r="AL92" s="45">
        <f t="shared" ca="1" si="58"/>
        <v>0</v>
      </c>
      <c r="AM92" s="45">
        <f t="shared" ca="1" si="59"/>
        <v>0</v>
      </c>
      <c r="AN92" s="45">
        <f t="shared" ca="1" si="60"/>
        <v>0</v>
      </c>
      <c r="AO92" s="45">
        <f ca="1">MIN(AL92,Inputs!$B$36)</f>
        <v>0</v>
      </c>
      <c r="AP92" s="45">
        <f ca="1">MIN(AN92,Inputs!$B$36-AO92)</f>
        <v>0</v>
      </c>
      <c r="AQ92" s="45">
        <f ca="1">MIN(AM92,Inputs!$B$36-AO92-AP92)</f>
        <v>0</v>
      </c>
      <c r="AR92" s="45">
        <f t="shared" ca="1" si="61"/>
        <v>0</v>
      </c>
      <c r="AS92" s="45">
        <f t="shared" ca="1" si="62"/>
        <v>0</v>
      </c>
      <c r="AT92" s="45">
        <f t="shared" ca="1" si="63"/>
        <v>0</v>
      </c>
      <c r="AU92" s="45">
        <f t="shared" ca="1" si="64"/>
        <v>0</v>
      </c>
      <c r="AV92" s="46">
        <f ca="1">AU92*Inputs!$B$35</f>
        <v>0</v>
      </c>
      <c r="AW92" s="46">
        <f ca="1">AR92*Inputs!$C$6+AT92*Inputs!$C$7+AS92*Inputs!$C$8</f>
        <v>0</v>
      </c>
      <c r="AX92" s="46">
        <f t="shared" ca="1" si="65"/>
        <v>47511030.076059937</v>
      </c>
      <c r="AY92" s="46">
        <f ca="1">IF(J92&gt;1,($CD$4)*Inputs!$B$55*((Z92+AA92+AB92)/(SUM(ILP_A_CostFocused!$C$9:$E$13))),0)</f>
        <v>0</v>
      </c>
      <c r="AZ92" s="46">
        <f t="shared" ca="1" si="66"/>
        <v>0</v>
      </c>
      <c r="BA92" s="41">
        <f t="shared" ca="1" si="67"/>
        <v>0</v>
      </c>
      <c r="BB92" s="41">
        <f t="shared" ca="1" si="68"/>
        <v>1</v>
      </c>
      <c r="BC92" s="41">
        <f t="shared" ca="1" si="69"/>
        <v>1</v>
      </c>
      <c r="BD92" s="41">
        <f t="shared" ca="1" si="70"/>
        <v>1</v>
      </c>
    </row>
    <row r="93" spans="1:56" ht="15" customHeight="1" x14ac:dyDescent="0.3">
      <c r="A93" s="41">
        <v>86</v>
      </c>
      <c r="B93" s="42">
        <f t="shared" ca="1" si="52"/>
        <v>3.8243182422577071E-2</v>
      </c>
      <c r="C93" s="43">
        <f ca="1">IF(B93&lt;=Inputs!$C$40,Inputs!$D$40,IF(B93&lt;=Inputs!$C$41,Inputs!$D$41,Inputs!$D$42))</f>
        <v>0.9</v>
      </c>
      <c r="D93" s="42">
        <f t="shared" ca="1" si="73"/>
        <v>0.13170196922585764</v>
      </c>
      <c r="E93" s="42">
        <f t="shared" ca="1" si="73"/>
        <v>0.34055006513127906</v>
      </c>
      <c r="F93" s="42">
        <f t="shared" ca="1" si="73"/>
        <v>0.17562447461975861</v>
      </c>
      <c r="G93" s="42">
        <f t="shared" ca="1" si="73"/>
        <v>6.4941210705030672E-2</v>
      </c>
      <c r="H93" s="42">
        <f t="shared" ca="1" si="73"/>
        <v>0.6667534599726862</v>
      </c>
      <c r="I93" s="42">
        <f t="shared" ca="1" si="73"/>
        <v>0.26530314283673717</v>
      </c>
      <c r="J93" s="43">
        <f ca="1">IF(I93&lt;Inputs!$B$54,1+Inputs!$B$55,1)</f>
        <v>1</v>
      </c>
      <c r="K93" s="42">
        <f t="shared" ca="1" si="74"/>
        <v>0.31280017091199908</v>
      </c>
      <c r="L93" s="42">
        <f t="shared" ca="1" si="74"/>
        <v>0.64312016595396915</v>
      </c>
      <c r="M93" s="42">
        <f t="shared" ca="1" si="74"/>
        <v>0.66681629778167639</v>
      </c>
      <c r="N93" s="42">
        <f t="shared" ca="1" si="74"/>
        <v>0.29048293836298911</v>
      </c>
      <c r="O93" s="42">
        <f t="shared" ca="1" si="74"/>
        <v>0.33441227016192188</v>
      </c>
      <c r="P93" s="42">
        <f t="shared" ca="1" si="74"/>
        <v>0.69680255002110192</v>
      </c>
      <c r="Q93" s="42">
        <f t="shared" ca="1" si="74"/>
        <v>0.32385224973382465</v>
      </c>
      <c r="R93" s="42">
        <f t="shared" ca="1" si="74"/>
        <v>0.52859989518185313</v>
      </c>
      <c r="S93" s="42">
        <f t="shared" ca="1" si="74"/>
        <v>0.55603489725665078</v>
      </c>
      <c r="T93" s="42">
        <f t="shared" ca="1" si="74"/>
        <v>0.78800144428833041</v>
      </c>
      <c r="U93" s="44">
        <f ca="1">(IF(D93&gt;=Inputs!$E$12,1,IF(K93&lt;=Inputs!$C$46,Inputs!$D$46,IF(K93&lt;=Inputs!$C$47,Inputs!$D$47,Inputs!$D$48))))*((Inputs!$B$28+(P93-0.5)*2*Inputs!$B$53)/Inputs!$B$28)</f>
        <v>1.0019919286439383</v>
      </c>
      <c r="V93" s="44">
        <f ca="1">(IF(E93&gt;=Inputs!$E$13,1,IF(L93&lt;=Inputs!$C$46,Inputs!$D$46,IF(L93&lt;=Inputs!$C$47,Inputs!$D$47,Inputs!$D$48))))*((Inputs!$B$29+(Q93-0.5)*2*Inputs!$B$53)/Inputs!$B$29)</f>
        <v>0.99822431703360714</v>
      </c>
      <c r="W93" s="44">
        <f ca="1">(IF(F93&gt;=Inputs!$E$14,1,IF(M93&lt;=Inputs!$C$46,Inputs!$D$46,IF(M93&lt;=Inputs!$C$47,Inputs!$D$47,Inputs!$D$48))))*((Inputs!$B$30+(R93-0.5)*2*Inputs!$B$53)/Inputs!$B$30)</f>
        <v>1.0002874361324809</v>
      </c>
      <c r="X93" s="44">
        <f ca="1">(IF(G93&gt;=Inputs!$E$15,1,IF(N93&lt;=Inputs!$C$46,Inputs!$D$46,IF(N93&lt;=Inputs!$C$47,Inputs!$D$47,Inputs!$D$48))))*((Inputs!$B$31+(S93-0.5)*2*Inputs!$B$53)/Inputs!$B$31)</f>
        <v>0.60034132932339079</v>
      </c>
      <c r="Y93" s="44">
        <f ca="1">(IF(H93&gt;=Inputs!$E$16,1,IF(O93&lt;=Inputs!$C$46,Inputs!$D$46,IF(O93&lt;=Inputs!$C$47,Inputs!$D$47,Inputs!$D$48))))*((Inputs!$B$32+(T93-0.5)*2*Inputs!$B$53)/Inputs!$B$32)</f>
        <v>1.0028973988358987</v>
      </c>
      <c r="Z93" s="45">
        <f ca="1">ILP_A_CostFocused!$C$9*U93+ILP_A_CostFocused!$C$10*V93+ILP_A_CostFocused!$C$11*W93+ILP_A_CostFocused!$C$12*X93+ILP_A_CostFocused!$C$13*Y93</f>
        <v>13697.696693107267</v>
      </c>
      <c r="AA93" s="45">
        <f ca="1">ILP_A_CostFocused!$D$9*U93+ILP_A_CostFocused!$D$10*V93+ILP_A_CostFocused!$D$11*W93+ILP_A_CostFocused!$D$12*X93+ILP_A_CostFocused!$D$13*Y93</f>
        <v>14577.798441152077</v>
      </c>
      <c r="AB93" s="45">
        <f ca="1">ILP_A_CostFocused!$E$9*U93+ILP_A_CostFocused!$E$10*V93+ILP_A_CostFocused!$E$11*W93+ILP_A_CostFocused!$E$12*X93+ILP_A_CostFocused!$E$13*Y93</f>
        <v>12005.818607997669</v>
      </c>
      <c r="AC93" s="45">
        <f ca="1">Inputs!$B$6*$C93</f>
        <v>16200</v>
      </c>
      <c r="AD93" s="45">
        <f ca="1">Inputs!$B$7*$C93</f>
        <v>13500</v>
      </c>
      <c r="AE93" s="45">
        <f ca="1">Inputs!$B$8*$C93</f>
        <v>10800</v>
      </c>
      <c r="AF93" s="45">
        <f t="shared" ca="1" si="53"/>
        <v>2502.3033068927325</v>
      </c>
      <c r="AG93" s="45">
        <f t="shared" ca="1" si="54"/>
        <v>0</v>
      </c>
      <c r="AH93" s="45">
        <f t="shared" ca="1" si="55"/>
        <v>0</v>
      </c>
      <c r="AI93" s="45">
        <f t="shared" ca="1" si="56"/>
        <v>2502.3033068927325</v>
      </c>
      <c r="AJ93" s="45">
        <f ca="1">U93*(Inputs!$B$12-ILP_A_CostFocused!$F$9)+V93*(Inputs!$B$13-ILP_A_CostFocused!$F$10)+W93*(Inputs!$B$14-ILP_A_CostFocused!$F$11)+X93*(Inputs!$B$15-ILP_A_CostFocused!$F$12)+Y93*(Inputs!$B$16-ILP_A_CostFocused!$F$13)</f>
        <v>24976.991158657918</v>
      </c>
      <c r="AK93" s="45">
        <f t="shared" ca="1" si="57"/>
        <v>2502.3033068927325</v>
      </c>
      <c r="AL93" s="45">
        <f t="shared" ca="1" si="58"/>
        <v>0</v>
      </c>
      <c r="AM93" s="45">
        <f t="shared" ca="1" si="59"/>
        <v>0</v>
      </c>
      <c r="AN93" s="45">
        <f t="shared" ca="1" si="60"/>
        <v>0</v>
      </c>
      <c r="AO93" s="45">
        <f ca="1">MIN(AL93,Inputs!$B$36)</f>
        <v>0</v>
      </c>
      <c r="AP93" s="45">
        <f ca="1">MIN(AN93,Inputs!$B$36-AO93)</f>
        <v>0</v>
      </c>
      <c r="AQ93" s="45">
        <f ca="1">MIN(AM93,Inputs!$B$36-AO93-AP93)</f>
        <v>0</v>
      </c>
      <c r="AR93" s="45">
        <f t="shared" ca="1" si="61"/>
        <v>0</v>
      </c>
      <c r="AS93" s="45">
        <f t="shared" ca="1" si="62"/>
        <v>0</v>
      </c>
      <c r="AT93" s="45">
        <f t="shared" ca="1" si="63"/>
        <v>0</v>
      </c>
      <c r="AU93" s="45">
        <f t="shared" ca="1" si="64"/>
        <v>0</v>
      </c>
      <c r="AV93" s="46">
        <f ca="1">AU93*Inputs!$B$35</f>
        <v>0</v>
      </c>
      <c r="AW93" s="46">
        <f ca="1">AR93*Inputs!$C$6+AT93*Inputs!$C$7+AS93*Inputs!$C$8</f>
        <v>0</v>
      </c>
      <c r="AX93" s="46">
        <f t="shared" ca="1" si="65"/>
        <v>42517987.588672899</v>
      </c>
      <c r="AY93" s="46">
        <f ca="1">IF(J93&gt;1,($CD$4)*Inputs!$B$55*((Z93+AA93+AB93)/(SUM(ILP_A_CostFocused!$C$9:$E$13))),0)</f>
        <v>0</v>
      </c>
      <c r="AZ93" s="46">
        <f t="shared" ca="1" si="66"/>
        <v>0</v>
      </c>
      <c r="BA93" s="41">
        <f t="shared" ca="1" si="67"/>
        <v>0</v>
      </c>
      <c r="BB93" s="41">
        <f t="shared" ca="1" si="68"/>
        <v>1</v>
      </c>
      <c r="BC93" s="41">
        <f t="shared" ca="1" si="69"/>
        <v>1</v>
      </c>
      <c r="BD93" s="41">
        <f t="shared" ca="1" si="70"/>
        <v>1</v>
      </c>
    </row>
    <row r="94" spans="1:56" ht="15" customHeight="1" x14ac:dyDescent="0.3">
      <c r="A94" s="41">
        <v>87</v>
      </c>
      <c r="B94" s="42">
        <f t="shared" ca="1" si="52"/>
        <v>0.33249960578790039</v>
      </c>
      <c r="C94" s="43">
        <f ca="1">IF(B94&lt;=Inputs!$C$40,Inputs!$D$40,IF(B94&lt;=Inputs!$C$41,Inputs!$D$41,Inputs!$D$42))</f>
        <v>1</v>
      </c>
      <c r="D94" s="42">
        <f t="shared" ca="1" si="73"/>
        <v>0.94631633999841713</v>
      </c>
      <c r="E94" s="42">
        <f t="shared" ca="1" si="73"/>
        <v>0.43246842282006082</v>
      </c>
      <c r="F94" s="42">
        <f t="shared" ca="1" si="73"/>
        <v>0.63476092864632105</v>
      </c>
      <c r="G94" s="42">
        <f t="shared" ca="1" si="73"/>
        <v>0.93934125302945282</v>
      </c>
      <c r="H94" s="42">
        <f t="shared" ca="1" si="73"/>
        <v>0.49879381211302409</v>
      </c>
      <c r="I94" s="42">
        <f t="shared" ca="1" si="73"/>
        <v>8.0185498542934552E-2</v>
      </c>
      <c r="J94" s="43">
        <f ca="1">IF(I94&lt;Inputs!$B$54,1+Inputs!$B$55,1)</f>
        <v>1</v>
      </c>
      <c r="K94" s="42">
        <f t="shared" ca="1" si="74"/>
        <v>0.70870824939598709</v>
      </c>
      <c r="L94" s="42">
        <f t="shared" ca="1" si="74"/>
        <v>5.1206971496782216E-2</v>
      </c>
      <c r="M94" s="42">
        <f t="shared" ca="1" si="74"/>
        <v>0.97154533949389199</v>
      </c>
      <c r="N94" s="42">
        <f t="shared" ca="1" si="74"/>
        <v>0.33114182285807314</v>
      </c>
      <c r="O94" s="42">
        <f t="shared" ca="1" si="74"/>
        <v>5.6961361690874623E-2</v>
      </c>
      <c r="P94" s="42">
        <f t="shared" ca="1" si="74"/>
        <v>0.87783781636216429</v>
      </c>
      <c r="Q94" s="42">
        <f t="shared" ca="1" si="74"/>
        <v>0.96041817048151679</v>
      </c>
      <c r="R94" s="42">
        <f t="shared" ca="1" si="74"/>
        <v>4.016768196939835E-2</v>
      </c>
      <c r="S94" s="42">
        <f t="shared" ca="1" si="74"/>
        <v>0.50124142458813215</v>
      </c>
      <c r="T94" s="42">
        <f t="shared" ca="1" si="74"/>
        <v>0.89810298329825267</v>
      </c>
      <c r="U94" s="44">
        <f ca="1">(IF(D94&gt;=Inputs!$E$12,1,IF(K94&lt;=Inputs!$C$46,Inputs!$D$46,IF(K94&lt;=Inputs!$C$47,Inputs!$D$47,Inputs!$D$48))))*((Inputs!$B$28+(P94-0.5)*2*Inputs!$B$53)/Inputs!$B$28)</f>
        <v>1.0038242693963781</v>
      </c>
      <c r="V94" s="44">
        <f ca="1">(IF(E94&gt;=Inputs!$E$13,1,IF(L94&lt;=Inputs!$C$46,Inputs!$D$46,IF(L94&lt;=Inputs!$C$47,Inputs!$D$47,Inputs!$D$48))))*((Inputs!$B$29+(Q94-0.5)*2*Inputs!$B$53)/Inputs!$B$29)</f>
        <v>1.0046413122024347</v>
      </c>
      <c r="W94" s="44">
        <f ca="1">(IF(F94&gt;=Inputs!$E$14,1,IF(M94&lt;=Inputs!$C$46,Inputs!$D$46,IF(M94&lt;=Inputs!$C$47,Inputs!$D$47,Inputs!$D$48))))*((Inputs!$B$30+(R94-0.5)*2*Inputs!$B$53)/Inputs!$B$30)</f>
        <v>0.99537856966803406</v>
      </c>
      <c r="X94" s="44">
        <f ca="1">(IF(G94&gt;=Inputs!$E$15,1,IF(N94&lt;=Inputs!$C$46,Inputs!$D$46,IF(N94&lt;=Inputs!$C$47,Inputs!$D$47,Inputs!$D$48))))*((Inputs!$B$31+(S94-0.5)*2*Inputs!$B$53)/Inputs!$B$31)</f>
        <v>1.0000126032953109</v>
      </c>
      <c r="Y94" s="44">
        <f ca="1">(IF(H94&gt;=Inputs!$E$16,1,IF(O94&lt;=Inputs!$C$46,Inputs!$D$46,IF(O94&lt;=Inputs!$C$47,Inputs!$D$47,Inputs!$D$48))))*((Inputs!$B$32+(T94-0.5)*2*Inputs!$B$53)/Inputs!$B$32)</f>
        <v>1.0040050601941475</v>
      </c>
      <c r="Z94" s="45">
        <f ca="1">ILP_A_CostFocused!$C$9*U94+ILP_A_CostFocused!$C$10*V94+ILP_A_CostFocused!$C$11*W94+ILP_A_CostFocused!$C$12*X94+ILP_A_CostFocused!$C$13*Y94</f>
        <v>18027.742755010215</v>
      </c>
      <c r="AA94" s="45">
        <f ca="1">ILP_A_CostFocused!$D$9*U94+ILP_A_CostFocused!$D$10*V94+ILP_A_CostFocused!$D$11*W94+ILP_A_CostFocused!$D$12*X94+ILP_A_CostFocused!$D$13*Y94</f>
        <v>15018.769942129938</v>
      </c>
      <c r="AB94" s="45">
        <f ca="1">ILP_A_CostFocused!$E$9*U94+ILP_A_CostFocused!$E$10*V94+ILP_A_CostFocused!$E$11*W94+ILP_A_CostFocused!$E$12*X94+ILP_A_CostFocused!$E$13*Y94</f>
        <v>12049.813038225609</v>
      </c>
      <c r="AC94" s="45">
        <f ca="1">Inputs!$B$6*$C94</f>
        <v>18000</v>
      </c>
      <c r="AD94" s="45">
        <f ca="1">Inputs!$B$7*$C94</f>
        <v>15000</v>
      </c>
      <c r="AE94" s="45">
        <f ca="1">Inputs!$B$8*$C94</f>
        <v>12000</v>
      </c>
      <c r="AF94" s="45">
        <f t="shared" ca="1" si="53"/>
        <v>0</v>
      </c>
      <c r="AG94" s="45">
        <f t="shared" ca="1" si="54"/>
        <v>0</v>
      </c>
      <c r="AH94" s="45">
        <f t="shared" ca="1" si="55"/>
        <v>0</v>
      </c>
      <c r="AI94" s="45">
        <f t="shared" ca="1" si="56"/>
        <v>0</v>
      </c>
      <c r="AJ94" s="45">
        <f ca="1">U94*(Inputs!$B$12-ILP_A_CostFocused!$F$9)+V94*(Inputs!$B$13-ILP_A_CostFocused!$F$10)+W94*(Inputs!$B$14-ILP_A_CostFocused!$F$11)+X94*(Inputs!$B$15-ILP_A_CostFocused!$F$12)+Y94*(Inputs!$B$16-ILP_A_CostFocused!$F$13)</f>
        <v>25029.989493950761</v>
      </c>
      <c r="AK94" s="45">
        <f t="shared" ca="1" si="57"/>
        <v>0</v>
      </c>
      <c r="AL94" s="45">
        <f t="shared" ca="1" si="58"/>
        <v>0</v>
      </c>
      <c r="AM94" s="45">
        <f t="shared" ca="1" si="59"/>
        <v>0</v>
      </c>
      <c r="AN94" s="45">
        <f t="shared" ca="1" si="60"/>
        <v>0</v>
      </c>
      <c r="AO94" s="45">
        <f ca="1">MIN(AL94,Inputs!$B$36)</f>
        <v>0</v>
      </c>
      <c r="AP94" s="45">
        <f ca="1">MIN(AN94,Inputs!$B$36-AO94)</f>
        <v>0</v>
      </c>
      <c r="AQ94" s="45">
        <f ca="1">MIN(AM94,Inputs!$B$36-AO94-AP94)</f>
        <v>0</v>
      </c>
      <c r="AR94" s="45">
        <f t="shared" ca="1" si="61"/>
        <v>0</v>
      </c>
      <c r="AS94" s="45">
        <f t="shared" ca="1" si="62"/>
        <v>0</v>
      </c>
      <c r="AT94" s="45">
        <f t="shared" ca="1" si="63"/>
        <v>0</v>
      </c>
      <c r="AU94" s="45">
        <f t="shared" ca="1" si="64"/>
        <v>0</v>
      </c>
      <c r="AV94" s="46">
        <f ca="1">AU94*Inputs!$B$35</f>
        <v>0</v>
      </c>
      <c r="AW94" s="46">
        <f ca="1">AR94*Inputs!$C$6+AT94*Inputs!$C$7+AS94*Inputs!$C$8</f>
        <v>0</v>
      </c>
      <c r="AX94" s="46">
        <f t="shared" ca="1" si="65"/>
        <v>47494836.463241801</v>
      </c>
      <c r="AY94" s="46">
        <f ca="1">IF(J94&gt;1,($CD$4)*Inputs!$B$55*((Z94+AA94+AB94)/(SUM(ILP_A_CostFocused!$C$9:$E$13))),0)</f>
        <v>0</v>
      </c>
      <c r="AZ94" s="46">
        <f t="shared" ca="1" si="66"/>
        <v>0</v>
      </c>
      <c r="BA94" s="41">
        <f t="shared" ca="1" si="67"/>
        <v>0</v>
      </c>
      <c r="BB94" s="41">
        <f t="shared" ca="1" si="68"/>
        <v>1</v>
      </c>
      <c r="BC94" s="41">
        <f t="shared" ca="1" si="69"/>
        <v>1</v>
      </c>
      <c r="BD94" s="41">
        <f t="shared" ca="1" si="70"/>
        <v>1</v>
      </c>
    </row>
    <row r="95" spans="1:56" ht="15" customHeight="1" x14ac:dyDescent="0.3">
      <c r="A95" s="41">
        <v>88</v>
      </c>
      <c r="B95" s="42">
        <f t="shared" ca="1" si="52"/>
        <v>0.50216044261053661</v>
      </c>
      <c r="C95" s="43">
        <f ca="1">IF(B95&lt;=Inputs!$C$40,Inputs!$D$40,IF(B95&lt;=Inputs!$C$41,Inputs!$D$41,Inputs!$D$42))</f>
        <v>1</v>
      </c>
      <c r="D95" s="42">
        <f t="shared" ca="1" si="73"/>
        <v>0.85512002894610217</v>
      </c>
      <c r="E95" s="42">
        <f t="shared" ca="1" si="73"/>
        <v>0.86997637359400448</v>
      </c>
      <c r="F95" s="42">
        <f t="shared" ca="1" si="73"/>
        <v>0.27444987129343512</v>
      </c>
      <c r="G95" s="42">
        <f t="shared" ca="1" si="73"/>
        <v>0.41752721829610684</v>
      </c>
      <c r="H95" s="42">
        <f t="shared" ca="1" si="73"/>
        <v>0.2285836220914409</v>
      </c>
      <c r="I95" s="42">
        <f t="shared" ca="1" si="73"/>
        <v>0.89064129038551154</v>
      </c>
      <c r="J95" s="43">
        <f ca="1">IF(I95&lt;Inputs!$B$54,1+Inputs!$B$55,1)</f>
        <v>1</v>
      </c>
      <c r="K95" s="42">
        <f t="shared" ca="1" si="74"/>
        <v>0.12200894663646589</v>
      </c>
      <c r="L95" s="42">
        <f t="shared" ca="1" si="74"/>
        <v>0.96250436410474915</v>
      </c>
      <c r="M95" s="42">
        <f t="shared" ca="1" si="74"/>
        <v>0.14182534296019977</v>
      </c>
      <c r="N95" s="42">
        <f t="shared" ca="1" si="74"/>
        <v>0.71401009970499352</v>
      </c>
      <c r="O95" s="42">
        <f t="shared" ca="1" si="74"/>
        <v>0.94506904263987701</v>
      </c>
      <c r="P95" s="42">
        <f t="shared" ca="1" si="74"/>
        <v>0.84370215365019918</v>
      </c>
      <c r="Q95" s="42">
        <f t="shared" ca="1" si="74"/>
        <v>0.960900534996593</v>
      </c>
      <c r="R95" s="42">
        <f t="shared" ca="1" si="74"/>
        <v>0.78089659787451127</v>
      </c>
      <c r="S95" s="42">
        <f t="shared" ca="1" si="74"/>
        <v>0.21410444581230648</v>
      </c>
      <c r="T95" s="42">
        <f t="shared" ca="1" si="74"/>
        <v>0.50130648202703154</v>
      </c>
      <c r="U95" s="44">
        <f ca="1">(IF(D95&gt;=Inputs!$E$12,1,IF(K95&lt;=Inputs!$C$46,Inputs!$D$46,IF(K95&lt;=Inputs!$C$47,Inputs!$D$47,Inputs!$D$48))))*((Inputs!$B$28+(P95-0.5)*2*Inputs!$B$53)/Inputs!$B$28)</f>
        <v>1.0034787667373501</v>
      </c>
      <c r="V95" s="44">
        <f ca="1">(IF(E95&gt;=Inputs!$E$13,1,IF(L95&lt;=Inputs!$C$46,Inputs!$D$46,IF(L95&lt;=Inputs!$C$47,Inputs!$D$47,Inputs!$D$48))))*((Inputs!$B$29+(Q95-0.5)*2*Inputs!$B$53)/Inputs!$B$29)</f>
        <v>1.0046461747479496</v>
      </c>
      <c r="W95" s="44">
        <f ca="1">(IF(F95&gt;=Inputs!$E$14,1,IF(M95&lt;=Inputs!$C$46,Inputs!$D$46,IF(M95&lt;=Inputs!$C$47,Inputs!$D$47,Inputs!$D$48))))*((Inputs!$B$30+(R95-0.5)*2*Inputs!$B$53)/Inputs!$B$30)</f>
        <v>1.0028230813856736</v>
      </c>
      <c r="X95" s="44">
        <f ca="1">(IF(G95&gt;=Inputs!$E$15,1,IF(N95&lt;=Inputs!$C$46,Inputs!$D$46,IF(N95&lt;=Inputs!$C$47,Inputs!$D$47,Inputs!$D$48))))*((Inputs!$B$31+(S95-0.5)*2*Inputs!$B$53)/Inputs!$B$31)</f>
        <v>0.99709750706408429</v>
      </c>
      <c r="Y95" s="44">
        <f ca="1">(IF(H95&gt;=Inputs!$E$16,1,IF(O95&lt;=Inputs!$C$46,Inputs!$D$46,IF(O95&lt;=Inputs!$C$47,Inputs!$D$47,Inputs!$D$48))))*((Inputs!$B$32+(T95-0.5)*2*Inputs!$B$53)/Inputs!$B$32)</f>
        <v>1.0000131436823645</v>
      </c>
      <c r="Z95" s="45">
        <f ca="1">ILP_A_CostFocused!$C$9*U95+ILP_A_CostFocused!$C$10*V95+ILP_A_CostFocused!$C$11*W95+ILP_A_CostFocused!$C$12*X95+ILP_A_CostFocused!$C$13*Y95</f>
        <v>17993.802928705962</v>
      </c>
      <c r="AA95" s="45">
        <f ca="1">ILP_A_CostFocused!$D$9*U95+ILP_A_CostFocused!$D$10*V95+ILP_A_CostFocused!$D$11*W95+ILP_A_CostFocused!$D$12*X95+ILP_A_CostFocused!$D$13*Y95</f>
        <v>15052.913975237567</v>
      </c>
      <c r="AB95" s="45">
        <f ca="1">ILP_A_CostFocused!$E$9*U95+ILP_A_CostFocused!$E$10*V95+ILP_A_CostFocused!$E$11*W95+ILP_A_CostFocused!$E$12*X95+ILP_A_CostFocused!$E$13*Y95</f>
        <v>12047.348759299079</v>
      </c>
      <c r="AC95" s="45">
        <f ca="1">Inputs!$B$6*$C95</f>
        <v>18000</v>
      </c>
      <c r="AD95" s="45">
        <f ca="1">Inputs!$B$7*$C95</f>
        <v>15000</v>
      </c>
      <c r="AE95" s="45">
        <f ca="1">Inputs!$B$8*$C95</f>
        <v>12000</v>
      </c>
      <c r="AF95" s="45">
        <f t="shared" ca="1" si="53"/>
        <v>6.1970712940383237</v>
      </c>
      <c r="AG95" s="45">
        <f t="shared" ca="1" si="54"/>
        <v>0</v>
      </c>
      <c r="AH95" s="45">
        <f t="shared" ca="1" si="55"/>
        <v>0</v>
      </c>
      <c r="AI95" s="45">
        <f t="shared" ca="1" si="56"/>
        <v>6.1970712940383237</v>
      </c>
      <c r="AJ95" s="45">
        <f ca="1">U95*(Inputs!$B$12-ILP_A_CostFocused!$F$9)+V95*(Inputs!$B$13-ILP_A_CostFocused!$F$10)+W95*(Inputs!$B$14-ILP_A_CostFocused!$F$11)+X95*(Inputs!$B$15-ILP_A_CostFocused!$F$12)+Y95*(Inputs!$B$16-ILP_A_CostFocused!$F$13)</f>
        <v>25028.708349044522</v>
      </c>
      <c r="AK95" s="45">
        <f t="shared" ca="1" si="57"/>
        <v>6.1970712940383237</v>
      </c>
      <c r="AL95" s="45">
        <f t="shared" ca="1" si="58"/>
        <v>0</v>
      </c>
      <c r="AM95" s="45">
        <f t="shared" ca="1" si="59"/>
        <v>0</v>
      </c>
      <c r="AN95" s="45">
        <f t="shared" ca="1" si="60"/>
        <v>0</v>
      </c>
      <c r="AO95" s="45">
        <f ca="1">MIN(AL95,Inputs!$B$36)</f>
        <v>0</v>
      </c>
      <c r="AP95" s="45">
        <f ca="1">MIN(AN95,Inputs!$B$36-AO95)</f>
        <v>0</v>
      </c>
      <c r="AQ95" s="45">
        <f ca="1">MIN(AM95,Inputs!$B$36-AO95-AP95)</f>
        <v>0</v>
      </c>
      <c r="AR95" s="45">
        <f t="shared" ca="1" si="61"/>
        <v>0</v>
      </c>
      <c r="AS95" s="45">
        <f t="shared" ca="1" si="62"/>
        <v>0</v>
      </c>
      <c r="AT95" s="45">
        <f t="shared" ca="1" si="63"/>
        <v>0</v>
      </c>
      <c r="AU95" s="45">
        <f t="shared" ca="1" si="64"/>
        <v>0</v>
      </c>
      <c r="AV95" s="46">
        <f ca="1">AU95*Inputs!$B$35</f>
        <v>0</v>
      </c>
      <c r="AW95" s="46">
        <f ca="1">AR95*Inputs!$C$6+AT95*Inputs!$C$7+AS95*Inputs!$C$8</f>
        <v>0</v>
      </c>
      <c r="AX95" s="46">
        <f t="shared" ca="1" si="65"/>
        <v>47493159.072013102</v>
      </c>
      <c r="AY95" s="46">
        <f ca="1">IF(J95&gt;1,($CD$4)*Inputs!$B$55*((Z95+AA95+AB95)/(SUM(ILP_A_CostFocused!$C$9:$E$13))),0)</f>
        <v>0</v>
      </c>
      <c r="AZ95" s="46">
        <f t="shared" ca="1" si="66"/>
        <v>0</v>
      </c>
      <c r="BA95" s="41">
        <f t="shared" ca="1" si="67"/>
        <v>0</v>
      </c>
      <c r="BB95" s="41">
        <f t="shared" ca="1" si="68"/>
        <v>1</v>
      </c>
      <c r="BC95" s="41">
        <f t="shared" ca="1" si="69"/>
        <v>1</v>
      </c>
      <c r="BD95" s="41">
        <f t="shared" ca="1" si="70"/>
        <v>1</v>
      </c>
    </row>
    <row r="96" spans="1:56" ht="15" customHeight="1" x14ac:dyDescent="0.3">
      <c r="A96" s="41">
        <v>89</v>
      </c>
      <c r="B96" s="42">
        <f t="shared" ca="1" si="52"/>
        <v>0.30183801207065875</v>
      </c>
      <c r="C96" s="43">
        <f ca="1">IF(B96&lt;=Inputs!$C$40,Inputs!$D$40,IF(B96&lt;=Inputs!$C$41,Inputs!$D$41,Inputs!$D$42))</f>
        <v>1</v>
      </c>
      <c r="D96" s="42">
        <f t="shared" ca="1" si="73"/>
        <v>0.77902140903325601</v>
      </c>
      <c r="E96" s="42">
        <f t="shared" ca="1" si="73"/>
        <v>0.49766707896892959</v>
      </c>
      <c r="F96" s="42">
        <f t="shared" ca="1" si="73"/>
        <v>0.52447257428635796</v>
      </c>
      <c r="G96" s="42">
        <f t="shared" ca="1" si="73"/>
        <v>5.5932834945066512E-2</v>
      </c>
      <c r="H96" s="42">
        <f t="shared" ca="1" si="73"/>
        <v>8.4232331866504473E-2</v>
      </c>
      <c r="I96" s="42">
        <f t="shared" ca="1" si="73"/>
        <v>0.43377798596727013</v>
      </c>
      <c r="J96" s="43">
        <f ca="1">IF(I96&lt;Inputs!$B$54,1+Inputs!$B$55,1)</f>
        <v>1</v>
      </c>
      <c r="K96" s="42">
        <f t="shared" ca="1" si="74"/>
        <v>0.26240898143456026</v>
      </c>
      <c r="L96" s="42">
        <f t="shared" ca="1" si="74"/>
        <v>0.54734340666869374</v>
      </c>
      <c r="M96" s="42">
        <f t="shared" ca="1" si="74"/>
        <v>7.2907002667004228E-3</v>
      </c>
      <c r="N96" s="42">
        <f t="shared" ca="1" si="74"/>
        <v>0.50766308899038537</v>
      </c>
      <c r="O96" s="42">
        <f t="shared" ca="1" si="74"/>
        <v>0.60280659723111529</v>
      </c>
      <c r="P96" s="42">
        <f t="shared" ca="1" si="74"/>
        <v>0.22527556745323829</v>
      </c>
      <c r="Q96" s="42">
        <f t="shared" ca="1" si="74"/>
        <v>0.95270736240052101</v>
      </c>
      <c r="R96" s="42">
        <f t="shared" ca="1" si="74"/>
        <v>9.7816675876460146E-2</v>
      </c>
      <c r="S96" s="42">
        <f t="shared" ca="1" si="74"/>
        <v>0.82751921082065893</v>
      </c>
      <c r="T96" s="42">
        <f t="shared" ca="1" si="74"/>
        <v>0.39386649434541199</v>
      </c>
      <c r="U96" s="44">
        <f ca="1">(IF(D96&gt;=Inputs!$E$12,1,IF(K96&lt;=Inputs!$C$46,Inputs!$D$46,IF(K96&lt;=Inputs!$C$47,Inputs!$D$47,Inputs!$D$48))))*((Inputs!$B$28+(P96-0.5)*2*Inputs!$B$53)/Inputs!$B$28)</f>
        <v>0.99721938833454693</v>
      </c>
      <c r="V96" s="44">
        <f ca="1">(IF(E96&gt;=Inputs!$E$13,1,IF(L96&lt;=Inputs!$C$46,Inputs!$D$46,IF(L96&lt;=Inputs!$C$47,Inputs!$D$47,Inputs!$D$48))))*((Inputs!$B$29+(Q96-0.5)*2*Inputs!$B$53)/Inputs!$B$29)</f>
        <v>1.0045635822822634</v>
      </c>
      <c r="W96" s="44">
        <f ca="1">(IF(F96&gt;=Inputs!$E$14,1,IF(M96&lt;=Inputs!$C$46,Inputs!$D$46,IF(M96&lt;=Inputs!$C$47,Inputs!$D$47,Inputs!$D$48))))*((Inputs!$B$30+(R96-0.5)*2*Inputs!$B$53)/Inputs!$B$30)</f>
        <v>0.99595795654147201</v>
      </c>
      <c r="X96" s="44">
        <f ca="1">(IF(G96&gt;=Inputs!$E$15,1,IF(N96&lt;=Inputs!$C$46,Inputs!$D$46,IF(N96&lt;=Inputs!$C$47,Inputs!$D$47,Inputs!$D$48))))*((Inputs!$B$31+(S96-0.5)*2*Inputs!$B$53)/Inputs!$B$31)</f>
        <v>0.30099752043904765</v>
      </c>
      <c r="Y96" s="44">
        <f ca="1">(IF(H96&gt;=Inputs!$E$16,1,IF(O96&lt;=Inputs!$C$46,Inputs!$D$46,IF(O96&lt;=Inputs!$C$47,Inputs!$D$47,Inputs!$D$48))))*((Inputs!$B$32+(T96-0.5)*2*Inputs!$B$53)/Inputs!$B$32)</f>
        <v>0.99893225849442058</v>
      </c>
      <c r="Z96" s="45">
        <f ca="1">ILP_A_CostFocused!$C$9*U96+ILP_A_CostFocused!$C$10*V96+ILP_A_CostFocused!$C$11*W96+ILP_A_CostFocused!$C$12*X96+ILP_A_CostFocused!$C$13*Y96</f>
        <v>10431.399105817851</v>
      </c>
      <c r="AA96" s="45">
        <f ca="1">ILP_A_CostFocused!$D$9*U96+ILP_A_CostFocused!$D$10*V96+ILP_A_CostFocused!$D$11*W96+ILP_A_CostFocused!$D$12*X96+ILP_A_CostFocused!$D$13*Y96</f>
        <v>14307.960334964728</v>
      </c>
      <c r="AB96" s="45">
        <f ca="1">ILP_A_CostFocused!$E$9*U96+ILP_A_CostFocused!$E$10*V96+ILP_A_CostFocused!$E$11*W96+ILP_A_CostFocused!$E$12*X96+ILP_A_CostFocused!$E$13*Y96</f>
        <v>12001.884790963602</v>
      </c>
      <c r="AC96" s="45">
        <f ca="1">Inputs!$B$6*$C96</f>
        <v>18000</v>
      </c>
      <c r="AD96" s="45">
        <f ca="1">Inputs!$B$7*$C96</f>
        <v>15000</v>
      </c>
      <c r="AE96" s="45">
        <f ca="1">Inputs!$B$8*$C96</f>
        <v>12000</v>
      </c>
      <c r="AF96" s="45">
        <f t="shared" ca="1" si="53"/>
        <v>7568.6008941821492</v>
      </c>
      <c r="AG96" s="45">
        <f t="shared" ca="1" si="54"/>
        <v>692.03966503527226</v>
      </c>
      <c r="AH96" s="45">
        <f t="shared" ca="1" si="55"/>
        <v>0</v>
      </c>
      <c r="AI96" s="45">
        <f t="shared" ca="1" si="56"/>
        <v>8260.6405592174215</v>
      </c>
      <c r="AJ96" s="45">
        <f ca="1">U96*(Inputs!$B$12-ILP_A_CostFocused!$F$9)+V96*(Inputs!$B$13-ILP_A_CostFocused!$F$10)+W96*(Inputs!$B$14-ILP_A_CostFocused!$F$11)+X96*(Inputs!$B$15-ILP_A_CostFocused!$F$12)+Y96*(Inputs!$B$16-ILP_A_CostFocused!$F$13)</f>
        <v>24821.563691282274</v>
      </c>
      <c r="AK96" s="45">
        <f t="shared" ca="1" si="57"/>
        <v>8260.6405592174215</v>
      </c>
      <c r="AL96" s="45">
        <f t="shared" ca="1" si="58"/>
        <v>0</v>
      </c>
      <c r="AM96" s="45">
        <f t="shared" ca="1" si="59"/>
        <v>0</v>
      </c>
      <c r="AN96" s="45">
        <f t="shared" ca="1" si="60"/>
        <v>0</v>
      </c>
      <c r="AO96" s="45">
        <f ca="1">MIN(AL96,Inputs!$B$36)</f>
        <v>0</v>
      </c>
      <c r="AP96" s="45">
        <f ca="1">MIN(AN96,Inputs!$B$36-AO96)</f>
        <v>0</v>
      </c>
      <c r="AQ96" s="45">
        <f ca="1">MIN(AM96,Inputs!$B$36-AO96-AP96)</f>
        <v>0</v>
      </c>
      <c r="AR96" s="45">
        <f t="shared" ca="1" si="61"/>
        <v>0</v>
      </c>
      <c r="AS96" s="45">
        <f t="shared" ca="1" si="62"/>
        <v>0</v>
      </c>
      <c r="AT96" s="45">
        <f t="shared" ca="1" si="63"/>
        <v>0</v>
      </c>
      <c r="AU96" s="45">
        <f t="shared" ca="1" si="64"/>
        <v>0</v>
      </c>
      <c r="AV96" s="46">
        <f ca="1">AU96*Inputs!$B$35</f>
        <v>0</v>
      </c>
      <c r="AW96" s="46">
        <f ca="1">AR96*Inputs!$C$6+AT96*Inputs!$C$7+AS96*Inputs!$C$8</f>
        <v>0</v>
      </c>
      <c r="AX96" s="46">
        <f t="shared" ca="1" si="65"/>
        <v>38861728.459326074</v>
      </c>
      <c r="AY96" s="46">
        <f ca="1">IF(J96&gt;1,($CD$4)*Inputs!$B$55*((Z96+AA96+AB96)/(SUM(ILP_A_CostFocused!$C$9:$E$13))),0)</f>
        <v>0</v>
      </c>
      <c r="AZ96" s="46">
        <f t="shared" ca="1" si="66"/>
        <v>0</v>
      </c>
      <c r="BA96" s="41">
        <f t="shared" ca="1" si="67"/>
        <v>0</v>
      </c>
      <c r="BB96" s="41">
        <f t="shared" ca="1" si="68"/>
        <v>1</v>
      </c>
      <c r="BC96" s="41">
        <f t="shared" ca="1" si="69"/>
        <v>1</v>
      </c>
      <c r="BD96" s="41">
        <f t="shared" ca="1" si="70"/>
        <v>1</v>
      </c>
    </row>
    <row r="97" spans="1:56" ht="15" customHeight="1" x14ac:dyDescent="0.3">
      <c r="A97" s="41">
        <v>90</v>
      </c>
      <c r="B97" s="42">
        <f t="shared" ca="1" si="52"/>
        <v>0.32070232614061478</v>
      </c>
      <c r="C97" s="43">
        <f ca="1">IF(B97&lt;=Inputs!$C$40,Inputs!$D$40,IF(B97&lt;=Inputs!$C$41,Inputs!$D$41,Inputs!$D$42))</f>
        <v>1</v>
      </c>
      <c r="D97" s="42">
        <f t="shared" ca="1" si="73"/>
        <v>0.9536454651124916</v>
      </c>
      <c r="E97" s="42">
        <f t="shared" ca="1" si="73"/>
        <v>0.87478821518223926</v>
      </c>
      <c r="F97" s="42">
        <f t="shared" ca="1" si="73"/>
        <v>0.90305540511248095</v>
      </c>
      <c r="G97" s="42">
        <f t="shared" ca="1" si="73"/>
        <v>0.41752174368751416</v>
      </c>
      <c r="H97" s="42">
        <f t="shared" ca="1" si="73"/>
        <v>0.36728068978179462</v>
      </c>
      <c r="I97" s="42">
        <f t="shared" ca="1" si="73"/>
        <v>0.28370737429926929</v>
      </c>
      <c r="J97" s="43">
        <f ca="1">IF(I97&lt;Inputs!$B$54,1+Inputs!$B$55,1)</f>
        <v>1</v>
      </c>
      <c r="K97" s="42">
        <f t="shared" ca="1" si="74"/>
        <v>0.2583124101459775</v>
      </c>
      <c r="L97" s="42">
        <f t="shared" ca="1" si="74"/>
        <v>1.0139650075113305E-2</v>
      </c>
      <c r="M97" s="42">
        <f t="shared" ca="1" si="74"/>
        <v>0.26328447825457557</v>
      </c>
      <c r="N97" s="42">
        <f t="shared" ca="1" si="74"/>
        <v>0.61081341906578435</v>
      </c>
      <c r="O97" s="42">
        <f t="shared" ca="1" si="74"/>
        <v>0.85721602911474359</v>
      </c>
      <c r="P97" s="42">
        <f t="shared" ca="1" si="74"/>
        <v>9.2380102778394257E-2</v>
      </c>
      <c r="Q97" s="42">
        <f t="shared" ca="1" si="74"/>
        <v>5.3251551234988592E-2</v>
      </c>
      <c r="R97" s="42">
        <f t="shared" ca="1" si="74"/>
        <v>0.37362874716905581</v>
      </c>
      <c r="S97" s="42">
        <f t="shared" ca="1" si="74"/>
        <v>0.579275906618541</v>
      </c>
      <c r="T97" s="42">
        <f t="shared" ca="1" si="74"/>
        <v>0.23236286917483961</v>
      </c>
      <c r="U97" s="44">
        <f ca="1">(IF(D97&gt;=Inputs!$E$12,1,IF(K97&lt;=Inputs!$C$46,Inputs!$D$46,IF(K97&lt;=Inputs!$C$47,Inputs!$D$47,Inputs!$D$48))))*((Inputs!$B$28+(P97-0.5)*2*Inputs!$B$53)/Inputs!$B$28)</f>
        <v>0.99587429253824289</v>
      </c>
      <c r="V97" s="44">
        <f ca="1">(IF(E97&gt;=Inputs!$E$13,1,IF(L97&lt;=Inputs!$C$46,Inputs!$D$46,IF(L97&lt;=Inputs!$C$47,Inputs!$D$47,Inputs!$D$48))))*((Inputs!$B$29+(Q97-0.5)*2*Inputs!$B$53)/Inputs!$B$29)</f>
        <v>0.99549648741164298</v>
      </c>
      <c r="W97" s="44">
        <f ca="1">(IF(F97&gt;=Inputs!$E$14,1,IF(M97&lt;=Inputs!$C$46,Inputs!$D$46,IF(M97&lt;=Inputs!$C$47,Inputs!$D$47,Inputs!$D$48))))*((Inputs!$B$30+(R97-0.5)*2*Inputs!$B$53)/Inputs!$B$30)</f>
        <v>0.99872993715747793</v>
      </c>
      <c r="X97" s="44">
        <f ca="1">(IF(G97&gt;=Inputs!$E$15,1,IF(N97&lt;=Inputs!$C$46,Inputs!$D$46,IF(N97&lt;=Inputs!$C$47,Inputs!$D$47,Inputs!$D$48))))*((Inputs!$B$31+(S97-0.5)*2*Inputs!$B$53)/Inputs!$B$31)</f>
        <v>1.0008048315392746</v>
      </c>
      <c r="Y97" s="44">
        <f ca="1">(IF(H97&gt;=Inputs!$E$16,1,IF(O97&lt;=Inputs!$C$46,Inputs!$D$46,IF(O97&lt;=Inputs!$C$47,Inputs!$D$47,Inputs!$D$48))))*((Inputs!$B$32+(T97-0.5)*2*Inputs!$B$53)/Inputs!$B$32)</f>
        <v>0.99730747353294602</v>
      </c>
      <c r="Z97" s="45">
        <f ca="1">ILP_A_CostFocused!$C$9*U97+ILP_A_CostFocused!$C$10*V97+ILP_A_CostFocused!$C$11*W97+ILP_A_CostFocused!$C$12*X97+ILP_A_CostFocused!$C$13*Y97</f>
        <v>17978.953840048373</v>
      </c>
      <c r="AA97" s="45">
        <f ca="1">ILP_A_CostFocused!$D$9*U97+ILP_A_CostFocused!$D$10*V97+ILP_A_CostFocused!$D$11*W97+ILP_A_CostFocused!$D$12*X97+ILP_A_CostFocused!$D$13*Y97</f>
        <v>14953.964401919087</v>
      </c>
      <c r="AB97" s="45">
        <f ca="1">ILP_A_CostFocused!$E$9*U97+ILP_A_CostFocused!$E$10*V97+ILP_A_CostFocused!$E$11*W97+ILP_A_CostFocused!$E$12*X97+ILP_A_CostFocused!$E$13*Y97</f>
        <v>11948.678045851235</v>
      </c>
      <c r="AC97" s="45">
        <f ca="1">Inputs!$B$6*$C97</f>
        <v>18000</v>
      </c>
      <c r="AD97" s="45">
        <f ca="1">Inputs!$B$7*$C97</f>
        <v>15000</v>
      </c>
      <c r="AE97" s="45">
        <f ca="1">Inputs!$B$8*$C97</f>
        <v>12000</v>
      </c>
      <c r="AF97" s="45">
        <f t="shared" ca="1" si="53"/>
        <v>21.046159951627487</v>
      </c>
      <c r="AG97" s="45">
        <f t="shared" ca="1" si="54"/>
        <v>46.035598080912678</v>
      </c>
      <c r="AH97" s="45">
        <f t="shared" ca="1" si="55"/>
        <v>51.321954148765144</v>
      </c>
      <c r="AI97" s="45">
        <f t="shared" ca="1" si="56"/>
        <v>118.40371218130531</v>
      </c>
      <c r="AJ97" s="45">
        <f ca="1">U97*(Inputs!$B$12-ILP_A_CostFocused!$F$9)+V97*(Inputs!$B$13-ILP_A_CostFocused!$F$10)+W97*(Inputs!$B$14-ILP_A_CostFocused!$F$11)+X97*(Inputs!$B$15-ILP_A_CostFocused!$F$12)+Y97*(Inputs!$B$16-ILP_A_CostFocused!$F$13)</f>
        <v>24942.10248106889</v>
      </c>
      <c r="AK97" s="45">
        <f t="shared" ca="1" si="57"/>
        <v>118.40371218130531</v>
      </c>
      <c r="AL97" s="45">
        <f t="shared" ca="1" si="58"/>
        <v>0</v>
      </c>
      <c r="AM97" s="45">
        <f t="shared" ca="1" si="59"/>
        <v>0</v>
      </c>
      <c r="AN97" s="45">
        <f t="shared" ca="1" si="60"/>
        <v>0</v>
      </c>
      <c r="AO97" s="45">
        <f ca="1">MIN(AL97,Inputs!$B$36)</f>
        <v>0</v>
      </c>
      <c r="AP97" s="45">
        <f ca="1">MIN(AN97,Inputs!$B$36-AO97)</f>
        <v>0</v>
      </c>
      <c r="AQ97" s="45">
        <f ca="1">MIN(AM97,Inputs!$B$36-AO97-AP97)</f>
        <v>0</v>
      </c>
      <c r="AR97" s="45">
        <f t="shared" ca="1" si="61"/>
        <v>0</v>
      </c>
      <c r="AS97" s="45">
        <f t="shared" ca="1" si="62"/>
        <v>0</v>
      </c>
      <c r="AT97" s="45">
        <f t="shared" ca="1" si="63"/>
        <v>0</v>
      </c>
      <c r="AU97" s="45">
        <f t="shared" ca="1" si="64"/>
        <v>0</v>
      </c>
      <c r="AV97" s="46">
        <f ca="1">AU97*Inputs!$B$35</f>
        <v>0</v>
      </c>
      <c r="AW97" s="46">
        <f ca="1">AR97*Inputs!$C$6+AT97*Inputs!$C$7+AS97*Inputs!$C$8</f>
        <v>0</v>
      </c>
      <c r="AX97" s="46">
        <f t="shared" ca="1" si="65"/>
        <v>47266464.698143661</v>
      </c>
      <c r="AY97" s="46">
        <f ca="1">IF(J97&gt;1,($CD$4)*Inputs!$B$55*((Z97+AA97+AB97)/(SUM(ILP_A_CostFocused!$C$9:$E$13))),0)</f>
        <v>0</v>
      </c>
      <c r="AZ97" s="46">
        <f t="shared" ca="1" si="66"/>
        <v>0</v>
      </c>
      <c r="BA97" s="41">
        <f t="shared" ca="1" si="67"/>
        <v>0</v>
      </c>
      <c r="BB97" s="41">
        <f t="shared" ca="1" si="68"/>
        <v>1</v>
      </c>
      <c r="BC97" s="41">
        <f t="shared" ca="1" si="69"/>
        <v>1</v>
      </c>
      <c r="BD97" s="41">
        <f t="shared" ca="1" si="70"/>
        <v>1</v>
      </c>
    </row>
    <row r="98" spans="1:56" ht="15" customHeight="1" x14ac:dyDescent="0.3">
      <c r="A98" s="41">
        <v>91</v>
      </c>
      <c r="B98" s="42">
        <f t="shared" ca="1" si="52"/>
        <v>0.96147646012675692</v>
      </c>
      <c r="C98" s="43">
        <f ca="1">IF(B98&lt;=Inputs!$C$40,Inputs!$D$40,IF(B98&lt;=Inputs!$C$41,Inputs!$D$41,Inputs!$D$42))</f>
        <v>1.1499999999999999</v>
      </c>
      <c r="D98" s="42">
        <f t="shared" ref="D98:I107" ca="1" si="75">RAND()</f>
        <v>0.76086532713447519</v>
      </c>
      <c r="E98" s="42">
        <f t="shared" ca="1" si="75"/>
        <v>0.63753532796664081</v>
      </c>
      <c r="F98" s="42">
        <f t="shared" ca="1" si="75"/>
        <v>0.21742179158884067</v>
      </c>
      <c r="G98" s="42">
        <f t="shared" ca="1" si="75"/>
        <v>0.14447969656010462</v>
      </c>
      <c r="H98" s="42">
        <f t="shared" ca="1" si="75"/>
        <v>0.4720723251000023</v>
      </c>
      <c r="I98" s="42">
        <f t="shared" ca="1" si="75"/>
        <v>0.61515361394366075</v>
      </c>
      <c r="J98" s="43">
        <f ca="1">IF(I98&lt;Inputs!$B$54,1+Inputs!$B$55,1)</f>
        <v>1</v>
      </c>
      <c r="K98" s="42">
        <f t="shared" ref="K98:T107" ca="1" si="76">RAND()</f>
        <v>0.15190333419597646</v>
      </c>
      <c r="L98" s="42">
        <f t="shared" ca="1" si="76"/>
        <v>0.19914861763087266</v>
      </c>
      <c r="M98" s="42">
        <f t="shared" ca="1" si="76"/>
        <v>0.57597399609357935</v>
      </c>
      <c r="N98" s="42">
        <f t="shared" ca="1" si="76"/>
        <v>0.11572337346564265</v>
      </c>
      <c r="O98" s="42">
        <f t="shared" ca="1" si="76"/>
        <v>0.75145386758567689</v>
      </c>
      <c r="P98" s="42">
        <f t="shared" ca="1" si="76"/>
        <v>0.54136965535947146</v>
      </c>
      <c r="Q98" s="42">
        <f t="shared" ca="1" si="76"/>
        <v>0.26962070642414293</v>
      </c>
      <c r="R98" s="42">
        <f t="shared" ca="1" si="76"/>
        <v>0.3009371892123488</v>
      </c>
      <c r="S98" s="42">
        <f t="shared" ca="1" si="76"/>
        <v>3.722631864895587E-2</v>
      </c>
      <c r="T98" s="42">
        <f t="shared" ca="1" si="76"/>
        <v>0.95435830405518551</v>
      </c>
      <c r="U98" s="44">
        <f ca="1">(IF(D98&gt;=Inputs!$E$12,1,IF(K98&lt;=Inputs!$C$46,Inputs!$D$46,IF(K98&lt;=Inputs!$C$47,Inputs!$D$47,Inputs!$D$48))))*((Inputs!$B$28+(P98-0.5)*2*Inputs!$B$53)/Inputs!$B$28)</f>
        <v>1.0004187212080917</v>
      </c>
      <c r="V98" s="44">
        <f ca="1">(IF(E98&gt;=Inputs!$E$13,1,IF(L98&lt;=Inputs!$C$46,Inputs!$D$46,IF(L98&lt;=Inputs!$C$47,Inputs!$D$47,Inputs!$D$48))))*((Inputs!$B$29+(Q98-0.5)*2*Inputs!$B$53)/Inputs!$B$29)</f>
        <v>0.99767762808895311</v>
      </c>
      <c r="W98" s="44">
        <f ca="1">(IF(F98&gt;=Inputs!$E$14,1,IF(M98&lt;=Inputs!$C$46,Inputs!$D$46,IF(M98&lt;=Inputs!$C$47,Inputs!$D$47,Inputs!$D$48))))*((Inputs!$B$30+(R98-0.5)*2*Inputs!$B$53)/Inputs!$B$30)</f>
        <v>0.99799936873580253</v>
      </c>
      <c r="X98" s="44">
        <f ca="1">(IF(G98&gt;=Inputs!$E$15,1,IF(N98&lt;=Inputs!$C$46,Inputs!$D$46,IF(N98&lt;=Inputs!$C$47,Inputs!$D$47,Inputs!$D$48))))*((Inputs!$B$31+(S98-0.5)*2*Inputs!$B$53)/Inputs!$B$31)</f>
        <v>0.59718107402222709</v>
      </c>
      <c r="Y98" s="44">
        <f ca="1">(IF(H98&gt;=Inputs!$E$16,1,IF(O98&lt;=Inputs!$C$46,Inputs!$D$46,IF(O98&lt;=Inputs!$C$47,Inputs!$D$47,Inputs!$D$48))))*((Inputs!$B$32+(T98-0.5)*2*Inputs!$B$53)/Inputs!$B$32)</f>
        <v>1.0045710090951225</v>
      </c>
      <c r="Z98" s="45">
        <f ca="1">ILP_A_CostFocused!$C$9*U98+ILP_A_CostFocused!$C$10*V98+ILP_A_CostFocused!$C$11*W98+ILP_A_CostFocused!$C$12*X98+ILP_A_CostFocused!$C$13*Y98</f>
        <v>13652.329175943829</v>
      </c>
      <c r="AA98" s="45">
        <f ca="1">ILP_A_CostFocused!$D$9*U98+ILP_A_CostFocused!$D$10*V98+ILP_A_CostFocused!$D$11*W98+ILP_A_CostFocused!$D$12*X98+ILP_A_CostFocused!$D$13*Y98</f>
        <v>14558.260204607546</v>
      </c>
      <c r="AB98" s="45">
        <f ca="1">ILP_A_CostFocused!$E$9*U98+ILP_A_CostFocused!$E$10*V98+ILP_A_CostFocused!$E$11*W98+ILP_A_CostFocused!$E$12*X98+ILP_A_CostFocused!$E$13*Y98</f>
        <v>11991.867407525235</v>
      </c>
      <c r="AC98" s="45">
        <f ca="1">Inputs!$B$6*$C98</f>
        <v>20700</v>
      </c>
      <c r="AD98" s="45">
        <f ca="1">Inputs!$B$7*$C98</f>
        <v>17250</v>
      </c>
      <c r="AE98" s="45">
        <f ca="1">Inputs!$B$8*$C98</f>
        <v>13799.999999999998</v>
      </c>
      <c r="AF98" s="45">
        <f t="shared" ca="1" si="53"/>
        <v>7047.6708240561711</v>
      </c>
      <c r="AG98" s="45">
        <f t="shared" ca="1" si="54"/>
        <v>2691.7397953924537</v>
      </c>
      <c r="AH98" s="45">
        <f t="shared" ca="1" si="55"/>
        <v>1808.1325924747634</v>
      </c>
      <c r="AI98" s="45">
        <f t="shared" ca="1" si="56"/>
        <v>11547.543211923388</v>
      </c>
      <c r="AJ98" s="45">
        <f ca="1">U98*(Inputs!$B$12-ILP_A_CostFocused!$F$9)+V98*(Inputs!$B$13-ILP_A_CostFocused!$F$10)+W98*(Inputs!$B$14-ILP_A_CostFocused!$F$11)+X98*(Inputs!$B$15-ILP_A_CostFocused!$F$12)+Y98*(Inputs!$B$16-ILP_A_CostFocused!$F$13)</f>
        <v>24980.459362757196</v>
      </c>
      <c r="AK98" s="45">
        <f t="shared" ca="1" si="57"/>
        <v>11547.543211923388</v>
      </c>
      <c r="AL98" s="45">
        <f t="shared" ca="1" si="58"/>
        <v>0</v>
      </c>
      <c r="AM98" s="45">
        <f t="shared" ca="1" si="59"/>
        <v>0</v>
      </c>
      <c r="AN98" s="45">
        <f t="shared" ca="1" si="60"/>
        <v>0</v>
      </c>
      <c r="AO98" s="45">
        <f ca="1">MIN(AL98,Inputs!$B$36)</f>
        <v>0</v>
      </c>
      <c r="AP98" s="45">
        <f ca="1">MIN(AN98,Inputs!$B$36-AO98)</f>
        <v>0</v>
      </c>
      <c r="AQ98" s="45">
        <f ca="1">MIN(AM98,Inputs!$B$36-AO98-AP98)</f>
        <v>0</v>
      </c>
      <c r="AR98" s="45">
        <f t="shared" ca="1" si="61"/>
        <v>0</v>
      </c>
      <c r="AS98" s="45">
        <f t="shared" ca="1" si="62"/>
        <v>0</v>
      </c>
      <c r="AT98" s="45">
        <f t="shared" ca="1" si="63"/>
        <v>0</v>
      </c>
      <c r="AU98" s="45">
        <f t="shared" ca="1" si="64"/>
        <v>0</v>
      </c>
      <c r="AV98" s="46">
        <f ca="1">AU98*Inputs!$B$35</f>
        <v>0</v>
      </c>
      <c r="AW98" s="46">
        <f ca="1">AR98*Inputs!$C$6+AT98*Inputs!$C$7+AS98*Inputs!$C$8</f>
        <v>0</v>
      </c>
      <c r="AX98" s="46">
        <f t="shared" ca="1" si="65"/>
        <v>42435478.014936335</v>
      </c>
      <c r="AY98" s="46">
        <f ca="1">IF(J98&gt;1,($CD$4)*Inputs!$B$55*((Z98+AA98+AB98)/(SUM(ILP_A_CostFocused!$C$9:$E$13))),0)</f>
        <v>0</v>
      </c>
      <c r="AZ98" s="46">
        <f t="shared" ca="1" si="66"/>
        <v>0</v>
      </c>
      <c r="BA98" s="41">
        <f t="shared" ca="1" si="67"/>
        <v>0</v>
      </c>
      <c r="BB98" s="41">
        <f t="shared" ca="1" si="68"/>
        <v>1</v>
      </c>
      <c r="BC98" s="41">
        <f t="shared" ca="1" si="69"/>
        <v>1</v>
      </c>
      <c r="BD98" s="41">
        <f t="shared" ca="1" si="70"/>
        <v>1</v>
      </c>
    </row>
    <row r="99" spans="1:56" ht="15" customHeight="1" x14ac:dyDescent="0.3">
      <c r="A99" s="41">
        <v>92</v>
      </c>
      <c r="B99" s="42">
        <f t="shared" ca="1" si="52"/>
        <v>0.77816385912473385</v>
      </c>
      <c r="C99" s="43">
        <f ca="1">IF(B99&lt;=Inputs!$C$40,Inputs!$D$40,IF(B99&lt;=Inputs!$C$41,Inputs!$D$41,Inputs!$D$42))</f>
        <v>1.1499999999999999</v>
      </c>
      <c r="D99" s="42">
        <f t="shared" ca="1" si="75"/>
        <v>0.46390300580753396</v>
      </c>
      <c r="E99" s="42">
        <f t="shared" ca="1" si="75"/>
        <v>0.84860353885932993</v>
      </c>
      <c r="F99" s="42">
        <f t="shared" ca="1" si="75"/>
        <v>0.92979029252248746</v>
      </c>
      <c r="G99" s="42">
        <f t="shared" ca="1" si="75"/>
        <v>0.36229880113300961</v>
      </c>
      <c r="H99" s="42">
        <f t="shared" ca="1" si="75"/>
        <v>0.61177048501586495</v>
      </c>
      <c r="I99" s="42">
        <f t="shared" ca="1" si="75"/>
        <v>0.10604733643769892</v>
      </c>
      <c r="J99" s="43">
        <f ca="1">IF(I99&lt;Inputs!$B$54,1+Inputs!$B$55,1)</f>
        <v>1</v>
      </c>
      <c r="K99" s="42">
        <f t="shared" ca="1" si="76"/>
        <v>0.44824087433977222</v>
      </c>
      <c r="L99" s="42">
        <f t="shared" ca="1" si="76"/>
        <v>0.12122142573438144</v>
      </c>
      <c r="M99" s="42">
        <f t="shared" ca="1" si="76"/>
        <v>0.40177429393874931</v>
      </c>
      <c r="N99" s="42">
        <f t="shared" ca="1" si="76"/>
        <v>0.2550391915106236</v>
      </c>
      <c r="O99" s="42">
        <f t="shared" ca="1" si="76"/>
        <v>0.71346446445322154</v>
      </c>
      <c r="P99" s="42">
        <f t="shared" ca="1" si="76"/>
        <v>0.94626583768145434</v>
      </c>
      <c r="Q99" s="42">
        <f t="shared" ca="1" si="76"/>
        <v>0.68313282622752036</v>
      </c>
      <c r="R99" s="42">
        <f t="shared" ca="1" si="76"/>
        <v>0.1225516695114488</v>
      </c>
      <c r="S99" s="42">
        <f t="shared" ca="1" si="76"/>
        <v>0.78526696855201072</v>
      </c>
      <c r="T99" s="42">
        <f t="shared" ca="1" si="76"/>
        <v>0.61686942249337584</v>
      </c>
      <c r="U99" s="44">
        <f ca="1">(IF(D99&gt;=Inputs!$E$12,1,IF(K99&lt;=Inputs!$C$46,Inputs!$D$46,IF(K99&lt;=Inputs!$C$47,Inputs!$D$47,Inputs!$D$48))))*((Inputs!$B$28+(P99-0.5)*2*Inputs!$B$53)/Inputs!$B$28)</f>
        <v>1.0045168607052779</v>
      </c>
      <c r="V99" s="44">
        <f ca="1">(IF(E99&gt;=Inputs!$E$13,1,IF(L99&lt;=Inputs!$C$46,Inputs!$D$46,IF(L99&lt;=Inputs!$C$47,Inputs!$D$47,Inputs!$D$48))))*((Inputs!$B$29+(Q99-0.5)*2*Inputs!$B$53)/Inputs!$B$29)</f>
        <v>1.0018460970385838</v>
      </c>
      <c r="W99" s="44">
        <f ca="1">(IF(F99&gt;=Inputs!$E$14,1,IF(M99&lt;=Inputs!$C$46,Inputs!$D$46,IF(M99&lt;=Inputs!$C$47,Inputs!$D$47,Inputs!$D$48))))*((Inputs!$B$30+(R99-0.5)*2*Inputs!$B$53)/Inputs!$B$30)</f>
        <v>0.99620654944232612</v>
      </c>
      <c r="X99" s="44">
        <f ca="1">(IF(G99&gt;=Inputs!$E$15,1,IF(N99&lt;=Inputs!$C$46,Inputs!$D$46,IF(N99&lt;=Inputs!$C$47,Inputs!$D$47,Inputs!$D$48))))*((Inputs!$B$31+(S99-0.5)*2*Inputs!$B$53)/Inputs!$B$31)</f>
        <v>1.0028961113558579</v>
      </c>
      <c r="Y99" s="44">
        <f ca="1">(IF(H99&gt;=Inputs!$E$16,1,IF(O99&lt;=Inputs!$C$46,Inputs!$D$46,IF(O99&lt;=Inputs!$C$47,Inputs!$D$47,Inputs!$D$48))))*((Inputs!$B$32+(T99-0.5)*2*Inputs!$B$53)/Inputs!$B$32)</f>
        <v>1.001175748717237</v>
      </c>
      <c r="Z99" s="45">
        <f ca="1">ILP_A_CostFocused!$C$9*U99+ILP_A_CostFocused!$C$10*V99+ILP_A_CostFocused!$C$11*W99+ILP_A_CostFocused!$C$12*X99+ILP_A_CostFocused!$C$13*Y99</f>
        <v>18063.564372518595</v>
      </c>
      <c r="AA99" s="45">
        <f ca="1">ILP_A_CostFocused!$D$9*U99+ILP_A_CostFocused!$D$10*V99+ILP_A_CostFocused!$D$11*W99+ILP_A_CostFocused!$D$12*X99+ILP_A_CostFocused!$D$13*Y99</f>
        <v>15000.677523153014</v>
      </c>
      <c r="AB99" s="45">
        <f ca="1">ILP_A_CostFocused!$E$9*U99+ILP_A_CostFocused!$E$10*V99+ILP_A_CostFocused!$E$11*W99+ILP_A_CostFocused!$E$12*X99+ILP_A_CostFocused!$E$13*Y99</f>
        <v>12041.382662863203</v>
      </c>
      <c r="AC99" s="45">
        <f ca="1">Inputs!$B$6*$C99</f>
        <v>20700</v>
      </c>
      <c r="AD99" s="45">
        <f ca="1">Inputs!$B$7*$C99</f>
        <v>17250</v>
      </c>
      <c r="AE99" s="45">
        <f ca="1">Inputs!$B$8*$C99</f>
        <v>13799.999999999998</v>
      </c>
      <c r="AF99" s="45">
        <f t="shared" ca="1" si="53"/>
        <v>2636.4356274814054</v>
      </c>
      <c r="AG99" s="45">
        <f t="shared" ca="1" si="54"/>
        <v>2249.3224768469863</v>
      </c>
      <c r="AH99" s="45">
        <f t="shared" ca="1" si="55"/>
        <v>1758.617337136795</v>
      </c>
      <c r="AI99" s="45">
        <f t="shared" ca="1" si="56"/>
        <v>6644.3754414651867</v>
      </c>
      <c r="AJ99" s="45">
        <f ca="1">U99*(Inputs!$B$12-ILP_A_CostFocused!$F$9)+V99*(Inputs!$B$13-ILP_A_CostFocused!$F$10)+W99*(Inputs!$B$14-ILP_A_CostFocused!$F$11)+X99*(Inputs!$B$15-ILP_A_CostFocused!$F$12)+Y99*(Inputs!$B$16-ILP_A_CostFocused!$F$13)</f>
        <v>24995.565281068895</v>
      </c>
      <c r="AK99" s="45">
        <f t="shared" ca="1" si="57"/>
        <v>6644.3754414651867</v>
      </c>
      <c r="AL99" s="45">
        <f t="shared" ca="1" si="58"/>
        <v>0</v>
      </c>
      <c r="AM99" s="45">
        <f t="shared" ca="1" si="59"/>
        <v>0</v>
      </c>
      <c r="AN99" s="45">
        <f t="shared" ca="1" si="60"/>
        <v>0</v>
      </c>
      <c r="AO99" s="45">
        <f ca="1">MIN(AL99,Inputs!$B$36)</f>
        <v>0</v>
      </c>
      <c r="AP99" s="45">
        <f ca="1">MIN(AN99,Inputs!$B$36-AO99)</f>
        <v>0</v>
      </c>
      <c r="AQ99" s="45">
        <f ca="1">MIN(AM99,Inputs!$B$36-AO99-AP99)</f>
        <v>0</v>
      </c>
      <c r="AR99" s="45">
        <f t="shared" ca="1" si="61"/>
        <v>0</v>
      </c>
      <c r="AS99" s="45">
        <f t="shared" ca="1" si="62"/>
        <v>0</v>
      </c>
      <c r="AT99" s="45">
        <f t="shared" ca="1" si="63"/>
        <v>0</v>
      </c>
      <c r="AU99" s="45">
        <f t="shared" ca="1" si="64"/>
        <v>0</v>
      </c>
      <c r="AV99" s="46">
        <f ca="1">AU99*Inputs!$B$35</f>
        <v>0</v>
      </c>
      <c r="AW99" s="46">
        <f ca="1">AR99*Inputs!$C$6+AT99*Inputs!$C$7+AS99*Inputs!$C$8</f>
        <v>0</v>
      </c>
      <c r="AX99" s="46">
        <f t="shared" ca="1" si="65"/>
        <v>47503549.028754778</v>
      </c>
      <c r="AY99" s="46">
        <f ca="1">IF(J99&gt;1,($CD$4)*Inputs!$B$55*((Z99+AA99+AB99)/(SUM(ILP_A_CostFocused!$C$9:$E$13))),0)</f>
        <v>0</v>
      </c>
      <c r="AZ99" s="46">
        <f t="shared" ca="1" si="66"/>
        <v>0</v>
      </c>
      <c r="BA99" s="41">
        <f t="shared" ca="1" si="67"/>
        <v>0</v>
      </c>
      <c r="BB99" s="41">
        <f t="shared" ca="1" si="68"/>
        <v>1</v>
      </c>
      <c r="BC99" s="41">
        <f t="shared" ca="1" si="69"/>
        <v>1</v>
      </c>
      <c r="BD99" s="41">
        <f t="shared" ca="1" si="70"/>
        <v>1</v>
      </c>
    </row>
    <row r="100" spans="1:56" ht="15" customHeight="1" x14ac:dyDescent="0.3">
      <c r="A100" s="41">
        <v>93</v>
      </c>
      <c r="B100" s="42">
        <f t="shared" ca="1" si="52"/>
        <v>0.34333279259192007</v>
      </c>
      <c r="C100" s="43">
        <f ca="1">IF(B100&lt;=Inputs!$C$40,Inputs!$D$40,IF(B100&lt;=Inputs!$C$41,Inputs!$D$41,Inputs!$D$42))</f>
        <v>1</v>
      </c>
      <c r="D100" s="42">
        <f t="shared" ca="1" si="75"/>
        <v>0.24987511034098964</v>
      </c>
      <c r="E100" s="42">
        <f t="shared" ca="1" si="75"/>
        <v>0.65805513186402009</v>
      </c>
      <c r="F100" s="42">
        <f t="shared" ca="1" si="75"/>
        <v>8.4217961324111634E-2</v>
      </c>
      <c r="G100" s="42">
        <f t="shared" ca="1" si="75"/>
        <v>0.2372501470952999</v>
      </c>
      <c r="H100" s="42">
        <f t="shared" ca="1" si="75"/>
        <v>8.5703843237805E-2</v>
      </c>
      <c r="I100" s="42">
        <f t="shared" ca="1" si="75"/>
        <v>0.9236312425802562</v>
      </c>
      <c r="J100" s="43">
        <f ca="1">IF(I100&lt;Inputs!$B$54,1+Inputs!$B$55,1)</f>
        <v>1</v>
      </c>
      <c r="K100" s="42">
        <f t="shared" ca="1" si="76"/>
        <v>0.13237206118481148</v>
      </c>
      <c r="L100" s="42">
        <f t="shared" ca="1" si="76"/>
        <v>0.61867608443443833</v>
      </c>
      <c r="M100" s="42">
        <f t="shared" ca="1" si="76"/>
        <v>0.92168959541164985</v>
      </c>
      <c r="N100" s="42">
        <f t="shared" ca="1" si="76"/>
        <v>0.20704752990568731</v>
      </c>
      <c r="O100" s="42">
        <f t="shared" ca="1" si="76"/>
        <v>0.26246662977977742</v>
      </c>
      <c r="P100" s="42">
        <f t="shared" ca="1" si="76"/>
        <v>0.84321941387787291</v>
      </c>
      <c r="Q100" s="42">
        <f t="shared" ca="1" si="76"/>
        <v>0.7726974532152403</v>
      </c>
      <c r="R100" s="42">
        <f t="shared" ca="1" si="76"/>
        <v>8.1967408185566693E-2</v>
      </c>
      <c r="S100" s="42">
        <f t="shared" ca="1" si="76"/>
        <v>8.832735278443371E-2</v>
      </c>
      <c r="T100" s="42">
        <f t="shared" ca="1" si="76"/>
        <v>0.18103021574201661</v>
      </c>
      <c r="U100" s="44">
        <f ca="1">(IF(D100&gt;=Inputs!$E$12,1,IF(K100&lt;=Inputs!$C$46,Inputs!$D$46,IF(K100&lt;=Inputs!$C$47,Inputs!$D$47,Inputs!$D$48))))*((Inputs!$B$28+(P100-0.5)*2*Inputs!$B$53)/Inputs!$B$28)</f>
        <v>1.0034738807072658</v>
      </c>
      <c r="V100" s="44">
        <f ca="1">(IF(E100&gt;=Inputs!$E$13,1,IF(L100&lt;=Inputs!$C$46,Inputs!$D$46,IF(L100&lt;=Inputs!$C$47,Inputs!$D$47,Inputs!$D$48))))*((Inputs!$B$29+(Q100-0.5)*2*Inputs!$B$53)/Inputs!$B$29)</f>
        <v>1.0027489662622504</v>
      </c>
      <c r="W100" s="44">
        <f ca="1">(IF(F100&gt;=Inputs!$E$14,1,IF(M100&lt;=Inputs!$C$46,Inputs!$D$46,IF(M100&lt;=Inputs!$C$47,Inputs!$D$47,Inputs!$D$48))))*((Inputs!$B$30+(R100-0.5)*2*Inputs!$B$53)/Inputs!$B$30)</f>
        <v>0.9957986674189504</v>
      </c>
      <c r="X100" s="44">
        <f ca="1">(IF(G100&gt;=Inputs!$E$15,1,IF(N100&lt;=Inputs!$C$46,Inputs!$D$46,IF(N100&lt;=Inputs!$C$47,Inputs!$D$47,Inputs!$D$48))))*((Inputs!$B$31+(S100-0.5)*2*Inputs!$B$53)/Inputs!$B$31)</f>
        <v>0.99582058226177095</v>
      </c>
      <c r="Y100" s="44">
        <f ca="1">(IF(H100&gt;=Inputs!$E$16,1,IF(O100&lt;=Inputs!$C$46,Inputs!$D$46,IF(O100&lt;=Inputs!$C$47,Inputs!$D$47,Inputs!$D$48))))*((Inputs!$B$32+(T100-0.5)*2*Inputs!$B$53)/Inputs!$B$32)</f>
        <v>0.99679104844810884</v>
      </c>
      <c r="Z100" s="45">
        <f ca="1">ILP_A_CostFocused!$C$9*U100+ILP_A_CostFocused!$C$10*V100+ILP_A_CostFocused!$C$11*W100+ILP_A_CostFocused!$C$12*X100+ILP_A_CostFocused!$C$13*Y100</f>
        <v>17979.81043704828</v>
      </c>
      <c r="AA100" s="45">
        <f ca="1">ILP_A_CostFocused!$D$9*U100+ILP_A_CostFocused!$D$10*V100+ILP_A_CostFocused!$D$11*W100+ILP_A_CostFocused!$D$12*X100+ILP_A_CostFocused!$D$13*Y100</f>
        <v>14999.555054013634</v>
      </c>
      <c r="AB100" s="45">
        <f ca="1">ILP_A_CostFocused!$E$9*U100+ILP_A_CostFocused!$E$10*V100+ILP_A_CostFocused!$E$11*W100+ILP_A_CostFocused!$E$12*X100+ILP_A_CostFocused!$E$13*Y100</f>
        <v>12038.206979151117</v>
      </c>
      <c r="AC100" s="45">
        <f ca="1">Inputs!$B$6*$C100</f>
        <v>18000</v>
      </c>
      <c r="AD100" s="45">
        <f ca="1">Inputs!$B$7*$C100</f>
        <v>15000</v>
      </c>
      <c r="AE100" s="45">
        <f ca="1">Inputs!$B$8*$C100</f>
        <v>12000</v>
      </c>
      <c r="AF100" s="45">
        <f t="shared" ca="1" si="53"/>
        <v>20.189562951720291</v>
      </c>
      <c r="AG100" s="45">
        <f t="shared" ca="1" si="54"/>
        <v>0.44494598636629235</v>
      </c>
      <c r="AH100" s="45">
        <f t="shared" ca="1" si="55"/>
        <v>0</v>
      </c>
      <c r="AI100" s="45">
        <f t="shared" ca="1" si="56"/>
        <v>20.634508938086583</v>
      </c>
      <c r="AJ100" s="45">
        <f ca="1">U100*(Inputs!$B$12-ILP_A_CostFocused!$F$9)+V100*(Inputs!$B$13-ILP_A_CostFocused!$F$10)+W100*(Inputs!$B$14-ILP_A_CostFocused!$F$11)+X100*(Inputs!$B$15-ILP_A_CostFocused!$F$12)+Y100*(Inputs!$B$16-ILP_A_CostFocused!$F$13)</f>
        <v>24923.590539083969</v>
      </c>
      <c r="AK100" s="45">
        <f t="shared" ca="1" si="57"/>
        <v>20.634508938086583</v>
      </c>
      <c r="AL100" s="45">
        <f t="shared" ca="1" si="58"/>
        <v>0</v>
      </c>
      <c r="AM100" s="45">
        <f t="shared" ca="1" si="59"/>
        <v>0</v>
      </c>
      <c r="AN100" s="45">
        <f t="shared" ca="1" si="60"/>
        <v>0</v>
      </c>
      <c r="AO100" s="45">
        <f ca="1">MIN(AL100,Inputs!$B$36)</f>
        <v>0</v>
      </c>
      <c r="AP100" s="45">
        <f ca="1">MIN(AN100,Inputs!$B$36-AO100)</f>
        <v>0</v>
      </c>
      <c r="AQ100" s="45">
        <f ca="1">MIN(AM100,Inputs!$B$36-AO100-AP100)</f>
        <v>0</v>
      </c>
      <c r="AR100" s="45">
        <f t="shared" ca="1" si="61"/>
        <v>0</v>
      </c>
      <c r="AS100" s="45">
        <f t="shared" ca="1" si="62"/>
        <v>0</v>
      </c>
      <c r="AT100" s="45">
        <f t="shared" ca="1" si="63"/>
        <v>0</v>
      </c>
      <c r="AU100" s="45">
        <f t="shared" ca="1" si="64"/>
        <v>0</v>
      </c>
      <c r="AV100" s="46">
        <f ca="1">AU100*Inputs!$B$35</f>
        <v>0</v>
      </c>
      <c r="AW100" s="46">
        <f ca="1">AR100*Inputs!$C$6+AT100*Inputs!$C$7+AS100*Inputs!$C$8</f>
        <v>0</v>
      </c>
      <c r="AX100" s="46">
        <f t="shared" ca="1" si="65"/>
        <v>47412568.585683003</v>
      </c>
      <c r="AY100" s="46">
        <f ca="1">IF(J100&gt;1,($CD$4)*Inputs!$B$55*((Z100+AA100+AB100)/(SUM(ILP_A_CostFocused!$C$9:$E$13))),0)</f>
        <v>0</v>
      </c>
      <c r="AZ100" s="46">
        <f t="shared" ca="1" si="66"/>
        <v>0</v>
      </c>
      <c r="BA100" s="41">
        <f t="shared" ca="1" si="67"/>
        <v>0</v>
      </c>
      <c r="BB100" s="41">
        <f t="shared" ca="1" si="68"/>
        <v>1</v>
      </c>
      <c r="BC100" s="41">
        <f t="shared" ca="1" si="69"/>
        <v>1</v>
      </c>
      <c r="BD100" s="41">
        <f t="shared" ca="1" si="70"/>
        <v>1</v>
      </c>
    </row>
    <row r="101" spans="1:56" ht="15" customHeight="1" x14ac:dyDescent="0.3">
      <c r="A101" s="41">
        <v>94</v>
      </c>
      <c r="B101" s="42">
        <f t="shared" ca="1" si="52"/>
        <v>4.4050284205969015E-2</v>
      </c>
      <c r="C101" s="43">
        <f ca="1">IF(B101&lt;=Inputs!$C$40,Inputs!$D$40,IF(B101&lt;=Inputs!$C$41,Inputs!$D$41,Inputs!$D$42))</f>
        <v>0.9</v>
      </c>
      <c r="D101" s="42">
        <f t="shared" ca="1" si="75"/>
        <v>0.42738715115897952</v>
      </c>
      <c r="E101" s="42">
        <f t="shared" ca="1" si="75"/>
        <v>0.10129519234260265</v>
      </c>
      <c r="F101" s="42">
        <f t="shared" ca="1" si="75"/>
        <v>1.4764838570121008E-2</v>
      </c>
      <c r="G101" s="42">
        <f t="shared" ca="1" si="75"/>
        <v>0.24205201667227816</v>
      </c>
      <c r="H101" s="42">
        <f t="shared" ca="1" si="75"/>
        <v>0.90024389030181895</v>
      </c>
      <c r="I101" s="42">
        <f t="shared" ca="1" si="75"/>
        <v>0.23641864651332734</v>
      </c>
      <c r="J101" s="43">
        <f ca="1">IF(I101&lt;Inputs!$B$54,1+Inputs!$B$55,1)</f>
        <v>1</v>
      </c>
      <c r="K101" s="42">
        <f t="shared" ca="1" si="76"/>
        <v>0.72201387745877765</v>
      </c>
      <c r="L101" s="42">
        <f t="shared" ca="1" si="76"/>
        <v>0.17168628311209488</v>
      </c>
      <c r="M101" s="42">
        <f t="shared" ca="1" si="76"/>
        <v>0.4889809436281165</v>
      </c>
      <c r="N101" s="42">
        <f t="shared" ca="1" si="76"/>
        <v>6.6528777735260558E-2</v>
      </c>
      <c r="O101" s="42">
        <f t="shared" ca="1" si="76"/>
        <v>0.42594590697309231</v>
      </c>
      <c r="P101" s="42">
        <f t="shared" ca="1" si="76"/>
        <v>0.31112722978074059</v>
      </c>
      <c r="Q101" s="42">
        <f t="shared" ca="1" si="76"/>
        <v>0.63447970436919354</v>
      </c>
      <c r="R101" s="42">
        <f t="shared" ca="1" si="76"/>
        <v>0.23802886134558865</v>
      </c>
      <c r="S101" s="42">
        <f t="shared" ca="1" si="76"/>
        <v>0.44672559857002636</v>
      </c>
      <c r="T101" s="42">
        <f t="shared" ca="1" si="76"/>
        <v>0.28020372929032433</v>
      </c>
      <c r="U101" s="44">
        <f ca="1">(IF(D101&gt;=Inputs!$E$12,1,IF(K101&lt;=Inputs!$C$46,Inputs!$D$46,IF(K101&lt;=Inputs!$C$47,Inputs!$D$47,Inputs!$D$48))))*((Inputs!$B$28+(P101-0.5)*2*Inputs!$B$53)/Inputs!$B$28)</f>
        <v>0.9980883322852302</v>
      </c>
      <c r="V101" s="44">
        <f ca="1">(IF(E101&gt;=Inputs!$E$13,1,IF(L101&lt;=Inputs!$C$46,Inputs!$D$46,IF(L101&lt;=Inputs!$C$47,Inputs!$D$47,Inputs!$D$48))))*((Inputs!$B$29+(Q101-0.5)*2*Inputs!$B$53)/Inputs!$B$29)</f>
        <v>0.60081338530868467</v>
      </c>
      <c r="W101" s="44">
        <f ca="1">(IF(F101&gt;=Inputs!$E$14,1,IF(M101&lt;=Inputs!$C$46,Inputs!$D$46,IF(M101&lt;=Inputs!$C$47,Inputs!$D$47,Inputs!$D$48))))*((Inputs!$B$30+(R101-0.5)*2*Inputs!$B$53)/Inputs!$B$30)</f>
        <v>0.2992101372703887</v>
      </c>
      <c r="X101" s="44">
        <f ca="1">(IF(G101&gt;=Inputs!$E$15,1,IF(N101&lt;=Inputs!$C$46,Inputs!$D$46,IF(N101&lt;=Inputs!$C$47,Inputs!$D$47,Inputs!$D$48))))*((Inputs!$B$31+(S101-0.5)*2*Inputs!$B$53)/Inputs!$B$31)</f>
        <v>0.99945914313269069</v>
      </c>
      <c r="Y101" s="44">
        <f ca="1">(IF(H101&gt;=Inputs!$E$16,1,IF(O101&lt;=Inputs!$C$46,Inputs!$D$46,IF(O101&lt;=Inputs!$C$47,Inputs!$D$47,Inputs!$D$48))))*((Inputs!$B$32+(T101-0.5)*2*Inputs!$B$53)/Inputs!$B$32)</f>
        <v>0.99778876991237753</v>
      </c>
      <c r="Z101" s="45">
        <f ca="1">ILP_A_CostFocused!$C$9*U101+ILP_A_CostFocused!$C$10*V101+ILP_A_CostFocused!$C$11*W101+ILP_A_CostFocused!$C$12*X101+ILP_A_CostFocused!$C$13*Y101</f>
        <v>17945.434542952782</v>
      </c>
      <c r="AA101" s="45">
        <f ca="1">ILP_A_CostFocused!$D$9*U101+ILP_A_CostFocused!$D$10*V101+ILP_A_CostFocused!$D$11*W101+ILP_A_CostFocused!$D$12*X101+ILP_A_CostFocused!$D$13*Y101</f>
        <v>7916.8352773800434</v>
      </c>
      <c r="AB101" s="45">
        <f ca="1">ILP_A_CostFocused!$E$9*U101+ILP_A_CostFocused!$E$10*V101+ILP_A_CostFocused!$E$11*W101+ILP_A_CostFocused!$E$12*X101+ILP_A_CostFocused!$E$13*Y101</f>
        <v>10070.140241935344</v>
      </c>
      <c r="AC101" s="45">
        <f ca="1">Inputs!$B$6*$C101</f>
        <v>16200</v>
      </c>
      <c r="AD101" s="45">
        <f ca="1">Inputs!$B$7*$C101</f>
        <v>13500</v>
      </c>
      <c r="AE101" s="45">
        <f ca="1">Inputs!$B$8*$C101</f>
        <v>10800</v>
      </c>
      <c r="AF101" s="45">
        <f t="shared" ca="1" si="53"/>
        <v>0</v>
      </c>
      <c r="AG101" s="45">
        <f t="shared" ca="1" si="54"/>
        <v>5583.1647226199566</v>
      </c>
      <c r="AH101" s="45">
        <f t="shared" ca="1" si="55"/>
        <v>729.85975806465649</v>
      </c>
      <c r="AI101" s="45">
        <f t="shared" ca="1" si="56"/>
        <v>6313.0244806846131</v>
      </c>
      <c r="AJ101" s="45">
        <f ca="1">U101*(Inputs!$B$12-ILP_A_CostFocused!$F$9)+V101*(Inputs!$B$13-ILP_A_CostFocused!$F$10)+W101*(Inputs!$B$14-ILP_A_CostFocused!$F$11)+X101*(Inputs!$B$15-ILP_A_CostFocused!$F$12)+Y101*(Inputs!$B$16-ILP_A_CostFocused!$F$13)</f>
        <v>19298.463699410106</v>
      </c>
      <c r="AK101" s="45">
        <f t="shared" ca="1" si="57"/>
        <v>6313.0244806846131</v>
      </c>
      <c r="AL101" s="45">
        <f t="shared" ca="1" si="58"/>
        <v>0</v>
      </c>
      <c r="AM101" s="45">
        <f t="shared" ca="1" si="59"/>
        <v>0</v>
      </c>
      <c r="AN101" s="45">
        <f t="shared" ca="1" si="60"/>
        <v>0</v>
      </c>
      <c r="AO101" s="45">
        <f ca="1">MIN(AL101,Inputs!$B$36)</f>
        <v>0</v>
      </c>
      <c r="AP101" s="45">
        <f ca="1">MIN(AN101,Inputs!$B$36-AO101)</f>
        <v>0</v>
      </c>
      <c r="AQ101" s="45">
        <f ca="1">MIN(AM101,Inputs!$B$36-AO101-AP101)</f>
        <v>0</v>
      </c>
      <c r="AR101" s="45">
        <f t="shared" ca="1" si="61"/>
        <v>0</v>
      </c>
      <c r="AS101" s="45">
        <f t="shared" ca="1" si="62"/>
        <v>0</v>
      </c>
      <c r="AT101" s="45">
        <f t="shared" ca="1" si="63"/>
        <v>0</v>
      </c>
      <c r="AU101" s="45">
        <f t="shared" ca="1" si="64"/>
        <v>0</v>
      </c>
      <c r="AV101" s="46">
        <f ca="1">AU101*Inputs!$B$35</f>
        <v>0</v>
      </c>
      <c r="AW101" s="46">
        <f ca="1">AR101*Inputs!$C$6+AT101*Inputs!$C$7+AS101*Inputs!$C$8</f>
        <v>0</v>
      </c>
      <c r="AX101" s="46">
        <f t="shared" ca="1" si="65"/>
        <v>37775690.192046776</v>
      </c>
      <c r="AY101" s="46">
        <f ca="1">IF(J101&gt;1,($CD$4)*Inputs!$B$55*((Z101+AA101+AB101)/(SUM(ILP_A_CostFocused!$C$9:$E$13))),0)</f>
        <v>0</v>
      </c>
      <c r="AZ101" s="46">
        <f t="shared" ca="1" si="66"/>
        <v>0</v>
      </c>
      <c r="BA101" s="41">
        <f t="shared" ca="1" si="67"/>
        <v>0</v>
      </c>
      <c r="BB101" s="41">
        <f t="shared" ca="1" si="68"/>
        <v>1</v>
      </c>
      <c r="BC101" s="41">
        <f t="shared" ca="1" si="69"/>
        <v>1</v>
      </c>
      <c r="BD101" s="41">
        <f t="shared" ca="1" si="70"/>
        <v>1</v>
      </c>
    </row>
    <row r="102" spans="1:56" ht="15" customHeight="1" x14ac:dyDescent="0.3">
      <c r="A102" s="41">
        <v>95</v>
      </c>
      <c r="B102" s="42">
        <f t="shared" ca="1" si="52"/>
        <v>3.3412496000990055E-2</v>
      </c>
      <c r="C102" s="43">
        <f ca="1">IF(B102&lt;=Inputs!$C$40,Inputs!$D$40,IF(B102&lt;=Inputs!$C$41,Inputs!$D$41,Inputs!$D$42))</f>
        <v>0.9</v>
      </c>
      <c r="D102" s="42">
        <f t="shared" ca="1" si="75"/>
        <v>9.8161934138645601E-2</v>
      </c>
      <c r="E102" s="42">
        <f t="shared" ca="1" si="75"/>
        <v>0.42016274717797508</v>
      </c>
      <c r="F102" s="42">
        <f t="shared" ca="1" si="75"/>
        <v>0.74582092693222934</v>
      </c>
      <c r="G102" s="42">
        <f t="shared" ca="1" si="75"/>
        <v>0.7364636317489357</v>
      </c>
      <c r="H102" s="42">
        <f t="shared" ca="1" si="75"/>
        <v>0.31722853440804788</v>
      </c>
      <c r="I102" s="42">
        <f t="shared" ca="1" si="75"/>
        <v>0.26741708737903058</v>
      </c>
      <c r="J102" s="43">
        <f ca="1">IF(I102&lt;Inputs!$B$54,1+Inputs!$B$55,1)</f>
        <v>1</v>
      </c>
      <c r="K102" s="42">
        <f t="shared" ca="1" si="76"/>
        <v>0.97984364834669668</v>
      </c>
      <c r="L102" s="42">
        <f t="shared" ca="1" si="76"/>
        <v>0.45472239717503715</v>
      </c>
      <c r="M102" s="42">
        <f t="shared" ca="1" si="76"/>
        <v>0.99831061976981017</v>
      </c>
      <c r="N102" s="42">
        <f t="shared" ca="1" si="76"/>
        <v>0.58426309545680466</v>
      </c>
      <c r="O102" s="42">
        <f t="shared" ca="1" si="76"/>
        <v>0.40210674979071537</v>
      </c>
      <c r="P102" s="42">
        <f t="shared" ca="1" si="76"/>
        <v>0.38427574205094195</v>
      </c>
      <c r="Q102" s="42">
        <f t="shared" ca="1" si="76"/>
        <v>0.10668156323408284</v>
      </c>
      <c r="R102" s="42">
        <f t="shared" ca="1" si="76"/>
        <v>2.3303895996820145E-2</v>
      </c>
      <c r="S102" s="42">
        <f t="shared" ca="1" si="76"/>
        <v>0.73265977289377682</v>
      </c>
      <c r="T102" s="42">
        <f t="shared" ca="1" si="76"/>
        <v>0.99698582054208973</v>
      </c>
      <c r="U102" s="44">
        <f ca="1">(IF(D102&gt;=Inputs!$E$12,1,IF(K102&lt;=Inputs!$C$46,Inputs!$D$46,IF(K102&lt;=Inputs!$C$47,Inputs!$D$47,Inputs!$D$48))))*((Inputs!$B$28+(P102-0.5)*2*Inputs!$B$53)/Inputs!$B$28)</f>
        <v>0.99882870184262085</v>
      </c>
      <c r="V102" s="44">
        <f ca="1">(IF(E102&gt;=Inputs!$E$13,1,IF(L102&lt;=Inputs!$C$46,Inputs!$D$46,IF(L102&lt;=Inputs!$C$47,Inputs!$D$47,Inputs!$D$48))))*((Inputs!$B$29+(Q102-0.5)*2*Inputs!$B$53)/Inputs!$B$29)</f>
        <v>0.99603509640356935</v>
      </c>
      <c r="W102" s="44">
        <f ca="1">(IF(F102&gt;=Inputs!$E$14,1,IF(M102&lt;=Inputs!$C$46,Inputs!$D$46,IF(M102&lt;=Inputs!$C$47,Inputs!$D$47,Inputs!$D$48))))*((Inputs!$B$30+(R102-0.5)*2*Inputs!$B$53)/Inputs!$B$30)</f>
        <v>0.99520908438187761</v>
      </c>
      <c r="X102" s="44">
        <f ca="1">(IF(G102&gt;=Inputs!$E$15,1,IF(N102&lt;=Inputs!$C$46,Inputs!$D$46,IF(N102&lt;=Inputs!$C$47,Inputs!$D$47,Inputs!$D$48))))*((Inputs!$B$31+(S102-0.5)*2*Inputs!$B$53)/Inputs!$B$31)</f>
        <v>1.0023620281512058</v>
      </c>
      <c r="Y102" s="44">
        <f ca="1">(IF(H102&gt;=Inputs!$E$16,1,IF(O102&lt;=Inputs!$C$46,Inputs!$D$46,IF(O102&lt;=Inputs!$C$47,Inputs!$D$47,Inputs!$D$48))))*((Inputs!$B$32+(T102-0.5)*2*Inputs!$B$53)/Inputs!$B$32)</f>
        <v>1.004999857349518</v>
      </c>
      <c r="Z102" s="45">
        <f ca="1">ILP_A_CostFocused!$C$9*U102+ILP_A_CostFocused!$C$10*V102+ILP_A_CostFocused!$C$11*W102+ILP_A_CostFocused!$C$12*X102+ILP_A_CostFocused!$C$13*Y102</f>
        <v>18016.830720021255</v>
      </c>
      <c r="AA102" s="45">
        <f ca="1">ILP_A_CostFocused!$D$9*U102+ILP_A_CostFocused!$D$10*V102+ILP_A_CostFocused!$D$11*W102+ILP_A_CostFocused!$D$12*X102+ILP_A_CostFocused!$D$13*Y102</f>
        <v>14942.866376568103</v>
      </c>
      <c r="AB102" s="45">
        <f ca="1">ILP_A_CostFocused!$E$9*U102+ILP_A_CostFocused!$E$10*V102+ILP_A_CostFocused!$E$11*W102+ILP_A_CostFocused!$E$12*X102+ILP_A_CostFocused!$E$13*Y102</f>
        <v>11972.535116004003</v>
      </c>
      <c r="AC102" s="45">
        <f ca="1">Inputs!$B$6*$C102</f>
        <v>16200</v>
      </c>
      <c r="AD102" s="45">
        <f ca="1">Inputs!$B$7*$C102</f>
        <v>13500</v>
      </c>
      <c r="AE102" s="45">
        <f ca="1">Inputs!$B$8*$C102</f>
        <v>10800</v>
      </c>
      <c r="AF102" s="45">
        <f t="shared" ca="1" si="53"/>
        <v>0</v>
      </c>
      <c r="AG102" s="45">
        <f t="shared" ca="1" si="54"/>
        <v>0</v>
      </c>
      <c r="AH102" s="45">
        <f t="shared" ca="1" si="55"/>
        <v>0</v>
      </c>
      <c r="AI102" s="45">
        <f t="shared" ca="1" si="56"/>
        <v>0</v>
      </c>
      <c r="AJ102" s="45">
        <f ca="1">U102*(Inputs!$B$12-ILP_A_CostFocused!$F$9)+V102*(Inputs!$B$13-ILP_A_CostFocused!$F$10)+W102*(Inputs!$B$14-ILP_A_CostFocused!$F$11)+X102*(Inputs!$B$15-ILP_A_CostFocused!$F$12)+Y102*(Inputs!$B$16-ILP_A_CostFocused!$F$13)</f>
        <v>25034.57866156019</v>
      </c>
      <c r="AK102" s="45">
        <f t="shared" ca="1" si="57"/>
        <v>0</v>
      </c>
      <c r="AL102" s="45">
        <f t="shared" ca="1" si="58"/>
        <v>0</v>
      </c>
      <c r="AM102" s="45">
        <f t="shared" ca="1" si="59"/>
        <v>0</v>
      </c>
      <c r="AN102" s="45">
        <f t="shared" ca="1" si="60"/>
        <v>0</v>
      </c>
      <c r="AO102" s="45">
        <f ca="1">MIN(AL102,Inputs!$B$36)</f>
        <v>0</v>
      </c>
      <c r="AP102" s="45">
        <f ca="1">MIN(AN102,Inputs!$B$36-AO102)</f>
        <v>0</v>
      </c>
      <c r="AQ102" s="45">
        <f ca="1">MIN(AM102,Inputs!$B$36-AO102-AP102)</f>
        <v>0</v>
      </c>
      <c r="AR102" s="45">
        <f t="shared" ca="1" si="61"/>
        <v>0</v>
      </c>
      <c r="AS102" s="45">
        <f t="shared" ca="1" si="62"/>
        <v>0</v>
      </c>
      <c r="AT102" s="45">
        <f t="shared" ca="1" si="63"/>
        <v>0</v>
      </c>
      <c r="AU102" s="45">
        <f t="shared" ca="1" si="64"/>
        <v>0</v>
      </c>
      <c r="AV102" s="46">
        <f ca="1">AU102*Inputs!$B$35</f>
        <v>0</v>
      </c>
      <c r="AW102" s="46">
        <f ca="1">AR102*Inputs!$C$6+AT102*Inputs!$C$7+AS102*Inputs!$C$8</f>
        <v>0</v>
      </c>
      <c r="AX102" s="46">
        <f t="shared" ca="1" si="65"/>
        <v>47319710.388298102</v>
      </c>
      <c r="AY102" s="46">
        <f ca="1">IF(J102&gt;1,($CD$4)*Inputs!$B$55*((Z102+AA102+AB102)/(SUM(ILP_A_CostFocused!$C$9:$E$13))),0)</f>
        <v>0</v>
      </c>
      <c r="AZ102" s="46">
        <f t="shared" ca="1" si="66"/>
        <v>0</v>
      </c>
      <c r="BA102" s="41">
        <f t="shared" ca="1" si="67"/>
        <v>0</v>
      </c>
      <c r="BB102" s="41">
        <f t="shared" ca="1" si="68"/>
        <v>1</v>
      </c>
      <c r="BC102" s="41">
        <f t="shared" ca="1" si="69"/>
        <v>1</v>
      </c>
      <c r="BD102" s="41">
        <f t="shared" ca="1" si="70"/>
        <v>1</v>
      </c>
    </row>
    <row r="103" spans="1:56" ht="15" customHeight="1" x14ac:dyDescent="0.3">
      <c r="A103" s="41">
        <v>96</v>
      </c>
      <c r="B103" s="42">
        <f t="shared" ca="1" si="52"/>
        <v>4.4070207840315234E-2</v>
      </c>
      <c r="C103" s="43">
        <f ca="1">IF(B103&lt;=Inputs!$C$40,Inputs!$D$40,IF(B103&lt;=Inputs!$C$41,Inputs!$D$41,Inputs!$D$42))</f>
        <v>0.9</v>
      </c>
      <c r="D103" s="42">
        <f t="shared" ca="1" si="75"/>
        <v>0.74138628919534455</v>
      </c>
      <c r="E103" s="42">
        <f t="shared" ca="1" si="75"/>
        <v>0.18947723367430813</v>
      </c>
      <c r="F103" s="42">
        <f t="shared" ca="1" si="75"/>
        <v>0.79768054098342289</v>
      </c>
      <c r="G103" s="42">
        <f t="shared" ca="1" si="75"/>
        <v>0.33911476493029846</v>
      </c>
      <c r="H103" s="42">
        <f t="shared" ca="1" si="75"/>
        <v>0.35114719540660888</v>
      </c>
      <c r="I103" s="42">
        <f t="shared" ca="1" si="75"/>
        <v>0.47079321815551411</v>
      </c>
      <c r="J103" s="43">
        <f ca="1">IF(I103&lt;Inputs!$B$54,1+Inputs!$B$55,1)</f>
        <v>1</v>
      </c>
      <c r="K103" s="42">
        <f t="shared" ca="1" si="76"/>
        <v>0.82715485019751289</v>
      </c>
      <c r="L103" s="42">
        <f t="shared" ca="1" si="76"/>
        <v>0.52360751765233626</v>
      </c>
      <c r="M103" s="42">
        <f t="shared" ca="1" si="76"/>
        <v>0.43478700055471842</v>
      </c>
      <c r="N103" s="42">
        <f t="shared" ca="1" si="76"/>
        <v>0.59057707714022334</v>
      </c>
      <c r="O103" s="42">
        <f t="shared" ca="1" si="76"/>
        <v>0.22647891286203037</v>
      </c>
      <c r="P103" s="42">
        <f t="shared" ca="1" si="76"/>
        <v>0.79961394600953106</v>
      </c>
      <c r="Q103" s="42">
        <f t="shared" ca="1" si="76"/>
        <v>0.26722682645078044</v>
      </c>
      <c r="R103" s="42">
        <f t="shared" ca="1" si="76"/>
        <v>0.95897819912917448</v>
      </c>
      <c r="S103" s="42">
        <f t="shared" ca="1" si="76"/>
        <v>0.24366343440332772</v>
      </c>
      <c r="T103" s="42">
        <f t="shared" ca="1" si="76"/>
        <v>0.20287241063870731</v>
      </c>
      <c r="U103" s="44">
        <f ca="1">(IF(D103&gt;=Inputs!$E$12,1,IF(K103&lt;=Inputs!$C$46,Inputs!$D$46,IF(K103&lt;=Inputs!$C$47,Inputs!$D$47,Inputs!$D$48))))*((Inputs!$B$28+(P103-0.5)*2*Inputs!$B$53)/Inputs!$B$28)</f>
        <v>1.0030325298179104</v>
      </c>
      <c r="V103" s="44">
        <f ca="1">(IF(E103&gt;=Inputs!$E$13,1,IF(L103&lt;=Inputs!$C$46,Inputs!$D$46,IF(L103&lt;=Inputs!$C$47,Inputs!$D$47,Inputs!$D$48))))*((Inputs!$B$29+(Q103-0.5)*2*Inputs!$B$53)/Inputs!$B$29)</f>
        <v>0.99765349623438293</v>
      </c>
      <c r="W103" s="44">
        <f ca="1">(IF(F103&gt;=Inputs!$E$14,1,IF(M103&lt;=Inputs!$C$46,Inputs!$D$46,IF(M103&lt;=Inputs!$C$47,Inputs!$D$47,Inputs!$D$48))))*((Inputs!$B$30+(R103-0.5)*2*Inputs!$B$53)/Inputs!$B$30)</f>
        <v>1.0046128462224038</v>
      </c>
      <c r="X103" s="44">
        <f ca="1">(IF(G103&gt;=Inputs!$E$15,1,IF(N103&lt;=Inputs!$C$46,Inputs!$D$46,IF(N103&lt;=Inputs!$C$47,Inputs!$D$47,Inputs!$D$48))))*((Inputs!$B$31+(S103-0.5)*2*Inputs!$B$53)/Inputs!$B$31)</f>
        <v>0.99739759831881547</v>
      </c>
      <c r="Y103" s="44">
        <f ca="1">(IF(H103&gt;=Inputs!$E$16,1,IF(O103&lt;=Inputs!$C$46,Inputs!$D$46,IF(O103&lt;=Inputs!$C$47,Inputs!$D$47,Inputs!$D$48))))*((Inputs!$B$32+(T103-0.5)*2*Inputs!$B$53)/Inputs!$B$32)</f>
        <v>0.99701078883942362</v>
      </c>
      <c r="Z103" s="45">
        <f ca="1">ILP_A_CostFocused!$C$9*U103+ILP_A_CostFocused!$C$10*V103+ILP_A_CostFocused!$C$11*W103+ILP_A_CostFocused!$C$12*X103+ILP_A_CostFocused!$C$13*Y103</f>
        <v>17993.254921576812</v>
      </c>
      <c r="AA103" s="45">
        <f ca="1">ILP_A_CostFocused!$D$9*U103+ILP_A_CostFocused!$D$10*V103+ILP_A_CostFocused!$D$11*W103+ILP_A_CostFocused!$D$12*X103+ILP_A_CostFocused!$D$13*Y103</f>
        <v>14999.198990582208</v>
      </c>
      <c r="AB103" s="45">
        <f ca="1">ILP_A_CostFocused!$E$9*U103+ILP_A_CostFocused!$E$10*V103+ILP_A_CostFocused!$E$11*W103+ILP_A_CostFocused!$E$12*X103+ILP_A_CostFocused!$E$13*Y103</f>
        <v>12010.570996613993</v>
      </c>
      <c r="AC103" s="45">
        <f ca="1">Inputs!$B$6*$C103</f>
        <v>16200</v>
      </c>
      <c r="AD103" s="45">
        <f ca="1">Inputs!$B$7*$C103</f>
        <v>13500</v>
      </c>
      <c r="AE103" s="45">
        <f ca="1">Inputs!$B$8*$C103</f>
        <v>10800</v>
      </c>
      <c r="AF103" s="45">
        <f t="shared" ca="1" si="53"/>
        <v>0</v>
      </c>
      <c r="AG103" s="45">
        <f t="shared" ca="1" si="54"/>
        <v>0</v>
      </c>
      <c r="AH103" s="45">
        <f t="shared" ca="1" si="55"/>
        <v>0</v>
      </c>
      <c r="AI103" s="45">
        <f t="shared" ca="1" si="56"/>
        <v>0</v>
      </c>
      <c r="AJ103" s="45">
        <f ca="1">U103*(Inputs!$B$12-ILP_A_CostFocused!$F$9)+V103*(Inputs!$B$13-ILP_A_CostFocused!$F$10)+W103*(Inputs!$B$14-ILP_A_CostFocused!$F$11)+X103*(Inputs!$B$15-ILP_A_CostFocused!$F$12)+Y103*(Inputs!$B$16-ILP_A_CostFocused!$F$13)</f>
        <v>24996.544528903301</v>
      </c>
      <c r="AK103" s="45">
        <f t="shared" ca="1" si="57"/>
        <v>0</v>
      </c>
      <c r="AL103" s="45">
        <f t="shared" ca="1" si="58"/>
        <v>0</v>
      </c>
      <c r="AM103" s="45">
        <f t="shared" ca="1" si="59"/>
        <v>0</v>
      </c>
      <c r="AN103" s="45">
        <f t="shared" ca="1" si="60"/>
        <v>0</v>
      </c>
      <c r="AO103" s="45">
        <f ca="1">MIN(AL103,Inputs!$B$36)</f>
        <v>0</v>
      </c>
      <c r="AP103" s="45">
        <f ca="1">MIN(AN103,Inputs!$B$36-AO103)</f>
        <v>0</v>
      </c>
      <c r="AQ103" s="45">
        <f ca="1">MIN(AM103,Inputs!$B$36-AO103-AP103)</f>
        <v>0</v>
      </c>
      <c r="AR103" s="45">
        <f t="shared" ca="1" si="61"/>
        <v>0</v>
      </c>
      <c r="AS103" s="45">
        <f t="shared" ca="1" si="62"/>
        <v>0</v>
      </c>
      <c r="AT103" s="45">
        <f t="shared" ca="1" si="63"/>
        <v>0</v>
      </c>
      <c r="AU103" s="45">
        <f t="shared" ca="1" si="64"/>
        <v>0</v>
      </c>
      <c r="AV103" s="46">
        <f ca="1">AU103*Inputs!$B$35</f>
        <v>0</v>
      </c>
      <c r="AW103" s="46">
        <f ca="1">AR103*Inputs!$C$6+AT103*Inputs!$C$7+AS103*Inputs!$C$8</f>
        <v>0</v>
      </c>
      <c r="AX103" s="46">
        <f t="shared" ca="1" si="65"/>
        <v>47396061.114898771</v>
      </c>
      <c r="AY103" s="46">
        <f ca="1">IF(J103&gt;1,($CD$4)*Inputs!$B$55*((Z103+AA103+AB103)/(SUM(ILP_A_CostFocused!$C$9:$E$13))),0)</f>
        <v>0</v>
      </c>
      <c r="AZ103" s="46">
        <f t="shared" ca="1" si="66"/>
        <v>0</v>
      </c>
      <c r="BA103" s="41">
        <f t="shared" ca="1" si="67"/>
        <v>0</v>
      </c>
      <c r="BB103" s="41">
        <f t="shared" ca="1" si="68"/>
        <v>1</v>
      </c>
      <c r="BC103" s="41">
        <f t="shared" ca="1" si="69"/>
        <v>1</v>
      </c>
      <c r="BD103" s="41">
        <f t="shared" ca="1" si="70"/>
        <v>1</v>
      </c>
    </row>
    <row r="104" spans="1:56" ht="15" customHeight="1" x14ac:dyDescent="0.3">
      <c r="A104" s="41">
        <v>97</v>
      </c>
      <c r="B104" s="42">
        <f t="shared" ref="B104:B135" ca="1" si="77">RAND()</f>
        <v>2.6926957848663613E-2</v>
      </c>
      <c r="C104" s="43">
        <f ca="1">IF(B104&lt;=Inputs!$C$40,Inputs!$D$40,IF(B104&lt;=Inputs!$C$41,Inputs!$D$41,Inputs!$D$42))</f>
        <v>0.9</v>
      </c>
      <c r="D104" s="42">
        <f t="shared" ca="1" si="75"/>
        <v>0.86344509156705773</v>
      </c>
      <c r="E104" s="42">
        <f t="shared" ca="1" si="75"/>
        <v>0.97765913210105304</v>
      </c>
      <c r="F104" s="42">
        <f t="shared" ca="1" si="75"/>
        <v>2.4222676314929359E-2</v>
      </c>
      <c r="G104" s="42">
        <f t="shared" ca="1" si="75"/>
        <v>0.49480138645606708</v>
      </c>
      <c r="H104" s="42">
        <f t="shared" ca="1" si="75"/>
        <v>0.24386853853795243</v>
      </c>
      <c r="I104" s="42">
        <f t="shared" ca="1" si="75"/>
        <v>0.65486516092342628</v>
      </c>
      <c r="J104" s="43">
        <f ca="1">IF(I104&lt;Inputs!$B$54,1+Inputs!$B$55,1)</f>
        <v>1</v>
      </c>
      <c r="K104" s="42">
        <f t="shared" ca="1" si="76"/>
        <v>0.26681067123475322</v>
      </c>
      <c r="L104" s="42">
        <f t="shared" ca="1" si="76"/>
        <v>0.67180811279230124</v>
      </c>
      <c r="M104" s="42">
        <f t="shared" ca="1" si="76"/>
        <v>0.4094626965847491</v>
      </c>
      <c r="N104" s="42">
        <f t="shared" ca="1" si="76"/>
        <v>0.15450684886225496</v>
      </c>
      <c r="O104" s="42">
        <f t="shared" ca="1" si="76"/>
        <v>0.14387945623368525</v>
      </c>
      <c r="P104" s="42">
        <f t="shared" ca="1" si="76"/>
        <v>0.528951104149463</v>
      </c>
      <c r="Q104" s="42">
        <f t="shared" ca="1" si="76"/>
        <v>0.74456231912842508</v>
      </c>
      <c r="R104" s="42">
        <f t="shared" ca="1" si="76"/>
        <v>0.73025952741240485</v>
      </c>
      <c r="S104" s="42">
        <f t="shared" ca="1" si="76"/>
        <v>0.97702574197350589</v>
      </c>
      <c r="T104" s="42">
        <f t="shared" ca="1" si="76"/>
        <v>0.82825139885287546</v>
      </c>
      <c r="U104" s="44">
        <f ca="1">(IF(D104&gt;=Inputs!$E$12,1,IF(K104&lt;=Inputs!$C$46,Inputs!$D$46,IF(K104&lt;=Inputs!$C$47,Inputs!$D$47,Inputs!$D$48))))*((Inputs!$B$28+(P104-0.5)*2*Inputs!$B$53)/Inputs!$B$28)</f>
        <v>1.000293027369934</v>
      </c>
      <c r="V104" s="44">
        <f ca="1">(IF(E104&gt;=Inputs!$E$13,1,IF(L104&lt;=Inputs!$C$46,Inputs!$D$46,IF(L104&lt;=Inputs!$C$47,Inputs!$D$47,Inputs!$D$48))))*((Inputs!$B$29+(Q104-0.5)*2*Inputs!$B$53)/Inputs!$B$29)</f>
        <v>1.0024653459589559</v>
      </c>
      <c r="W104" s="44">
        <f ca="1">(IF(F104&gt;=Inputs!$E$14,1,IF(M104&lt;=Inputs!$C$46,Inputs!$D$46,IF(M104&lt;=Inputs!$C$47,Inputs!$D$47,Inputs!$D$48))))*((Inputs!$B$30+(R104-0.5)*2*Inputs!$B$53)/Inputs!$B$30)</f>
        <v>0.3006942498313942</v>
      </c>
      <c r="X104" s="44">
        <f ca="1">(IF(G104&gt;=Inputs!$E$15,1,IF(N104&lt;=Inputs!$C$46,Inputs!$D$46,IF(N104&lt;=Inputs!$C$47,Inputs!$D$47,Inputs!$D$48))))*((Inputs!$B$31+(S104-0.5)*2*Inputs!$B$53)/Inputs!$B$31)</f>
        <v>1.0048429009337412</v>
      </c>
      <c r="Y104" s="44">
        <f ca="1">(IF(H104&gt;=Inputs!$E$16,1,IF(O104&lt;=Inputs!$C$46,Inputs!$D$46,IF(O104&lt;=Inputs!$C$47,Inputs!$D$47,Inputs!$D$48))))*((Inputs!$B$32+(T104-0.5)*2*Inputs!$B$53)/Inputs!$B$32)</f>
        <v>1.0033023279562663</v>
      </c>
      <c r="Z104" s="45">
        <f ca="1">ILP_A_CostFocused!$C$9*U104+ILP_A_CostFocused!$C$10*V104+ILP_A_CostFocused!$C$11*W104+ILP_A_CostFocused!$C$12*X104+ILP_A_CostFocused!$C$13*Y104</f>
        <v>18054.604291183765</v>
      </c>
      <c r="AA104" s="45">
        <f ca="1">ILP_A_CostFocused!$D$9*U104+ILP_A_CostFocused!$D$10*V104+ILP_A_CostFocused!$D$11*W104+ILP_A_CostFocused!$D$12*X104+ILP_A_CostFocused!$D$13*Y104</f>
        <v>11544.585236743362</v>
      </c>
      <c r="AB104" s="45">
        <f ca="1">ILP_A_CostFocused!$E$9*U104+ILP_A_CostFocused!$E$10*V104+ILP_A_CostFocused!$E$11*W104+ILP_A_CostFocused!$E$12*X104+ILP_A_CostFocused!$E$13*Y104</f>
        <v>12013.943457666512</v>
      </c>
      <c r="AC104" s="45">
        <f ca="1">Inputs!$B$6*$C104</f>
        <v>16200</v>
      </c>
      <c r="AD104" s="45">
        <f ca="1">Inputs!$B$7*$C104</f>
        <v>13500</v>
      </c>
      <c r="AE104" s="45">
        <f ca="1">Inputs!$B$8*$C104</f>
        <v>10800</v>
      </c>
      <c r="AF104" s="45">
        <f t="shared" ref="AF104:AF135" ca="1" si="78">MAX(0,AC104-Z104)</f>
        <v>0</v>
      </c>
      <c r="AG104" s="45">
        <f t="shared" ref="AG104:AG135" ca="1" si="79">MAX(0,AD104-AA104)</f>
        <v>1955.4147632566383</v>
      </c>
      <c r="AH104" s="45">
        <f t="shared" ref="AH104:AH135" ca="1" si="80">MAX(0,AE104-AB104)</f>
        <v>0</v>
      </c>
      <c r="AI104" s="45">
        <f t="shared" ref="AI104:AI135" ca="1" si="81">SUM(AF104:AH104)</f>
        <v>1955.4147632566383</v>
      </c>
      <c r="AJ104" s="45">
        <f ca="1">U104*(Inputs!$B$12-ILP_A_CostFocused!$F$9)+V104*(Inputs!$B$13-ILP_A_CostFocused!$F$10)+W104*(Inputs!$B$14-ILP_A_CostFocused!$F$11)+X104*(Inputs!$B$15-ILP_A_CostFocused!$F$12)+Y104*(Inputs!$B$16-ILP_A_CostFocused!$F$13)</f>
        <v>19442.7452741077</v>
      </c>
      <c r="AK104" s="45">
        <f t="shared" ref="AK104:AK135" ca="1" si="82">MIN(AI104,MAX(0,AJ104))</f>
        <v>1955.4147632566383</v>
      </c>
      <c r="AL104" s="45">
        <f t="shared" ref="AL104:AL135" ca="1" si="83">AF104*(1-(IF(AI104&gt;0,AK104/AI104,0)))</f>
        <v>0</v>
      </c>
      <c r="AM104" s="45">
        <f t="shared" ref="AM104:AM135" ca="1" si="84">AG104*(1-(IF(AI104&gt;0,AK104/AI104,0)))</f>
        <v>0</v>
      </c>
      <c r="AN104" s="45">
        <f t="shared" ref="AN104:AN135" ca="1" si="85">AH104*(1-(IF(AI104&gt;0,AK104/AI104,0)))</f>
        <v>0</v>
      </c>
      <c r="AO104" s="45">
        <f ca="1">MIN(AL104,Inputs!$B$36)</f>
        <v>0</v>
      </c>
      <c r="AP104" s="45">
        <f ca="1">MIN(AN104,Inputs!$B$36-AO104)</f>
        <v>0</v>
      </c>
      <c r="AQ104" s="45">
        <f ca="1">MIN(AM104,Inputs!$B$36-AO104-AP104)</f>
        <v>0</v>
      </c>
      <c r="AR104" s="45">
        <f t="shared" ref="AR104:AR135" ca="1" si="86">AL104-AO104</f>
        <v>0</v>
      </c>
      <c r="AS104" s="45">
        <f t="shared" ref="AS104:AS135" ca="1" si="87">AN104-AP104</f>
        <v>0</v>
      </c>
      <c r="AT104" s="45">
        <f t="shared" ref="AT104:AT135" ca="1" si="88">AM104-AQ104</f>
        <v>0</v>
      </c>
      <c r="AU104" s="45">
        <f t="shared" ref="AU104:AU135" ca="1" si="89">AO104+AP104+AQ104</f>
        <v>0</v>
      </c>
      <c r="AV104" s="46">
        <f ca="1">AU104*Inputs!$B$35</f>
        <v>0</v>
      </c>
      <c r="AW104" s="46">
        <f ca="1">AR104*Inputs!$C$6+AT104*Inputs!$C$7+AS104*Inputs!$C$8</f>
        <v>0</v>
      </c>
      <c r="AX104" s="46">
        <f t="shared" ref="AX104:AX135" ca="1" si="90">Z104*$CA$4+AA104*$CB$4+AB104*$CC$4</f>
        <v>43821665.730210289</v>
      </c>
      <c r="AY104" s="46">
        <f ca="1">IF(J104&gt;1,($CD$4)*Inputs!$B$55*((Z104+AA104+AB104)/(SUM(ILP_A_CostFocused!$C$9:$E$13))),0)</f>
        <v>0</v>
      </c>
      <c r="AZ104" s="46">
        <f t="shared" ref="AZ104:AZ135" ca="1" si="91">AV104+AW104</f>
        <v>0</v>
      </c>
      <c r="BA104" s="41">
        <f t="shared" ref="BA104:BA135" ca="1" si="92">IF(AR104+AT104+AS104&gt;0,1,0)</f>
        <v>0</v>
      </c>
      <c r="BB104" s="41">
        <f t="shared" ref="BB104:BB135" ca="1" si="93">IF(AR104=0,1,0)</f>
        <v>1</v>
      </c>
      <c r="BC104" s="41">
        <f t="shared" ref="BC104:BC135" ca="1" si="94">IF(AT104=0,1,0)</f>
        <v>1</v>
      </c>
      <c r="BD104" s="41">
        <f t="shared" ref="BD104:BD135" ca="1" si="95">IF(AS104=0,1,0)</f>
        <v>1</v>
      </c>
    </row>
    <row r="105" spans="1:56" ht="15" customHeight="1" x14ac:dyDescent="0.3">
      <c r="A105" s="41">
        <v>98</v>
      </c>
      <c r="B105" s="42">
        <f t="shared" ca="1" si="77"/>
        <v>0.56108204597021705</v>
      </c>
      <c r="C105" s="43">
        <f ca="1">IF(B105&lt;=Inputs!$C$40,Inputs!$D$40,IF(B105&lt;=Inputs!$C$41,Inputs!$D$41,Inputs!$D$42))</f>
        <v>1</v>
      </c>
      <c r="D105" s="42">
        <f t="shared" ca="1" si="75"/>
        <v>2.0566125992384721E-2</v>
      </c>
      <c r="E105" s="42">
        <f t="shared" ca="1" si="75"/>
        <v>0.1723460813290103</v>
      </c>
      <c r="F105" s="42">
        <f t="shared" ca="1" si="75"/>
        <v>0.29857105663633055</v>
      </c>
      <c r="G105" s="42">
        <f t="shared" ca="1" si="75"/>
        <v>0.7563171678820193</v>
      </c>
      <c r="H105" s="42">
        <f t="shared" ca="1" si="75"/>
        <v>0.54784621970129799</v>
      </c>
      <c r="I105" s="42">
        <f t="shared" ca="1" si="75"/>
        <v>0.95005771909551973</v>
      </c>
      <c r="J105" s="43">
        <f ca="1">IF(I105&lt;Inputs!$B$54,1+Inputs!$B$55,1)</f>
        <v>1</v>
      </c>
      <c r="K105" s="42">
        <f t="shared" ca="1" si="76"/>
        <v>0.26580763893515169</v>
      </c>
      <c r="L105" s="42">
        <f t="shared" ca="1" si="76"/>
        <v>0.88699551961555301</v>
      </c>
      <c r="M105" s="42">
        <f t="shared" ca="1" si="76"/>
        <v>0.29844443538134402</v>
      </c>
      <c r="N105" s="42">
        <f t="shared" ca="1" si="76"/>
        <v>0.71289676910499211</v>
      </c>
      <c r="O105" s="42">
        <f t="shared" ca="1" si="76"/>
        <v>0.29177727720349911</v>
      </c>
      <c r="P105" s="42">
        <f t="shared" ca="1" si="76"/>
        <v>0.61199311503490961</v>
      </c>
      <c r="Q105" s="42">
        <f t="shared" ca="1" si="76"/>
        <v>0.18368311164653828</v>
      </c>
      <c r="R105" s="42">
        <f t="shared" ca="1" si="76"/>
        <v>0.97096927269785105</v>
      </c>
      <c r="S105" s="42">
        <f t="shared" ca="1" si="76"/>
        <v>0.53913598027008824</v>
      </c>
      <c r="T105" s="42">
        <f t="shared" ca="1" si="76"/>
        <v>0.22196139139432725</v>
      </c>
      <c r="U105" s="44">
        <f ca="1">(IF(D105&gt;=Inputs!$E$12,1,IF(K105&lt;=Inputs!$C$46,Inputs!$D$46,IF(K105&lt;=Inputs!$C$47,Inputs!$D$47,Inputs!$D$48))))*((Inputs!$B$28+(P105-0.5)*2*Inputs!$B$53)/Inputs!$B$28)</f>
        <v>0.60068012013179095</v>
      </c>
      <c r="V105" s="44">
        <f ca="1">(IF(E105&gt;=Inputs!$E$13,1,IF(L105&lt;=Inputs!$C$46,Inputs!$D$46,IF(L105&lt;=Inputs!$C$47,Inputs!$D$47,Inputs!$D$48))))*((Inputs!$B$29+(Q105-0.5)*2*Inputs!$B$53)/Inputs!$B$29)</f>
        <v>0.99681132168998521</v>
      </c>
      <c r="W105" s="44">
        <f ca="1">(IF(F105&gt;=Inputs!$E$14,1,IF(M105&lt;=Inputs!$C$46,Inputs!$D$46,IF(M105&lt;=Inputs!$C$47,Inputs!$D$47,Inputs!$D$48))))*((Inputs!$B$30+(R105-0.5)*2*Inputs!$B$53)/Inputs!$B$30)</f>
        <v>1.0047333595246015</v>
      </c>
      <c r="X105" s="44">
        <f ca="1">(IF(G105&gt;=Inputs!$E$15,1,IF(N105&lt;=Inputs!$C$46,Inputs!$D$46,IF(N105&lt;=Inputs!$C$47,Inputs!$D$47,Inputs!$D$48))))*((Inputs!$B$31+(S105-0.5)*2*Inputs!$B$53)/Inputs!$B$31)</f>
        <v>1.0003973195966507</v>
      </c>
      <c r="Y105" s="44">
        <f ca="1">(IF(H105&gt;=Inputs!$E$16,1,IF(O105&lt;=Inputs!$C$46,Inputs!$D$46,IF(O105&lt;=Inputs!$C$47,Inputs!$D$47,Inputs!$D$48))))*((Inputs!$B$32+(T105-0.5)*2*Inputs!$B$53)/Inputs!$B$32)</f>
        <v>0.99720283089933937</v>
      </c>
      <c r="Z105" s="45">
        <f ca="1">ILP_A_CostFocused!$C$9*U105+ILP_A_CostFocused!$C$10*V105+ILP_A_CostFocused!$C$11*W105+ILP_A_CostFocused!$C$12*X105+ILP_A_CostFocused!$C$13*Y105</f>
        <v>15164.047462329843</v>
      </c>
      <c r="AA105" s="45">
        <f ca="1">ILP_A_CostFocused!$D$9*U105+ILP_A_CostFocused!$D$10*V105+ILP_A_CostFocused!$D$11*W105+ILP_A_CostFocused!$D$12*X105+ILP_A_CostFocused!$D$13*Y105</f>
        <v>14995.279291630965</v>
      </c>
      <c r="AB105" s="45">
        <f ca="1">ILP_A_CostFocused!$E$9*U105+ILP_A_CostFocused!$E$10*V105+ILP_A_CostFocused!$E$11*W105+ILP_A_CostFocused!$E$12*X105+ILP_A_CostFocused!$E$13*Y105</f>
        <v>9109.5912090608253</v>
      </c>
      <c r="AC105" s="45">
        <f ca="1">Inputs!$B$6*$C105</f>
        <v>18000</v>
      </c>
      <c r="AD105" s="45">
        <f ca="1">Inputs!$B$7*$C105</f>
        <v>15000</v>
      </c>
      <c r="AE105" s="45">
        <f ca="1">Inputs!$B$8*$C105</f>
        <v>12000</v>
      </c>
      <c r="AF105" s="45">
        <f t="shared" ca="1" si="78"/>
        <v>2835.9525376701567</v>
      </c>
      <c r="AG105" s="45">
        <f t="shared" ca="1" si="79"/>
        <v>4.7207083690354921</v>
      </c>
      <c r="AH105" s="45">
        <f t="shared" ca="1" si="80"/>
        <v>2890.4087909391747</v>
      </c>
      <c r="AI105" s="45">
        <f t="shared" ca="1" si="81"/>
        <v>5731.0820369783669</v>
      </c>
      <c r="AJ105" s="45">
        <f ca="1">U105*(Inputs!$B$12-ILP_A_CostFocused!$F$9)+V105*(Inputs!$B$13-ILP_A_CostFocused!$F$10)+W105*(Inputs!$B$14-ILP_A_CostFocused!$F$11)+X105*(Inputs!$B$15-ILP_A_CostFocused!$F$12)+Y105*(Inputs!$B$16-ILP_A_CostFocused!$F$13)</f>
        <v>24321.666435216532</v>
      </c>
      <c r="AK105" s="45">
        <f t="shared" ca="1" si="82"/>
        <v>5731.0820369783669</v>
      </c>
      <c r="AL105" s="45">
        <f t="shared" ca="1" si="83"/>
        <v>0</v>
      </c>
      <c r="AM105" s="45">
        <f t="shared" ca="1" si="84"/>
        <v>0</v>
      </c>
      <c r="AN105" s="45">
        <f t="shared" ca="1" si="85"/>
        <v>0</v>
      </c>
      <c r="AO105" s="45">
        <f ca="1">MIN(AL105,Inputs!$B$36)</f>
        <v>0</v>
      </c>
      <c r="AP105" s="45">
        <f ca="1">MIN(AN105,Inputs!$B$36-AO105)</f>
        <v>0</v>
      </c>
      <c r="AQ105" s="45">
        <f ca="1">MIN(AM105,Inputs!$B$36-AO105-AP105)</f>
        <v>0</v>
      </c>
      <c r="AR105" s="45">
        <f t="shared" ca="1" si="86"/>
        <v>0</v>
      </c>
      <c r="AS105" s="45">
        <f t="shared" ca="1" si="87"/>
        <v>0</v>
      </c>
      <c r="AT105" s="45">
        <f t="shared" ca="1" si="88"/>
        <v>0</v>
      </c>
      <c r="AU105" s="45">
        <f t="shared" ca="1" si="89"/>
        <v>0</v>
      </c>
      <c r="AV105" s="46">
        <f ca="1">AU105*Inputs!$B$35</f>
        <v>0</v>
      </c>
      <c r="AW105" s="46">
        <f ca="1">AR105*Inputs!$C$6+AT105*Inputs!$C$7+AS105*Inputs!$C$8</f>
        <v>0</v>
      </c>
      <c r="AX105" s="46">
        <f t="shared" ca="1" si="90"/>
        <v>41326552.01649408</v>
      </c>
      <c r="AY105" s="46">
        <f ca="1">IF(J105&gt;1,($CD$4)*Inputs!$B$55*((Z105+AA105+AB105)/(SUM(ILP_A_CostFocused!$C$9:$E$13))),0)</f>
        <v>0</v>
      </c>
      <c r="AZ105" s="46">
        <f t="shared" ca="1" si="91"/>
        <v>0</v>
      </c>
      <c r="BA105" s="41">
        <f t="shared" ca="1" si="92"/>
        <v>0</v>
      </c>
      <c r="BB105" s="41">
        <f t="shared" ca="1" si="93"/>
        <v>1</v>
      </c>
      <c r="BC105" s="41">
        <f t="shared" ca="1" si="94"/>
        <v>1</v>
      </c>
      <c r="BD105" s="41">
        <f t="shared" ca="1" si="95"/>
        <v>1</v>
      </c>
    </row>
    <row r="106" spans="1:56" ht="15" customHeight="1" x14ac:dyDescent="0.3">
      <c r="A106" s="41">
        <v>99</v>
      </c>
      <c r="B106" s="42">
        <f t="shared" ca="1" si="77"/>
        <v>0.22714439175654988</v>
      </c>
      <c r="C106" s="43">
        <f ca="1">IF(B106&lt;=Inputs!$C$40,Inputs!$D$40,IF(B106&lt;=Inputs!$C$41,Inputs!$D$41,Inputs!$D$42))</f>
        <v>1</v>
      </c>
      <c r="D106" s="42">
        <f t="shared" ca="1" si="75"/>
        <v>0.31849703983271593</v>
      </c>
      <c r="E106" s="42">
        <f t="shared" ca="1" si="75"/>
        <v>0.43363495699406784</v>
      </c>
      <c r="F106" s="42">
        <f t="shared" ca="1" si="75"/>
        <v>0.30004709673658392</v>
      </c>
      <c r="G106" s="42">
        <f t="shared" ca="1" si="75"/>
        <v>0.13136668438101551</v>
      </c>
      <c r="H106" s="42">
        <f t="shared" ca="1" si="75"/>
        <v>0.22735456359142603</v>
      </c>
      <c r="I106" s="42">
        <f t="shared" ca="1" si="75"/>
        <v>0.83177307559083025</v>
      </c>
      <c r="J106" s="43">
        <f ca="1">IF(I106&lt;Inputs!$B$54,1+Inputs!$B$55,1)</f>
        <v>1</v>
      </c>
      <c r="K106" s="42">
        <f t="shared" ca="1" si="76"/>
        <v>0.74688942871533026</v>
      </c>
      <c r="L106" s="42">
        <f t="shared" ca="1" si="76"/>
        <v>0.55298421417443955</v>
      </c>
      <c r="M106" s="42">
        <f t="shared" ca="1" si="76"/>
        <v>0.37625388593033837</v>
      </c>
      <c r="N106" s="42">
        <f t="shared" ca="1" si="76"/>
        <v>0.45026585666693519</v>
      </c>
      <c r="O106" s="42">
        <f t="shared" ca="1" si="76"/>
        <v>6.8223244547455986E-2</v>
      </c>
      <c r="P106" s="42">
        <f t="shared" ca="1" si="76"/>
        <v>0.97054399589031115</v>
      </c>
      <c r="Q106" s="42">
        <f t="shared" ca="1" si="76"/>
        <v>0.88441407767973068</v>
      </c>
      <c r="R106" s="42">
        <f t="shared" ca="1" si="76"/>
        <v>0.66983411793180614</v>
      </c>
      <c r="S106" s="42">
        <f t="shared" ca="1" si="76"/>
        <v>0.62165605325666484</v>
      </c>
      <c r="T106" s="42">
        <f t="shared" ca="1" si="76"/>
        <v>0.85710448426456276</v>
      </c>
      <c r="U106" s="44">
        <f ca="1">(IF(D106&gt;=Inputs!$E$12,1,IF(K106&lt;=Inputs!$C$46,Inputs!$D$46,IF(K106&lt;=Inputs!$C$47,Inputs!$D$47,Inputs!$D$48))))*((Inputs!$B$28+(P106-0.5)*2*Inputs!$B$53)/Inputs!$B$28)</f>
        <v>1.0047625910515214</v>
      </c>
      <c r="V106" s="44">
        <f ca="1">(IF(E106&gt;=Inputs!$E$13,1,IF(L106&lt;=Inputs!$C$46,Inputs!$D$46,IF(L106&lt;=Inputs!$C$47,Inputs!$D$47,Inputs!$D$48))))*((Inputs!$B$29+(Q106-0.5)*2*Inputs!$B$53)/Inputs!$B$29)</f>
        <v>1.0038751419120941</v>
      </c>
      <c r="W106" s="44">
        <f ca="1">(IF(F106&gt;=Inputs!$E$14,1,IF(M106&lt;=Inputs!$C$46,Inputs!$D$46,IF(M106&lt;=Inputs!$C$47,Inputs!$D$47,Inputs!$D$48))))*((Inputs!$B$30+(R106-0.5)*2*Inputs!$B$53)/Inputs!$B$30)</f>
        <v>1.0017068755571037</v>
      </c>
      <c r="X106" s="44">
        <f ca="1">(IF(G106&gt;=Inputs!$E$15,1,IF(N106&lt;=Inputs!$C$46,Inputs!$D$46,IF(N106&lt;=Inputs!$C$47,Inputs!$D$47,Inputs!$D$48))))*((Inputs!$B$31+(S106-0.5)*2*Inputs!$B$53)/Inputs!$B$31)</f>
        <v>0.30037052605052789</v>
      </c>
      <c r="Y106" s="44">
        <f ca="1">(IF(H106&gt;=Inputs!$E$16,1,IF(O106&lt;=Inputs!$C$46,Inputs!$D$46,IF(O106&lt;=Inputs!$C$47,Inputs!$D$47,Inputs!$D$48))))*((Inputs!$B$32+(T106-0.5)*2*Inputs!$B$53)/Inputs!$B$32)</f>
        <v>1.0035926004453175</v>
      </c>
      <c r="Z106" s="45">
        <f ca="1">ILP_A_CostFocused!$C$9*U106+ILP_A_CostFocused!$C$10*V106+ILP_A_CostFocused!$C$11*W106+ILP_A_CostFocused!$C$12*X106+ILP_A_CostFocused!$C$13*Y106</f>
        <v>10478.214241392385</v>
      </c>
      <c r="AA106" s="45">
        <f ca="1">ILP_A_CostFocused!$D$9*U106+ILP_A_CostFocused!$D$10*V106+ILP_A_CostFocused!$D$11*W106+ILP_A_CostFocused!$D$12*X106+ILP_A_CostFocused!$D$13*Y106</f>
        <v>14329.754454054761</v>
      </c>
      <c r="AB106" s="45">
        <f ca="1">ILP_A_CostFocused!$E$9*U106+ILP_A_CostFocused!$E$10*V106+ILP_A_CostFocused!$E$11*W106+ILP_A_CostFocused!$E$12*X106+ILP_A_CostFocused!$E$13*Y106</f>
        <v>12052.891336749006</v>
      </c>
      <c r="AC106" s="45">
        <f ca="1">Inputs!$B$6*$C106</f>
        <v>18000</v>
      </c>
      <c r="AD106" s="45">
        <f ca="1">Inputs!$B$7*$C106</f>
        <v>15000</v>
      </c>
      <c r="AE106" s="45">
        <f ca="1">Inputs!$B$8*$C106</f>
        <v>12000</v>
      </c>
      <c r="AF106" s="45">
        <f t="shared" ca="1" si="78"/>
        <v>7521.7857586076152</v>
      </c>
      <c r="AG106" s="45">
        <f t="shared" ca="1" si="79"/>
        <v>670.24554594523943</v>
      </c>
      <c r="AH106" s="45">
        <f t="shared" ca="1" si="80"/>
        <v>0</v>
      </c>
      <c r="AI106" s="45">
        <f t="shared" ca="1" si="81"/>
        <v>8192.0313045528546</v>
      </c>
      <c r="AJ106" s="45">
        <f ca="1">U106*(Inputs!$B$12-ILP_A_CostFocused!$F$9)+V106*(Inputs!$B$13-ILP_A_CostFocused!$F$10)+W106*(Inputs!$B$14-ILP_A_CostFocused!$F$11)+X106*(Inputs!$B$15-ILP_A_CostFocused!$F$12)+Y106*(Inputs!$B$16-ILP_A_CostFocused!$F$13)</f>
        <v>24950.118112925949</v>
      </c>
      <c r="AK106" s="45">
        <f t="shared" ca="1" si="82"/>
        <v>8192.0313045528546</v>
      </c>
      <c r="AL106" s="45">
        <f t="shared" ca="1" si="83"/>
        <v>0</v>
      </c>
      <c r="AM106" s="45">
        <f t="shared" ca="1" si="84"/>
        <v>0</v>
      </c>
      <c r="AN106" s="45">
        <f t="shared" ca="1" si="85"/>
        <v>0</v>
      </c>
      <c r="AO106" s="45">
        <f ca="1">MIN(AL106,Inputs!$B$36)</f>
        <v>0</v>
      </c>
      <c r="AP106" s="45">
        <f ca="1">MIN(AN106,Inputs!$B$36-AO106)</f>
        <v>0</v>
      </c>
      <c r="AQ106" s="45">
        <f ca="1">MIN(AM106,Inputs!$B$36-AO106-AP106)</f>
        <v>0</v>
      </c>
      <c r="AR106" s="45">
        <f t="shared" ca="1" si="86"/>
        <v>0</v>
      </c>
      <c r="AS106" s="45">
        <f t="shared" ca="1" si="87"/>
        <v>0</v>
      </c>
      <c r="AT106" s="45">
        <f t="shared" ca="1" si="88"/>
        <v>0</v>
      </c>
      <c r="AU106" s="45">
        <f t="shared" ca="1" si="89"/>
        <v>0</v>
      </c>
      <c r="AV106" s="46">
        <f ca="1">AU106*Inputs!$B$35</f>
        <v>0</v>
      </c>
      <c r="AW106" s="46">
        <f ca="1">AR106*Inputs!$C$6+AT106*Inputs!$C$7+AS106*Inputs!$C$8</f>
        <v>0</v>
      </c>
      <c r="AX106" s="46">
        <f t="shared" ca="1" si="90"/>
        <v>38988324.715176687</v>
      </c>
      <c r="AY106" s="46">
        <f ca="1">IF(J106&gt;1,($CD$4)*Inputs!$B$55*((Z106+AA106+AB106)/(SUM(ILP_A_CostFocused!$C$9:$E$13))),0)</f>
        <v>0</v>
      </c>
      <c r="AZ106" s="46">
        <f t="shared" ca="1" si="91"/>
        <v>0</v>
      </c>
      <c r="BA106" s="41">
        <f t="shared" ca="1" si="92"/>
        <v>0</v>
      </c>
      <c r="BB106" s="41">
        <f t="shared" ca="1" si="93"/>
        <v>1</v>
      </c>
      <c r="BC106" s="41">
        <f t="shared" ca="1" si="94"/>
        <v>1</v>
      </c>
      <c r="BD106" s="41">
        <f t="shared" ca="1" si="95"/>
        <v>1</v>
      </c>
    </row>
    <row r="107" spans="1:56" ht="15" customHeight="1" x14ac:dyDescent="0.3">
      <c r="A107" s="41">
        <v>100</v>
      </c>
      <c r="B107" s="42">
        <f t="shared" ca="1" si="77"/>
        <v>0.18407686338511775</v>
      </c>
      <c r="C107" s="43">
        <f ca="1">IF(B107&lt;=Inputs!$C$40,Inputs!$D$40,IF(B107&lt;=Inputs!$C$41,Inputs!$D$41,Inputs!$D$42))</f>
        <v>0.9</v>
      </c>
      <c r="D107" s="42">
        <f t="shared" ca="1" si="75"/>
        <v>0.61336924239249402</v>
      </c>
      <c r="E107" s="42">
        <f t="shared" ca="1" si="75"/>
        <v>0.64469243910805873</v>
      </c>
      <c r="F107" s="42">
        <f t="shared" ca="1" si="75"/>
        <v>9.7091226174361833E-2</v>
      </c>
      <c r="G107" s="42">
        <f t="shared" ca="1" si="75"/>
        <v>0.79173575737907664</v>
      </c>
      <c r="H107" s="42">
        <f t="shared" ca="1" si="75"/>
        <v>7.9273624865141001E-2</v>
      </c>
      <c r="I107" s="42">
        <f t="shared" ca="1" si="75"/>
        <v>0.47269200705892256</v>
      </c>
      <c r="J107" s="43">
        <f ca="1">IF(I107&lt;Inputs!$B$54,1+Inputs!$B$55,1)</f>
        <v>1</v>
      </c>
      <c r="K107" s="42">
        <f t="shared" ca="1" si="76"/>
        <v>0.50793751869655968</v>
      </c>
      <c r="L107" s="42">
        <f t="shared" ca="1" si="76"/>
        <v>0.13975008799789668</v>
      </c>
      <c r="M107" s="42">
        <f t="shared" ca="1" si="76"/>
        <v>0.10409868263487088</v>
      </c>
      <c r="N107" s="42">
        <f t="shared" ca="1" si="76"/>
        <v>0.17509060834425483</v>
      </c>
      <c r="O107" s="42">
        <f t="shared" ca="1" si="76"/>
        <v>0.25138247127603552</v>
      </c>
      <c r="P107" s="42">
        <f t="shared" ca="1" si="76"/>
        <v>0.87908171243499755</v>
      </c>
      <c r="Q107" s="42">
        <f t="shared" ca="1" si="76"/>
        <v>0.59804284323604484</v>
      </c>
      <c r="R107" s="42">
        <f t="shared" ca="1" si="76"/>
        <v>0.49845642728104589</v>
      </c>
      <c r="S107" s="42">
        <f t="shared" ca="1" si="76"/>
        <v>0.48728420482635426</v>
      </c>
      <c r="T107" s="42">
        <f t="shared" ca="1" si="76"/>
        <v>3.1490309503684144E-2</v>
      </c>
      <c r="U107" s="44">
        <f ca="1">(IF(D107&gt;=Inputs!$E$12,1,IF(K107&lt;=Inputs!$C$46,Inputs!$D$46,IF(K107&lt;=Inputs!$C$47,Inputs!$D$47,Inputs!$D$48))))*((Inputs!$B$28+(P107-0.5)*2*Inputs!$B$53)/Inputs!$B$28)</f>
        <v>1.003836859437601</v>
      </c>
      <c r="V107" s="44">
        <f ca="1">(IF(E107&gt;=Inputs!$E$13,1,IF(L107&lt;=Inputs!$C$46,Inputs!$D$46,IF(L107&lt;=Inputs!$C$47,Inputs!$D$47,Inputs!$D$48))))*((Inputs!$B$29+(Q107-0.5)*2*Inputs!$B$53)/Inputs!$B$29)</f>
        <v>1.0009883351132667</v>
      </c>
      <c r="W107" s="44">
        <f ca="1">(IF(F107&gt;=Inputs!$E$14,1,IF(M107&lt;=Inputs!$C$46,Inputs!$D$46,IF(M107&lt;=Inputs!$C$47,Inputs!$D$47,Inputs!$D$48))))*((Inputs!$B$30+(R107-0.5)*2*Inputs!$B$53)/Inputs!$B$30)</f>
        <v>0.99998448670634221</v>
      </c>
      <c r="X107" s="44">
        <f ca="1">(IF(G107&gt;=Inputs!$E$15,1,IF(N107&lt;=Inputs!$C$46,Inputs!$D$46,IF(N107&lt;=Inputs!$C$47,Inputs!$D$47,Inputs!$D$48))))*((Inputs!$B$31+(S107-0.5)*2*Inputs!$B$53)/Inputs!$B$31)</f>
        <v>0.99987090563275483</v>
      </c>
      <c r="Y107" s="44">
        <f ca="1">(IF(H107&gt;=Inputs!$E$16,1,IF(O107&lt;=Inputs!$C$46,Inputs!$D$46,IF(O107&lt;=Inputs!$C$47,Inputs!$D$47,Inputs!$D$48))))*((Inputs!$B$32+(T107-0.5)*2*Inputs!$B$53)/Inputs!$B$32)</f>
        <v>0.99528662283202907</v>
      </c>
      <c r="Z107" s="45">
        <f ca="1">ILP_A_CostFocused!$C$9*U107+ILP_A_CostFocused!$C$10*V107+ILP_A_CostFocused!$C$11*W107+ILP_A_CostFocused!$C$12*X107+ILP_A_CostFocused!$C$13*Y107</f>
        <v>18025.980498643938</v>
      </c>
      <c r="AA107" s="45">
        <f ca="1">ILP_A_CostFocused!$D$9*U107+ILP_A_CostFocused!$D$10*V107+ILP_A_CostFocused!$D$11*W107+ILP_A_CostFocused!$D$12*X107+ILP_A_CostFocused!$D$13*Y107</f>
        <v>15008.686083562394</v>
      </c>
      <c r="AB107" s="45">
        <f ca="1">ILP_A_CostFocused!$E$9*U107+ILP_A_CostFocused!$E$10*V107+ILP_A_CostFocused!$E$11*W107+ILP_A_CostFocused!$E$12*X107+ILP_A_CostFocused!$E$13*Y107</f>
        <v>12032.369396494407</v>
      </c>
      <c r="AC107" s="45">
        <f ca="1">Inputs!$B$6*$C107</f>
        <v>16200</v>
      </c>
      <c r="AD107" s="45">
        <f ca="1">Inputs!$B$7*$C107</f>
        <v>13500</v>
      </c>
      <c r="AE107" s="45">
        <f ca="1">Inputs!$B$8*$C107</f>
        <v>10800</v>
      </c>
      <c r="AF107" s="45">
        <f t="shared" ca="1" si="78"/>
        <v>0</v>
      </c>
      <c r="AG107" s="45">
        <f t="shared" ca="1" si="79"/>
        <v>0</v>
      </c>
      <c r="AH107" s="45">
        <f t="shared" ca="1" si="80"/>
        <v>0</v>
      </c>
      <c r="AI107" s="45">
        <f t="shared" ca="1" si="81"/>
        <v>0</v>
      </c>
      <c r="AJ107" s="45">
        <f ca="1">U107*(Inputs!$B$12-ILP_A_CostFocused!$F$9)+V107*(Inputs!$B$13-ILP_A_CostFocused!$F$10)+W107*(Inputs!$B$14-ILP_A_CostFocused!$F$11)+X107*(Inputs!$B$15-ILP_A_CostFocused!$F$12)+Y107*(Inputs!$B$16-ILP_A_CostFocused!$F$13)</f>
        <v>24935.739001142552</v>
      </c>
      <c r="AK107" s="45">
        <f t="shared" ca="1" si="82"/>
        <v>0</v>
      </c>
      <c r="AL107" s="45">
        <f t="shared" ca="1" si="83"/>
        <v>0</v>
      </c>
      <c r="AM107" s="45">
        <f t="shared" ca="1" si="84"/>
        <v>0</v>
      </c>
      <c r="AN107" s="45">
        <f t="shared" ca="1" si="85"/>
        <v>0</v>
      </c>
      <c r="AO107" s="45">
        <f ca="1">MIN(AL107,Inputs!$B$36)</f>
        <v>0</v>
      </c>
      <c r="AP107" s="45">
        <f ca="1">MIN(AN107,Inputs!$B$36-AO107)</f>
        <v>0</v>
      </c>
      <c r="AQ107" s="45">
        <f ca="1">MIN(AM107,Inputs!$B$36-AO107-AP107)</f>
        <v>0</v>
      </c>
      <c r="AR107" s="45">
        <f t="shared" ca="1" si="86"/>
        <v>0</v>
      </c>
      <c r="AS107" s="45">
        <f t="shared" ca="1" si="87"/>
        <v>0</v>
      </c>
      <c r="AT107" s="45">
        <f t="shared" ca="1" si="88"/>
        <v>0</v>
      </c>
      <c r="AU107" s="45">
        <f t="shared" ca="1" si="89"/>
        <v>0</v>
      </c>
      <c r="AV107" s="46">
        <f ca="1">AU107*Inputs!$B$35</f>
        <v>0</v>
      </c>
      <c r="AW107" s="46">
        <f ca="1">AR107*Inputs!$C$6+AT107*Inputs!$C$7+AS107*Inputs!$C$8</f>
        <v>0</v>
      </c>
      <c r="AX107" s="46">
        <f t="shared" ca="1" si="90"/>
        <v>47463459.072649896</v>
      </c>
      <c r="AY107" s="46">
        <f ca="1">IF(J107&gt;1,($CD$4)*Inputs!$B$55*((Z107+AA107+AB107)/(SUM(ILP_A_CostFocused!$C$9:$E$13))),0)</f>
        <v>0</v>
      </c>
      <c r="AZ107" s="46">
        <f t="shared" ca="1" si="91"/>
        <v>0</v>
      </c>
      <c r="BA107" s="41">
        <f t="shared" ca="1" si="92"/>
        <v>0</v>
      </c>
      <c r="BB107" s="41">
        <f t="shared" ca="1" si="93"/>
        <v>1</v>
      </c>
      <c r="BC107" s="41">
        <f t="shared" ca="1" si="94"/>
        <v>1</v>
      </c>
      <c r="BD107" s="41">
        <f t="shared" ca="1" si="95"/>
        <v>1</v>
      </c>
    </row>
    <row r="108" spans="1:56" ht="15" customHeight="1" x14ac:dyDescent="0.3">
      <c r="A108" s="41">
        <v>101</v>
      </c>
      <c r="B108" s="42">
        <f t="shared" ca="1" si="77"/>
        <v>0.55557659275716109</v>
      </c>
      <c r="C108" s="43">
        <f ca="1">IF(B108&lt;=Inputs!$C$40,Inputs!$D$40,IF(B108&lt;=Inputs!$C$41,Inputs!$D$41,Inputs!$D$42))</f>
        <v>1</v>
      </c>
      <c r="D108" s="42">
        <f t="shared" ref="D108:I117" ca="1" si="96">RAND()</f>
        <v>0.78889366087335255</v>
      </c>
      <c r="E108" s="42">
        <f t="shared" ca="1" si="96"/>
        <v>0.28452847324733699</v>
      </c>
      <c r="F108" s="42">
        <f t="shared" ca="1" si="96"/>
        <v>0.19280361129022161</v>
      </c>
      <c r="G108" s="42">
        <f t="shared" ca="1" si="96"/>
        <v>0.34915001846442473</v>
      </c>
      <c r="H108" s="42">
        <f t="shared" ca="1" si="96"/>
        <v>0.47447258557139405</v>
      </c>
      <c r="I108" s="42">
        <f t="shared" ca="1" si="96"/>
        <v>0.53139716581554219</v>
      </c>
      <c r="J108" s="43">
        <f ca="1">IF(I108&lt;Inputs!$B$54,1+Inputs!$B$55,1)</f>
        <v>1</v>
      </c>
      <c r="K108" s="42">
        <f t="shared" ref="K108:T117" ca="1" si="97">RAND()</f>
        <v>0.19964151677466757</v>
      </c>
      <c r="L108" s="42">
        <f t="shared" ca="1" si="97"/>
        <v>0.95939623133723118</v>
      </c>
      <c r="M108" s="42">
        <f t="shared" ca="1" si="97"/>
        <v>0.30460404123315943</v>
      </c>
      <c r="N108" s="42">
        <f t="shared" ca="1" si="97"/>
        <v>0.84319462147693525</v>
      </c>
      <c r="O108" s="42">
        <f t="shared" ca="1" si="97"/>
        <v>0.87427342472722691</v>
      </c>
      <c r="P108" s="42">
        <f t="shared" ca="1" si="97"/>
        <v>0.62019773166022762</v>
      </c>
      <c r="Q108" s="42">
        <f t="shared" ca="1" si="97"/>
        <v>1.8901966745401677E-2</v>
      </c>
      <c r="R108" s="42">
        <f t="shared" ca="1" si="97"/>
        <v>0.65309502914159023</v>
      </c>
      <c r="S108" s="42">
        <f t="shared" ca="1" si="97"/>
        <v>0.29322448720733718</v>
      </c>
      <c r="T108" s="42">
        <f t="shared" ca="1" si="97"/>
        <v>0.74805225904915262</v>
      </c>
      <c r="U108" s="44">
        <f ca="1">(IF(D108&gt;=Inputs!$E$12,1,IF(K108&lt;=Inputs!$C$46,Inputs!$D$46,IF(K108&lt;=Inputs!$C$47,Inputs!$D$47,Inputs!$D$48))))*((Inputs!$B$28+(P108-0.5)*2*Inputs!$B$53)/Inputs!$B$28)</f>
        <v>1.0012165762313789</v>
      </c>
      <c r="V108" s="44">
        <f ca="1">(IF(E108&gt;=Inputs!$E$13,1,IF(L108&lt;=Inputs!$C$46,Inputs!$D$46,IF(L108&lt;=Inputs!$C$47,Inputs!$D$47,Inputs!$D$48))))*((Inputs!$B$29+(Q108-0.5)*2*Inputs!$B$53)/Inputs!$B$29)</f>
        <v>0.9951502214389657</v>
      </c>
      <c r="W108" s="44">
        <f ca="1">(IF(F108&gt;=Inputs!$E$14,1,IF(M108&lt;=Inputs!$C$46,Inputs!$D$46,IF(M108&lt;=Inputs!$C$47,Inputs!$D$47,Inputs!$D$48))))*((Inputs!$B$30+(R108-0.5)*2*Inputs!$B$53)/Inputs!$B$30)</f>
        <v>1.0015386435089608</v>
      </c>
      <c r="X108" s="44">
        <f ca="1">(IF(G108&gt;=Inputs!$E$15,1,IF(N108&lt;=Inputs!$C$46,Inputs!$D$46,IF(N108&lt;=Inputs!$C$47,Inputs!$D$47,Inputs!$D$48))))*((Inputs!$B$31+(S108-0.5)*2*Inputs!$B$53)/Inputs!$B$31)</f>
        <v>0.99790075621530283</v>
      </c>
      <c r="Y108" s="44">
        <f ca="1">(IF(H108&gt;=Inputs!$E$16,1,IF(O108&lt;=Inputs!$C$46,Inputs!$D$46,IF(O108&lt;=Inputs!$C$47,Inputs!$D$47,Inputs!$D$48))))*((Inputs!$B$32+(T108-0.5)*2*Inputs!$B$53)/Inputs!$B$32)</f>
        <v>1.0024954955638747</v>
      </c>
      <c r="Z108" s="45">
        <f ca="1">ILP_A_CostFocused!$C$9*U108+ILP_A_CostFocused!$C$10*V108+ILP_A_CostFocused!$C$11*W108+ILP_A_CostFocused!$C$12*X108+ILP_A_CostFocused!$C$13*Y108</f>
        <v>17985.553676769465</v>
      </c>
      <c r="AA108" s="45">
        <f ca="1">ILP_A_CostFocused!$D$9*U108+ILP_A_CostFocused!$D$10*V108+ILP_A_CostFocused!$D$11*W108+ILP_A_CostFocused!$D$12*X108+ILP_A_CostFocused!$D$13*Y108</f>
        <v>14961.873208964924</v>
      </c>
      <c r="AB108" s="45">
        <f ca="1">ILP_A_CostFocused!$E$9*U108+ILP_A_CostFocused!$E$10*V108+ILP_A_CostFocused!$E$11*W108+ILP_A_CostFocused!$E$12*X108+ILP_A_CostFocused!$E$13*Y108</f>
        <v>11985.480411772964</v>
      </c>
      <c r="AC108" s="45">
        <f ca="1">Inputs!$B$6*$C108</f>
        <v>18000</v>
      </c>
      <c r="AD108" s="45">
        <f ca="1">Inputs!$B$7*$C108</f>
        <v>15000</v>
      </c>
      <c r="AE108" s="45">
        <f ca="1">Inputs!$B$8*$C108</f>
        <v>12000</v>
      </c>
      <c r="AF108" s="45">
        <f t="shared" ca="1" si="78"/>
        <v>14.446323230535199</v>
      </c>
      <c r="AG108" s="45">
        <f t="shared" ca="1" si="79"/>
        <v>38.126791035076167</v>
      </c>
      <c r="AH108" s="45">
        <f t="shared" ca="1" si="80"/>
        <v>14.519588227036365</v>
      </c>
      <c r="AI108" s="45">
        <f t="shared" ca="1" si="81"/>
        <v>67.092702492647732</v>
      </c>
      <c r="AJ108" s="45">
        <f ca="1">U108*(Inputs!$B$12-ILP_A_CostFocused!$F$9)+V108*(Inputs!$B$13-ILP_A_CostFocused!$F$10)+W108*(Inputs!$B$14-ILP_A_CostFocused!$F$11)+X108*(Inputs!$B$15-ILP_A_CostFocused!$F$12)+Y108*(Inputs!$B$16-ILP_A_CostFocused!$F$13)</f>
        <v>25050.904895998472</v>
      </c>
      <c r="AK108" s="45">
        <f t="shared" ca="1" si="82"/>
        <v>67.092702492647732</v>
      </c>
      <c r="AL108" s="45">
        <f t="shared" ca="1" si="83"/>
        <v>0</v>
      </c>
      <c r="AM108" s="45">
        <f t="shared" ca="1" si="84"/>
        <v>0</v>
      </c>
      <c r="AN108" s="45">
        <f t="shared" ca="1" si="85"/>
        <v>0</v>
      </c>
      <c r="AO108" s="45">
        <f ca="1">MIN(AL108,Inputs!$B$36)</f>
        <v>0</v>
      </c>
      <c r="AP108" s="45">
        <f ca="1">MIN(AN108,Inputs!$B$36-AO108)</f>
        <v>0</v>
      </c>
      <c r="AQ108" s="45">
        <f ca="1">MIN(AM108,Inputs!$B$36-AO108-AP108)</f>
        <v>0</v>
      </c>
      <c r="AR108" s="45">
        <f t="shared" ca="1" si="86"/>
        <v>0</v>
      </c>
      <c r="AS108" s="45">
        <f t="shared" ca="1" si="87"/>
        <v>0</v>
      </c>
      <c r="AT108" s="45">
        <f t="shared" ca="1" si="88"/>
        <v>0</v>
      </c>
      <c r="AU108" s="45">
        <f t="shared" ca="1" si="89"/>
        <v>0</v>
      </c>
      <c r="AV108" s="46">
        <f ca="1">AU108*Inputs!$B$35</f>
        <v>0</v>
      </c>
      <c r="AW108" s="46">
        <f ca="1">AR108*Inputs!$C$6+AT108*Inputs!$C$7+AS108*Inputs!$C$8</f>
        <v>0</v>
      </c>
      <c r="AX108" s="46">
        <f t="shared" ca="1" si="90"/>
        <v>47321547.201307349</v>
      </c>
      <c r="AY108" s="46">
        <f ca="1">IF(J108&gt;1,($CD$4)*Inputs!$B$55*((Z108+AA108+AB108)/(SUM(ILP_A_CostFocused!$C$9:$E$13))),0)</f>
        <v>0</v>
      </c>
      <c r="AZ108" s="46">
        <f t="shared" ca="1" si="91"/>
        <v>0</v>
      </c>
      <c r="BA108" s="41">
        <f t="shared" ca="1" si="92"/>
        <v>0</v>
      </c>
      <c r="BB108" s="41">
        <f t="shared" ca="1" si="93"/>
        <v>1</v>
      </c>
      <c r="BC108" s="41">
        <f t="shared" ca="1" si="94"/>
        <v>1</v>
      </c>
      <c r="BD108" s="41">
        <f t="shared" ca="1" si="95"/>
        <v>1</v>
      </c>
    </row>
    <row r="109" spans="1:56" ht="15" customHeight="1" x14ac:dyDescent="0.3">
      <c r="A109" s="41">
        <v>102</v>
      </c>
      <c r="B109" s="42">
        <f t="shared" ca="1" si="77"/>
        <v>5.8291249363269348E-2</v>
      </c>
      <c r="C109" s="43">
        <f ca="1">IF(B109&lt;=Inputs!$C$40,Inputs!$D$40,IF(B109&lt;=Inputs!$C$41,Inputs!$D$41,Inputs!$D$42))</f>
        <v>0.9</v>
      </c>
      <c r="D109" s="42">
        <f t="shared" ca="1" si="96"/>
        <v>0.47849005396853728</v>
      </c>
      <c r="E109" s="42">
        <f t="shared" ca="1" si="96"/>
        <v>0.88874613577019179</v>
      </c>
      <c r="F109" s="42">
        <f t="shared" ca="1" si="96"/>
        <v>0.47954463920923929</v>
      </c>
      <c r="G109" s="42">
        <f t="shared" ca="1" si="96"/>
        <v>0.55470789206300186</v>
      </c>
      <c r="H109" s="42">
        <f t="shared" ca="1" si="96"/>
        <v>0.50585037469153882</v>
      </c>
      <c r="I109" s="42">
        <f t="shared" ca="1" si="96"/>
        <v>0.54903606231493529</v>
      </c>
      <c r="J109" s="43">
        <f ca="1">IF(I109&lt;Inputs!$B$54,1+Inputs!$B$55,1)</f>
        <v>1</v>
      </c>
      <c r="K109" s="42">
        <f t="shared" ca="1" si="97"/>
        <v>0.41222117271696279</v>
      </c>
      <c r="L109" s="42">
        <f t="shared" ca="1" si="97"/>
        <v>0.72290642738072064</v>
      </c>
      <c r="M109" s="42">
        <f t="shared" ca="1" si="97"/>
        <v>0.79906181491901407</v>
      </c>
      <c r="N109" s="42">
        <f t="shared" ca="1" si="97"/>
        <v>0.52326410156871039</v>
      </c>
      <c r="O109" s="42">
        <f t="shared" ca="1" si="97"/>
        <v>0.75865131010258791</v>
      </c>
      <c r="P109" s="42">
        <f t="shared" ca="1" si="97"/>
        <v>0.28340585521325146</v>
      </c>
      <c r="Q109" s="42">
        <f t="shared" ca="1" si="97"/>
        <v>0.57478777540609582</v>
      </c>
      <c r="R109" s="42">
        <f t="shared" ca="1" si="97"/>
        <v>0.22979773847483043</v>
      </c>
      <c r="S109" s="42">
        <f t="shared" ca="1" si="97"/>
        <v>0.97142392835386515</v>
      </c>
      <c r="T109" s="42">
        <f t="shared" ca="1" si="97"/>
        <v>0.12945532876590238</v>
      </c>
      <c r="U109" s="44">
        <f ca="1">(IF(D109&gt;=Inputs!$E$12,1,IF(K109&lt;=Inputs!$C$46,Inputs!$D$46,IF(K109&lt;=Inputs!$C$47,Inputs!$D$47,Inputs!$D$48))))*((Inputs!$B$28+(P109-0.5)*2*Inputs!$B$53)/Inputs!$B$28)</f>
        <v>0.99780775157098434</v>
      </c>
      <c r="V109" s="44">
        <f ca="1">(IF(E109&gt;=Inputs!$E$13,1,IF(L109&lt;=Inputs!$C$46,Inputs!$D$46,IF(L109&lt;=Inputs!$C$47,Inputs!$D$47,Inputs!$D$48))))*((Inputs!$B$29+(Q109-0.5)*2*Inputs!$B$53)/Inputs!$B$29)</f>
        <v>1.0007539090262711</v>
      </c>
      <c r="W109" s="44">
        <f ca="1">(IF(F109&gt;=Inputs!$E$14,1,IF(M109&lt;=Inputs!$C$46,Inputs!$D$46,IF(M109&lt;=Inputs!$C$47,Inputs!$D$47,Inputs!$D$48))))*((Inputs!$B$30+(R109-0.5)*2*Inputs!$B$53)/Inputs!$B$30)</f>
        <v>0.99728439938165658</v>
      </c>
      <c r="X109" s="44">
        <f ca="1">(IF(G109&gt;=Inputs!$E$15,1,IF(N109&lt;=Inputs!$C$46,Inputs!$D$46,IF(N109&lt;=Inputs!$C$47,Inputs!$D$47,Inputs!$D$48))))*((Inputs!$B$31+(S109-0.5)*2*Inputs!$B$53)/Inputs!$B$31)</f>
        <v>1.0047860297294808</v>
      </c>
      <c r="Y109" s="44">
        <f ca="1">(IF(H109&gt;=Inputs!$E$16,1,IF(O109&lt;=Inputs!$C$46,Inputs!$D$46,IF(O109&lt;=Inputs!$C$47,Inputs!$D$47,Inputs!$D$48))))*((Inputs!$B$32+(T109-0.5)*2*Inputs!$B$53)/Inputs!$B$32)</f>
        <v>0.99627218640609561</v>
      </c>
      <c r="Z109" s="45">
        <f ca="1">ILP_A_CostFocused!$C$9*U109+ILP_A_CostFocused!$C$10*V109+ILP_A_CostFocused!$C$11*W109+ILP_A_CostFocused!$C$12*X109+ILP_A_CostFocused!$C$13*Y109</f>
        <v>18036.164194245546</v>
      </c>
      <c r="AA109" s="45">
        <f ca="1">ILP_A_CostFocused!$D$9*U109+ILP_A_CostFocused!$D$10*V109+ILP_A_CostFocused!$D$11*W109+ILP_A_CostFocused!$D$12*X109+ILP_A_CostFocused!$D$13*Y109</f>
        <v>14998.14324048116</v>
      </c>
      <c r="AB109" s="45">
        <f ca="1">ILP_A_CostFocused!$E$9*U109+ILP_A_CostFocused!$E$10*V109+ILP_A_CostFocused!$E$11*W109+ILP_A_CostFocused!$E$12*X109+ILP_A_CostFocused!$E$13*Y109</f>
        <v>11987.834574637189</v>
      </c>
      <c r="AC109" s="45">
        <f ca="1">Inputs!$B$6*$C109</f>
        <v>16200</v>
      </c>
      <c r="AD109" s="45">
        <f ca="1">Inputs!$B$7*$C109</f>
        <v>13500</v>
      </c>
      <c r="AE109" s="45">
        <f ca="1">Inputs!$B$8*$C109</f>
        <v>10800</v>
      </c>
      <c r="AF109" s="45">
        <f t="shared" ca="1" si="78"/>
        <v>0</v>
      </c>
      <c r="AG109" s="45">
        <f t="shared" ca="1" si="79"/>
        <v>0</v>
      </c>
      <c r="AH109" s="45">
        <f t="shared" ca="1" si="80"/>
        <v>0</v>
      </c>
      <c r="AI109" s="45">
        <f t="shared" ca="1" si="81"/>
        <v>0</v>
      </c>
      <c r="AJ109" s="45">
        <f ca="1">U109*(Inputs!$B$12-ILP_A_CostFocused!$F$9)+V109*(Inputs!$B$13-ILP_A_CostFocused!$F$10)+W109*(Inputs!$B$14-ILP_A_CostFocused!$F$11)+X109*(Inputs!$B$15-ILP_A_CostFocused!$F$12)+Y109*(Inputs!$B$16-ILP_A_CostFocused!$F$13)</f>
        <v>24919.54908694639</v>
      </c>
      <c r="AK109" s="45">
        <f t="shared" ca="1" si="82"/>
        <v>0</v>
      </c>
      <c r="AL109" s="45">
        <f t="shared" ca="1" si="83"/>
        <v>0</v>
      </c>
      <c r="AM109" s="45">
        <f t="shared" ca="1" si="84"/>
        <v>0</v>
      </c>
      <c r="AN109" s="45">
        <f t="shared" ca="1" si="85"/>
        <v>0</v>
      </c>
      <c r="AO109" s="45">
        <f ca="1">MIN(AL109,Inputs!$B$36)</f>
        <v>0</v>
      </c>
      <c r="AP109" s="45">
        <f ca="1">MIN(AN109,Inputs!$B$36-AO109)</f>
        <v>0</v>
      </c>
      <c r="AQ109" s="45">
        <f ca="1">MIN(AM109,Inputs!$B$36-AO109-AP109)</f>
        <v>0</v>
      </c>
      <c r="AR109" s="45">
        <f t="shared" ca="1" si="86"/>
        <v>0</v>
      </c>
      <c r="AS109" s="45">
        <f t="shared" ca="1" si="87"/>
        <v>0</v>
      </c>
      <c r="AT109" s="45">
        <f t="shared" ca="1" si="88"/>
        <v>0</v>
      </c>
      <c r="AU109" s="45">
        <f t="shared" ca="1" si="89"/>
        <v>0</v>
      </c>
      <c r="AV109" s="46">
        <f ca="1">AU109*Inputs!$B$35</f>
        <v>0</v>
      </c>
      <c r="AW109" s="46">
        <f ca="1">AR109*Inputs!$C$6+AT109*Inputs!$C$7+AS109*Inputs!$C$8</f>
        <v>0</v>
      </c>
      <c r="AX109" s="46">
        <f t="shared" ca="1" si="90"/>
        <v>47414512.010897942</v>
      </c>
      <c r="AY109" s="46">
        <f ca="1">IF(J109&gt;1,($CD$4)*Inputs!$B$55*((Z109+AA109+AB109)/(SUM(ILP_A_CostFocused!$C$9:$E$13))),0)</f>
        <v>0</v>
      </c>
      <c r="AZ109" s="46">
        <f t="shared" ca="1" si="91"/>
        <v>0</v>
      </c>
      <c r="BA109" s="41">
        <f t="shared" ca="1" si="92"/>
        <v>0</v>
      </c>
      <c r="BB109" s="41">
        <f t="shared" ca="1" si="93"/>
        <v>1</v>
      </c>
      <c r="BC109" s="41">
        <f t="shared" ca="1" si="94"/>
        <v>1</v>
      </c>
      <c r="BD109" s="41">
        <f t="shared" ca="1" si="95"/>
        <v>1</v>
      </c>
    </row>
    <row r="110" spans="1:56" ht="15" customHeight="1" x14ac:dyDescent="0.3">
      <c r="A110" s="41">
        <v>103</v>
      </c>
      <c r="B110" s="42">
        <f t="shared" ca="1" si="77"/>
        <v>6.0563933281253313E-2</v>
      </c>
      <c r="C110" s="43">
        <f ca="1">IF(B110&lt;=Inputs!$C$40,Inputs!$D$40,IF(B110&lt;=Inputs!$C$41,Inputs!$D$41,Inputs!$D$42))</f>
        <v>0.9</v>
      </c>
      <c r="D110" s="42">
        <f t="shared" ca="1" si="96"/>
        <v>0.41217614135577196</v>
      </c>
      <c r="E110" s="42">
        <f t="shared" ca="1" si="96"/>
        <v>0.79044754718120136</v>
      </c>
      <c r="F110" s="42">
        <f t="shared" ca="1" si="96"/>
        <v>0.1941872560903205</v>
      </c>
      <c r="G110" s="42">
        <f t="shared" ca="1" si="96"/>
        <v>0.45227532857755592</v>
      </c>
      <c r="H110" s="42">
        <f t="shared" ca="1" si="96"/>
        <v>0.95628552338839956</v>
      </c>
      <c r="I110" s="42">
        <f t="shared" ca="1" si="96"/>
        <v>0.13804600317556026</v>
      </c>
      <c r="J110" s="43">
        <f ca="1">IF(I110&lt;Inputs!$B$54,1+Inputs!$B$55,1)</f>
        <v>1</v>
      </c>
      <c r="K110" s="42">
        <f t="shared" ca="1" si="97"/>
        <v>0.45385269980696585</v>
      </c>
      <c r="L110" s="42">
        <f t="shared" ca="1" si="97"/>
        <v>0.88335142976063807</v>
      </c>
      <c r="M110" s="42">
        <f t="shared" ca="1" si="97"/>
        <v>0.67322183273771308</v>
      </c>
      <c r="N110" s="42">
        <f t="shared" ca="1" si="97"/>
        <v>0.34498055511551429</v>
      </c>
      <c r="O110" s="42">
        <f t="shared" ca="1" si="97"/>
        <v>6.471348141521871E-2</v>
      </c>
      <c r="P110" s="42">
        <f t="shared" ca="1" si="97"/>
        <v>0.75381974467109381</v>
      </c>
      <c r="Q110" s="42">
        <f t="shared" ca="1" si="97"/>
        <v>0.53022426228587782</v>
      </c>
      <c r="R110" s="42">
        <f t="shared" ca="1" si="97"/>
        <v>0.2239355503141971</v>
      </c>
      <c r="S110" s="42">
        <f t="shared" ca="1" si="97"/>
        <v>0.12572546534600293</v>
      </c>
      <c r="T110" s="42">
        <f t="shared" ca="1" si="97"/>
        <v>0.67962079038636181</v>
      </c>
      <c r="U110" s="44">
        <f ca="1">(IF(D110&gt;=Inputs!$E$12,1,IF(K110&lt;=Inputs!$C$46,Inputs!$D$46,IF(K110&lt;=Inputs!$C$47,Inputs!$D$47,Inputs!$D$48))))*((Inputs!$B$28+(P110-0.5)*2*Inputs!$B$53)/Inputs!$B$28)</f>
        <v>1.0025690257557802</v>
      </c>
      <c r="V110" s="44">
        <f ca="1">(IF(E110&gt;=Inputs!$E$13,1,IF(L110&lt;=Inputs!$C$46,Inputs!$D$46,IF(L110&lt;=Inputs!$C$47,Inputs!$D$47,Inputs!$D$48))))*((Inputs!$B$29+(Q110-0.5)*2*Inputs!$B$53)/Inputs!$B$29)</f>
        <v>1.0003046800633657</v>
      </c>
      <c r="W110" s="44">
        <f ca="1">(IF(F110&gt;=Inputs!$E$14,1,IF(M110&lt;=Inputs!$C$46,Inputs!$D$46,IF(M110&lt;=Inputs!$C$47,Inputs!$D$47,Inputs!$D$48))))*((Inputs!$B$30+(R110-0.5)*2*Inputs!$B$53)/Inputs!$B$30)</f>
        <v>0.99722548291773072</v>
      </c>
      <c r="X110" s="44">
        <f ca="1">(IF(G110&gt;=Inputs!$E$15,1,IF(N110&lt;=Inputs!$C$46,Inputs!$D$46,IF(N110&lt;=Inputs!$C$47,Inputs!$D$47,Inputs!$D$48))))*((Inputs!$B$31+(S110-0.5)*2*Inputs!$B$53)/Inputs!$B$31)</f>
        <v>0.99620025853143157</v>
      </c>
      <c r="Y110" s="44">
        <f ca="1">(IF(H110&gt;=Inputs!$E$16,1,IF(O110&lt;=Inputs!$C$46,Inputs!$D$46,IF(O110&lt;=Inputs!$C$47,Inputs!$D$47,Inputs!$D$48))))*((Inputs!$B$32+(T110-0.5)*2*Inputs!$B$53)/Inputs!$B$32)</f>
        <v>1.0018070502050942</v>
      </c>
      <c r="Z110" s="45">
        <f ca="1">ILP_A_CostFocused!$C$9*U110+ILP_A_CostFocused!$C$10*V110+ILP_A_CostFocused!$C$11*W110+ILP_A_CostFocused!$C$12*X110+ILP_A_CostFocused!$C$13*Y110</f>
        <v>17977.260515160146</v>
      </c>
      <c r="AA110" s="45">
        <f ca="1">ILP_A_CostFocused!$D$9*U110+ILP_A_CostFocused!$D$10*V110+ILP_A_CostFocused!$D$11*W110+ILP_A_CostFocused!$D$12*X110+ILP_A_CostFocused!$D$13*Y110</f>
        <v>14985.04928920265</v>
      </c>
      <c r="AB110" s="45">
        <f ca="1">ILP_A_CostFocused!$E$9*U110+ILP_A_CostFocused!$E$10*V110+ILP_A_CostFocused!$E$11*W110+ILP_A_CostFocused!$E$12*X110+ILP_A_CostFocused!$E$13*Y110</f>
        <v>12019.959449745773</v>
      </c>
      <c r="AC110" s="45">
        <f ca="1">Inputs!$B$6*$C110</f>
        <v>16200</v>
      </c>
      <c r="AD110" s="45">
        <f ca="1">Inputs!$B$7*$C110</f>
        <v>13500</v>
      </c>
      <c r="AE110" s="45">
        <f ca="1">Inputs!$B$8*$C110</f>
        <v>10800</v>
      </c>
      <c r="AF110" s="45">
        <f t="shared" ca="1" si="78"/>
        <v>0</v>
      </c>
      <c r="AG110" s="45">
        <f t="shared" ca="1" si="79"/>
        <v>0</v>
      </c>
      <c r="AH110" s="45">
        <f t="shared" ca="1" si="80"/>
        <v>0</v>
      </c>
      <c r="AI110" s="45">
        <f t="shared" ca="1" si="81"/>
        <v>0</v>
      </c>
      <c r="AJ110" s="45">
        <f ca="1">U110*(Inputs!$B$12-ILP_A_CostFocused!$F$9)+V110*(Inputs!$B$13-ILP_A_CostFocused!$F$10)+W110*(Inputs!$B$14-ILP_A_CostFocused!$F$11)+X110*(Inputs!$B$15-ILP_A_CostFocused!$F$12)+Y110*(Inputs!$B$16-ILP_A_CostFocused!$F$13)</f>
        <v>25008.540812255123</v>
      </c>
      <c r="AK110" s="45">
        <f t="shared" ca="1" si="82"/>
        <v>0</v>
      </c>
      <c r="AL110" s="45">
        <f t="shared" ca="1" si="83"/>
        <v>0</v>
      </c>
      <c r="AM110" s="45">
        <f t="shared" ca="1" si="84"/>
        <v>0</v>
      </c>
      <c r="AN110" s="45">
        <f t="shared" ca="1" si="85"/>
        <v>0</v>
      </c>
      <c r="AO110" s="45">
        <f ca="1">MIN(AL110,Inputs!$B$36)</f>
        <v>0</v>
      </c>
      <c r="AP110" s="45">
        <f ca="1">MIN(AN110,Inputs!$B$36-AO110)</f>
        <v>0</v>
      </c>
      <c r="AQ110" s="45">
        <f ca="1">MIN(AM110,Inputs!$B$36-AO110-AP110)</f>
        <v>0</v>
      </c>
      <c r="AR110" s="45">
        <f t="shared" ca="1" si="86"/>
        <v>0</v>
      </c>
      <c r="AS110" s="45">
        <f t="shared" ca="1" si="87"/>
        <v>0</v>
      </c>
      <c r="AT110" s="45">
        <f t="shared" ca="1" si="88"/>
        <v>0</v>
      </c>
      <c r="AU110" s="45">
        <f t="shared" ca="1" si="89"/>
        <v>0</v>
      </c>
      <c r="AV110" s="46">
        <f ca="1">AU110*Inputs!$B$35</f>
        <v>0</v>
      </c>
      <c r="AW110" s="46">
        <f ca="1">AR110*Inputs!$C$6+AT110*Inputs!$C$7+AS110*Inputs!$C$8</f>
        <v>0</v>
      </c>
      <c r="AX110" s="46">
        <f t="shared" ca="1" si="90"/>
        <v>47374845.770260558</v>
      </c>
      <c r="AY110" s="46">
        <f ca="1">IF(J110&gt;1,($CD$4)*Inputs!$B$55*((Z110+AA110+AB110)/(SUM(ILP_A_CostFocused!$C$9:$E$13))),0)</f>
        <v>0</v>
      </c>
      <c r="AZ110" s="46">
        <f t="shared" ca="1" si="91"/>
        <v>0</v>
      </c>
      <c r="BA110" s="41">
        <f t="shared" ca="1" si="92"/>
        <v>0</v>
      </c>
      <c r="BB110" s="41">
        <f t="shared" ca="1" si="93"/>
        <v>1</v>
      </c>
      <c r="BC110" s="41">
        <f t="shared" ca="1" si="94"/>
        <v>1</v>
      </c>
      <c r="BD110" s="41">
        <f t="shared" ca="1" si="95"/>
        <v>1</v>
      </c>
    </row>
    <row r="111" spans="1:56" ht="15" customHeight="1" x14ac:dyDescent="0.3">
      <c r="A111" s="41">
        <v>104</v>
      </c>
      <c r="B111" s="42">
        <f t="shared" ca="1" si="77"/>
        <v>0.63818108913965188</v>
      </c>
      <c r="C111" s="43">
        <f ca="1">IF(B111&lt;=Inputs!$C$40,Inputs!$D$40,IF(B111&lt;=Inputs!$C$41,Inputs!$D$41,Inputs!$D$42))</f>
        <v>1</v>
      </c>
      <c r="D111" s="42">
        <f t="shared" ca="1" si="96"/>
        <v>0.7387247867293153</v>
      </c>
      <c r="E111" s="42">
        <f t="shared" ca="1" si="96"/>
        <v>0.33054281998637058</v>
      </c>
      <c r="F111" s="42">
        <f t="shared" ca="1" si="96"/>
        <v>0.85254740472348012</v>
      </c>
      <c r="G111" s="42">
        <f t="shared" ca="1" si="96"/>
        <v>0.71453660449665024</v>
      </c>
      <c r="H111" s="42">
        <f t="shared" ca="1" si="96"/>
        <v>0.92433215560981985</v>
      </c>
      <c r="I111" s="42">
        <f t="shared" ca="1" si="96"/>
        <v>0.83720212056533716</v>
      </c>
      <c r="J111" s="43">
        <f ca="1">IF(I111&lt;Inputs!$B$54,1+Inputs!$B$55,1)</f>
        <v>1</v>
      </c>
      <c r="K111" s="42">
        <f t="shared" ca="1" si="97"/>
        <v>0.47825317723683236</v>
      </c>
      <c r="L111" s="42">
        <f t="shared" ca="1" si="97"/>
        <v>0.54404089637393305</v>
      </c>
      <c r="M111" s="42">
        <f t="shared" ca="1" si="97"/>
        <v>0.50804427303845578</v>
      </c>
      <c r="N111" s="42">
        <f t="shared" ca="1" si="97"/>
        <v>0.71922790928262414</v>
      </c>
      <c r="O111" s="42">
        <f t="shared" ca="1" si="97"/>
        <v>0.88877164552458476</v>
      </c>
      <c r="P111" s="42">
        <f t="shared" ca="1" si="97"/>
        <v>0.52383628891520184</v>
      </c>
      <c r="Q111" s="42">
        <f t="shared" ca="1" si="97"/>
        <v>0.39863049379544069</v>
      </c>
      <c r="R111" s="42">
        <f t="shared" ca="1" si="97"/>
        <v>0.80463865335460061</v>
      </c>
      <c r="S111" s="42">
        <f t="shared" ca="1" si="97"/>
        <v>0.19438508117978504</v>
      </c>
      <c r="T111" s="42">
        <f t="shared" ca="1" si="97"/>
        <v>0.43772546875467144</v>
      </c>
      <c r="U111" s="44">
        <f ca="1">(IF(D111&gt;=Inputs!$E$12,1,IF(K111&lt;=Inputs!$C$46,Inputs!$D$46,IF(K111&lt;=Inputs!$C$47,Inputs!$D$47,Inputs!$D$48))))*((Inputs!$B$28+(P111-0.5)*2*Inputs!$B$53)/Inputs!$B$28)</f>
        <v>1.0002412579849718</v>
      </c>
      <c r="V111" s="44">
        <f ca="1">(IF(E111&gt;=Inputs!$E$13,1,IF(L111&lt;=Inputs!$C$46,Inputs!$D$46,IF(L111&lt;=Inputs!$C$47,Inputs!$D$47,Inputs!$D$48))))*((Inputs!$B$29+(Q111-0.5)*2*Inputs!$B$53)/Inputs!$B$29)</f>
        <v>0.99897812997777657</v>
      </c>
      <c r="W111" s="44">
        <f ca="1">(IF(F111&gt;=Inputs!$E$14,1,IF(M111&lt;=Inputs!$C$46,Inputs!$D$46,IF(M111&lt;=Inputs!$C$47,Inputs!$D$47,Inputs!$D$48))))*((Inputs!$B$30+(R111-0.5)*2*Inputs!$B$53)/Inputs!$B$30)</f>
        <v>1.0030616950085891</v>
      </c>
      <c r="X111" s="44">
        <f ca="1">(IF(G111&gt;=Inputs!$E$15,1,IF(N111&lt;=Inputs!$C$46,Inputs!$D$46,IF(N111&lt;=Inputs!$C$47,Inputs!$D$47,Inputs!$D$48))))*((Inputs!$B$31+(S111-0.5)*2*Inputs!$B$53)/Inputs!$B$31)</f>
        <v>0.99689731046883023</v>
      </c>
      <c r="Y111" s="44">
        <f ca="1">(IF(H111&gt;=Inputs!$E$16,1,IF(O111&lt;=Inputs!$C$46,Inputs!$D$46,IF(O111&lt;=Inputs!$C$47,Inputs!$D$47,Inputs!$D$48))))*((Inputs!$B$32+(T111-0.5)*2*Inputs!$B$53)/Inputs!$B$32)</f>
        <v>0.99937349566151579</v>
      </c>
      <c r="Z111" s="45">
        <f ca="1">ILP_A_CostFocused!$C$9*U111+ILP_A_CostFocused!$C$10*V111+ILP_A_CostFocused!$C$11*W111+ILP_A_CostFocused!$C$12*X111+ILP_A_CostFocused!$C$13*Y111</f>
        <v>17968.116855290529</v>
      </c>
      <c r="AA111" s="45">
        <f ca="1">ILP_A_CostFocused!$D$9*U111+ILP_A_CostFocused!$D$10*V111+ILP_A_CostFocused!$D$11*W111+ILP_A_CostFocused!$D$12*X111+ILP_A_CostFocused!$D$13*Y111</f>
        <v>15002.885667620969</v>
      </c>
      <c r="AB111" s="45">
        <f ca="1">ILP_A_CostFocused!$E$9*U111+ILP_A_CostFocused!$E$10*V111+ILP_A_CostFocused!$E$11*W111+ILP_A_CostFocused!$E$12*X111+ILP_A_CostFocused!$E$13*Y111</f>
        <v>11996.832081385124</v>
      </c>
      <c r="AC111" s="45">
        <f ca="1">Inputs!$B$6*$C111</f>
        <v>18000</v>
      </c>
      <c r="AD111" s="45">
        <f ca="1">Inputs!$B$7*$C111</f>
        <v>15000</v>
      </c>
      <c r="AE111" s="45">
        <f ca="1">Inputs!$B$8*$C111</f>
        <v>12000</v>
      </c>
      <c r="AF111" s="45">
        <f t="shared" ca="1" si="78"/>
        <v>31.883144709470798</v>
      </c>
      <c r="AG111" s="45">
        <f t="shared" ca="1" si="79"/>
        <v>0</v>
      </c>
      <c r="AH111" s="45">
        <f t="shared" ca="1" si="80"/>
        <v>3.1679186148758163</v>
      </c>
      <c r="AI111" s="45">
        <f t="shared" ca="1" si="81"/>
        <v>35.051063324346615</v>
      </c>
      <c r="AJ111" s="45">
        <f ca="1">U111*(Inputs!$B$12-ILP_A_CostFocused!$F$9)+V111*(Inputs!$B$13-ILP_A_CostFocused!$F$10)+W111*(Inputs!$B$14-ILP_A_CostFocused!$F$11)+X111*(Inputs!$B$15-ILP_A_CostFocused!$F$12)+Y111*(Inputs!$B$16-ILP_A_CostFocused!$F$13)</f>
        <v>25014.891538812153</v>
      </c>
      <c r="AK111" s="45">
        <f t="shared" ca="1" si="82"/>
        <v>35.051063324346615</v>
      </c>
      <c r="AL111" s="45">
        <f t="shared" ca="1" si="83"/>
        <v>0</v>
      </c>
      <c r="AM111" s="45">
        <f t="shared" ca="1" si="84"/>
        <v>0</v>
      </c>
      <c r="AN111" s="45">
        <f t="shared" ca="1" si="85"/>
        <v>0</v>
      </c>
      <c r="AO111" s="45">
        <f ca="1">MIN(AL111,Inputs!$B$36)</f>
        <v>0</v>
      </c>
      <c r="AP111" s="45">
        <f ca="1">MIN(AN111,Inputs!$B$36-AO111)</f>
        <v>0</v>
      </c>
      <c r="AQ111" s="45">
        <f ca="1">MIN(AM111,Inputs!$B$36-AO111-AP111)</f>
        <v>0</v>
      </c>
      <c r="AR111" s="45">
        <f t="shared" ca="1" si="86"/>
        <v>0</v>
      </c>
      <c r="AS111" s="45">
        <f t="shared" ca="1" si="87"/>
        <v>0</v>
      </c>
      <c r="AT111" s="45">
        <f t="shared" ca="1" si="88"/>
        <v>0</v>
      </c>
      <c r="AU111" s="45">
        <f t="shared" ca="1" si="89"/>
        <v>0</v>
      </c>
      <c r="AV111" s="46">
        <f ca="1">AU111*Inputs!$B$35</f>
        <v>0</v>
      </c>
      <c r="AW111" s="46">
        <f ca="1">AR111*Inputs!$C$6+AT111*Inputs!$C$7+AS111*Inputs!$C$8</f>
        <v>0</v>
      </c>
      <c r="AX111" s="46">
        <f t="shared" ca="1" si="90"/>
        <v>47359118.628388286</v>
      </c>
      <c r="AY111" s="46">
        <f ca="1">IF(J111&gt;1,($CD$4)*Inputs!$B$55*((Z111+AA111+AB111)/(SUM(ILP_A_CostFocused!$C$9:$E$13))),0)</f>
        <v>0</v>
      </c>
      <c r="AZ111" s="46">
        <f t="shared" ca="1" si="91"/>
        <v>0</v>
      </c>
      <c r="BA111" s="41">
        <f t="shared" ca="1" si="92"/>
        <v>0</v>
      </c>
      <c r="BB111" s="41">
        <f t="shared" ca="1" si="93"/>
        <v>1</v>
      </c>
      <c r="BC111" s="41">
        <f t="shared" ca="1" si="94"/>
        <v>1</v>
      </c>
      <c r="BD111" s="41">
        <f t="shared" ca="1" si="95"/>
        <v>1</v>
      </c>
    </row>
    <row r="112" spans="1:56" ht="15" customHeight="1" x14ac:dyDescent="0.3">
      <c r="A112" s="41">
        <v>105</v>
      </c>
      <c r="B112" s="42">
        <f t="shared" ca="1" si="77"/>
        <v>0.29328428813595986</v>
      </c>
      <c r="C112" s="43">
        <f ca="1">IF(B112&lt;=Inputs!$C$40,Inputs!$D$40,IF(B112&lt;=Inputs!$C$41,Inputs!$D$41,Inputs!$D$42))</f>
        <v>1</v>
      </c>
      <c r="D112" s="42">
        <f t="shared" ca="1" si="96"/>
        <v>6.7620234593641304E-2</v>
      </c>
      <c r="E112" s="42">
        <f t="shared" ca="1" si="96"/>
        <v>0.18900666426846835</v>
      </c>
      <c r="F112" s="42">
        <f t="shared" ca="1" si="96"/>
        <v>0.31801455092987063</v>
      </c>
      <c r="G112" s="42">
        <f t="shared" ca="1" si="96"/>
        <v>0.78781433200412732</v>
      </c>
      <c r="H112" s="42">
        <f t="shared" ca="1" si="96"/>
        <v>0.94043250964117908</v>
      </c>
      <c r="I112" s="42">
        <f t="shared" ca="1" si="96"/>
        <v>0.42601072000579421</v>
      </c>
      <c r="J112" s="43">
        <f ca="1">IF(I112&lt;Inputs!$B$54,1+Inputs!$B$55,1)</f>
        <v>1</v>
      </c>
      <c r="K112" s="42">
        <f t="shared" ca="1" si="97"/>
        <v>3.0420850041393832E-3</v>
      </c>
      <c r="L112" s="42">
        <f t="shared" ca="1" si="97"/>
        <v>0.48880405274862126</v>
      </c>
      <c r="M112" s="42">
        <f t="shared" ca="1" si="97"/>
        <v>0.45653699940116965</v>
      </c>
      <c r="N112" s="42">
        <f t="shared" ca="1" si="97"/>
        <v>0.36743461111279219</v>
      </c>
      <c r="O112" s="42">
        <f t="shared" ca="1" si="97"/>
        <v>0.46943361246308635</v>
      </c>
      <c r="P112" s="42">
        <f t="shared" ca="1" si="97"/>
        <v>0.76642007758111608</v>
      </c>
      <c r="Q112" s="42">
        <f t="shared" ca="1" si="97"/>
        <v>0.4252349217985536</v>
      </c>
      <c r="R112" s="42">
        <f t="shared" ca="1" si="97"/>
        <v>0.77354029223519472</v>
      </c>
      <c r="S112" s="42">
        <f t="shared" ca="1" si="97"/>
        <v>3.4904028322852776E-2</v>
      </c>
      <c r="T112" s="42">
        <f t="shared" ca="1" si="97"/>
        <v>0.95178743449301806</v>
      </c>
      <c r="U112" s="44">
        <f ca="1">(IF(D112&gt;=Inputs!$E$12,1,IF(K112&lt;=Inputs!$C$46,Inputs!$D$46,IF(K112&lt;=Inputs!$C$47,Inputs!$D$47,Inputs!$D$48))))*((Inputs!$B$28+(P112-0.5)*2*Inputs!$B$53)/Inputs!$B$28)</f>
        <v>1.0026965594896875</v>
      </c>
      <c r="V112" s="44">
        <f ca="1">(IF(E112&gt;=Inputs!$E$13,1,IF(L112&lt;=Inputs!$C$46,Inputs!$D$46,IF(L112&lt;=Inputs!$C$47,Inputs!$D$47,Inputs!$D$48))))*((Inputs!$B$29+(Q112-0.5)*2*Inputs!$B$53)/Inputs!$B$29)</f>
        <v>0.99924631977619516</v>
      </c>
      <c r="W112" s="44">
        <f ca="1">(IF(F112&gt;=Inputs!$E$14,1,IF(M112&lt;=Inputs!$C$46,Inputs!$D$46,IF(M112&lt;=Inputs!$C$47,Inputs!$D$47,Inputs!$D$48))))*((Inputs!$B$30+(R112-0.5)*2*Inputs!$B$53)/Inputs!$B$30)</f>
        <v>1.0027491486656803</v>
      </c>
      <c r="X112" s="44">
        <f ca="1">(IF(G112&gt;=Inputs!$E$15,1,IF(N112&lt;=Inputs!$C$46,Inputs!$D$46,IF(N112&lt;=Inputs!$C$47,Inputs!$D$47,Inputs!$D$48))))*((Inputs!$B$31+(S112-0.5)*2*Inputs!$B$53)/Inputs!$B$31)</f>
        <v>0.99527821348551127</v>
      </c>
      <c r="Y112" s="44">
        <f ca="1">(IF(H112&gt;=Inputs!$E$16,1,IF(O112&lt;=Inputs!$C$46,Inputs!$D$46,IF(O112&lt;=Inputs!$C$47,Inputs!$D$47,Inputs!$D$48))))*((Inputs!$B$32+(T112-0.5)*2*Inputs!$B$53)/Inputs!$B$32)</f>
        <v>1.0045451452162275</v>
      </c>
      <c r="Z112" s="45">
        <f ca="1">ILP_A_CostFocused!$C$9*U112+ILP_A_CostFocused!$C$10*V112+ILP_A_CostFocused!$C$11*W112+ILP_A_CostFocused!$C$12*X112+ILP_A_CostFocused!$C$13*Y112</f>
        <v>17968.116312874485</v>
      </c>
      <c r="AA112" s="45">
        <f ca="1">ILP_A_CostFocused!$D$9*U112+ILP_A_CostFocused!$D$10*V112+ILP_A_CostFocused!$D$11*W112+ILP_A_CostFocused!$D$12*X112+ILP_A_CostFocused!$D$13*Y112</f>
        <v>15002.091416096066</v>
      </c>
      <c r="AB112" s="45">
        <f ca="1">ILP_A_CostFocused!$E$9*U112+ILP_A_CostFocused!$E$10*V112+ILP_A_CostFocused!$E$11*W112+ILP_A_CostFocused!$E$12*X112+ILP_A_CostFocused!$E$13*Y112</f>
        <v>12015.797563251486</v>
      </c>
      <c r="AC112" s="45">
        <f ca="1">Inputs!$B$6*$C112</f>
        <v>18000</v>
      </c>
      <c r="AD112" s="45">
        <f ca="1">Inputs!$B$7*$C112</f>
        <v>15000</v>
      </c>
      <c r="AE112" s="45">
        <f ca="1">Inputs!$B$8*$C112</f>
        <v>12000</v>
      </c>
      <c r="AF112" s="45">
        <f t="shared" ca="1" si="78"/>
        <v>31.88368712551528</v>
      </c>
      <c r="AG112" s="45">
        <f t="shared" ca="1" si="79"/>
        <v>0</v>
      </c>
      <c r="AH112" s="45">
        <f t="shared" ca="1" si="80"/>
        <v>0</v>
      </c>
      <c r="AI112" s="45">
        <f t="shared" ca="1" si="81"/>
        <v>31.88368712551528</v>
      </c>
      <c r="AJ112" s="45">
        <f ca="1">U112*(Inputs!$B$12-ILP_A_CostFocused!$F$9)+V112*(Inputs!$B$13-ILP_A_CostFocused!$F$10)+W112*(Inputs!$B$14-ILP_A_CostFocused!$F$11)+X112*(Inputs!$B$15-ILP_A_CostFocused!$F$12)+Y112*(Inputs!$B$16-ILP_A_CostFocused!$F$13)</f>
        <v>25093.842809203088</v>
      </c>
      <c r="AK112" s="45">
        <f t="shared" ca="1" si="82"/>
        <v>31.88368712551528</v>
      </c>
      <c r="AL112" s="45">
        <f t="shared" ca="1" si="83"/>
        <v>0</v>
      </c>
      <c r="AM112" s="45">
        <f t="shared" ca="1" si="84"/>
        <v>0</v>
      </c>
      <c r="AN112" s="45">
        <f t="shared" ca="1" si="85"/>
        <v>0</v>
      </c>
      <c r="AO112" s="45">
        <f ca="1">MIN(AL112,Inputs!$B$36)</f>
        <v>0</v>
      </c>
      <c r="AP112" s="45">
        <f ca="1">MIN(AN112,Inputs!$B$36-AO112)</f>
        <v>0</v>
      </c>
      <c r="AQ112" s="45">
        <f ca="1">MIN(AM112,Inputs!$B$36-AO112-AP112)</f>
        <v>0</v>
      </c>
      <c r="AR112" s="45">
        <f t="shared" ca="1" si="86"/>
        <v>0</v>
      </c>
      <c r="AS112" s="45">
        <f t="shared" ca="1" si="87"/>
        <v>0</v>
      </c>
      <c r="AT112" s="45">
        <f t="shared" ca="1" si="88"/>
        <v>0</v>
      </c>
      <c r="AU112" s="45">
        <f t="shared" ca="1" si="89"/>
        <v>0</v>
      </c>
      <c r="AV112" s="46">
        <f ca="1">AU112*Inputs!$B$35</f>
        <v>0</v>
      </c>
      <c r="AW112" s="46">
        <f ca="1">AR112*Inputs!$C$6+AT112*Inputs!$C$7+AS112*Inputs!$C$8</f>
        <v>0</v>
      </c>
      <c r="AX112" s="46">
        <f t="shared" ca="1" si="90"/>
        <v>47378864.244826645</v>
      </c>
      <c r="AY112" s="46">
        <f ca="1">IF(J112&gt;1,($CD$4)*Inputs!$B$55*((Z112+AA112+AB112)/(SUM(ILP_A_CostFocused!$C$9:$E$13))),0)</f>
        <v>0</v>
      </c>
      <c r="AZ112" s="46">
        <f t="shared" ca="1" si="91"/>
        <v>0</v>
      </c>
      <c r="BA112" s="41">
        <f t="shared" ca="1" si="92"/>
        <v>0</v>
      </c>
      <c r="BB112" s="41">
        <f t="shared" ca="1" si="93"/>
        <v>1</v>
      </c>
      <c r="BC112" s="41">
        <f t="shared" ca="1" si="94"/>
        <v>1</v>
      </c>
      <c r="BD112" s="41">
        <f t="shared" ca="1" si="95"/>
        <v>1</v>
      </c>
    </row>
    <row r="113" spans="1:56" ht="15" customHeight="1" x14ac:dyDescent="0.3">
      <c r="A113" s="41">
        <v>106</v>
      </c>
      <c r="B113" s="42">
        <f t="shared" ca="1" si="77"/>
        <v>0.66842989091603278</v>
      </c>
      <c r="C113" s="43">
        <f ca="1">IF(B113&lt;=Inputs!$C$40,Inputs!$D$40,IF(B113&lt;=Inputs!$C$41,Inputs!$D$41,Inputs!$D$42))</f>
        <v>1</v>
      </c>
      <c r="D113" s="42">
        <f t="shared" ca="1" si="96"/>
        <v>0.92602653665572654</v>
      </c>
      <c r="E113" s="42">
        <f t="shared" ca="1" si="96"/>
        <v>0.52356299623266556</v>
      </c>
      <c r="F113" s="42">
        <f t="shared" ca="1" si="96"/>
        <v>0.1944749077518112</v>
      </c>
      <c r="G113" s="42">
        <f t="shared" ca="1" si="96"/>
        <v>0.53599314522857211</v>
      </c>
      <c r="H113" s="42">
        <f t="shared" ca="1" si="96"/>
        <v>0.93452177730906216</v>
      </c>
      <c r="I113" s="42">
        <f t="shared" ca="1" si="96"/>
        <v>0.31002959293089571</v>
      </c>
      <c r="J113" s="43">
        <f ca="1">IF(I113&lt;Inputs!$B$54,1+Inputs!$B$55,1)</f>
        <v>1</v>
      </c>
      <c r="K113" s="42">
        <f t="shared" ca="1" si="97"/>
        <v>9.6278071505435991E-2</v>
      </c>
      <c r="L113" s="42">
        <f t="shared" ca="1" si="97"/>
        <v>0.60598095995874057</v>
      </c>
      <c r="M113" s="42">
        <f t="shared" ca="1" si="97"/>
        <v>0.74244838227667909</v>
      </c>
      <c r="N113" s="42">
        <f t="shared" ca="1" si="97"/>
        <v>0.50190813228449582</v>
      </c>
      <c r="O113" s="42">
        <f t="shared" ca="1" si="97"/>
        <v>4.9527766352887026E-2</v>
      </c>
      <c r="P113" s="42">
        <f t="shared" ca="1" si="97"/>
        <v>0.57407389902068562</v>
      </c>
      <c r="Q113" s="42">
        <f t="shared" ca="1" si="97"/>
        <v>0.42065448293818375</v>
      </c>
      <c r="R113" s="42">
        <f t="shared" ca="1" si="97"/>
        <v>1.0121309391398103E-2</v>
      </c>
      <c r="S113" s="42">
        <f t="shared" ca="1" si="97"/>
        <v>0.7041709078615459</v>
      </c>
      <c r="T113" s="42">
        <f t="shared" ca="1" si="97"/>
        <v>0.79140058043007888</v>
      </c>
      <c r="U113" s="44">
        <f ca="1">(IF(D113&gt;=Inputs!$E$12,1,IF(K113&lt;=Inputs!$C$46,Inputs!$D$46,IF(K113&lt;=Inputs!$C$47,Inputs!$D$47,Inputs!$D$48))))*((Inputs!$B$28+(P113-0.5)*2*Inputs!$B$53)/Inputs!$B$28)</f>
        <v>1.0007497358200474</v>
      </c>
      <c r="V113" s="44">
        <f ca="1">(IF(E113&gt;=Inputs!$E$13,1,IF(L113&lt;=Inputs!$C$46,Inputs!$D$46,IF(L113&lt;=Inputs!$C$47,Inputs!$D$47,Inputs!$D$48))))*((Inputs!$B$29+(Q113-0.5)*2*Inputs!$B$53)/Inputs!$B$29)</f>
        <v>0.99920014599736073</v>
      </c>
      <c r="W113" s="44">
        <f ca="1">(IF(F113&gt;=Inputs!$E$14,1,IF(M113&lt;=Inputs!$C$46,Inputs!$D$46,IF(M113&lt;=Inputs!$C$47,Inputs!$D$47,Inputs!$D$48))))*((Inputs!$B$30+(R113-0.5)*2*Inputs!$B$53)/Inputs!$B$30)</f>
        <v>0.99507659607428545</v>
      </c>
      <c r="X113" s="44">
        <f ca="1">(IF(G113&gt;=Inputs!$E$15,1,IF(N113&lt;=Inputs!$C$46,Inputs!$D$46,IF(N113&lt;=Inputs!$C$47,Inputs!$D$47,Inputs!$D$48))))*((Inputs!$B$31+(S113-0.5)*2*Inputs!$B$53)/Inputs!$B$31)</f>
        <v>1.002072801095041</v>
      </c>
      <c r="Y113" s="44">
        <f ca="1">(IF(H113&gt;=Inputs!$E$16,1,IF(O113&lt;=Inputs!$C$46,Inputs!$D$46,IF(O113&lt;=Inputs!$C$47,Inputs!$D$47,Inputs!$D$48))))*((Inputs!$B$32+(T113-0.5)*2*Inputs!$B$53)/Inputs!$B$32)</f>
        <v>1.0029315953765601</v>
      </c>
      <c r="Z113" s="45">
        <f ca="1">ILP_A_CostFocused!$C$9*U113+ILP_A_CostFocused!$C$10*V113+ILP_A_CostFocused!$C$11*W113+ILP_A_CostFocused!$C$12*X113+ILP_A_CostFocused!$C$13*Y113</f>
        <v>18027.647985826388</v>
      </c>
      <c r="AA113" s="45">
        <f ca="1">ILP_A_CostFocused!$D$9*U113+ILP_A_CostFocused!$D$10*V113+ILP_A_CostFocused!$D$11*W113+ILP_A_CostFocused!$D$12*X113+ILP_A_CostFocused!$D$13*Y113</f>
        <v>14970.39701954313</v>
      </c>
      <c r="AB113" s="45">
        <f ca="1">ILP_A_CostFocused!$E$9*U113+ILP_A_CostFocused!$E$10*V113+ILP_A_CostFocused!$E$11*W113+ILP_A_CostFocused!$E$12*X113+ILP_A_CostFocused!$E$13*Y113</f>
        <v>12001.558798691673</v>
      </c>
      <c r="AC113" s="45">
        <f ca="1">Inputs!$B$6*$C113</f>
        <v>18000</v>
      </c>
      <c r="AD113" s="45">
        <f ca="1">Inputs!$B$7*$C113</f>
        <v>15000</v>
      </c>
      <c r="AE113" s="45">
        <f ca="1">Inputs!$B$8*$C113</f>
        <v>12000</v>
      </c>
      <c r="AF113" s="45">
        <f t="shared" ca="1" si="78"/>
        <v>0</v>
      </c>
      <c r="AG113" s="45">
        <f t="shared" ca="1" si="79"/>
        <v>29.602980456869773</v>
      </c>
      <c r="AH113" s="45">
        <f t="shared" ca="1" si="80"/>
        <v>0</v>
      </c>
      <c r="AI113" s="45">
        <f t="shared" ca="1" si="81"/>
        <v>29.602980456869773</v>
      </c>
      <c r="AJ113" s="45">
        <f ca="1">U113*(Inputs!$B$12-ILP_A_CostFocused!$F$9)+V113*(Inputs!$B$13-ILP_A_CostFocused!$F$10)+W113*(Inputs!$B$14-ILP_A_CostFocused!$F$11)+X113*(Inputs!$B$15-ILP_A_CostFocused!$F$12)+Y113*(Inputs!$B$16-ILP_A_CostFocused!$F$13)</f>
        <v>25006.037305777223</v>
      </c>
      <c r="AK113" s="45">
        <f t="shared" ca="1" si="82"/>
        <v>29.602980456869773</v>
      </c>
      <c r="AL113" s="45">
        <f t="shared" ca="1" si="83"/>
        <v>0</v>
      </c>
      <c r="AM113" s="45">
        <f t="shared" ca="1" si="84"/>
        <v>0</v>
      </c>
      <c r="AN113" s="45">
        <f t="shared" ca="1" si="85"/>
        <v>0</v>
      </c>
      <c r="AO113" s="45">
        <f ca="1">MIN(AL113,Inputs!$B$36)</f>
        <v>0</v>
      </c>
      <c r="AP113" s="45">
        <f ca="1">MIN(AN113,Inputs!$B$36-AO113)</f>
        <v>0</v>
      </c>
      <c r="AQ113" s="45">
        <f ca="1">MIN(AM113,Inputs!$B$36-AO113-AP113)</f>
        <v>0</v>
      </c>
      <c r="AR113" s="45">
        <f t="shared" ca="1" si="86"/>
        <v>0</v>
      </c>
      <c r="AS113" s="45">
        <f t="shared" ca="1" si="87"/>
        <v>0</v>
      </c>
      <c r="AT113" s="45">
        <f t="shared" ca="1" si="88"/>
        <v>0</v>
      </c>
      <c r="AU113" s="45">
        <f t="shared" ca="1" si="89"/>
        <v>0</v>
      </c>
      <c r="AV113" s="46">
        <f ca="1">AU113*Inputs!$B$35</f>
        <v>0</v>
      </c>
      <c r="AW113" s="46">
        <f ca="1">AR113*Inputs!$C$6+AT113*Inputs!$C$7+AS113*Inputs!$C$8</f>
        <v>0</v>
      </c>
      <c r="AX113" s="46">
        <f t="shared" ca="1" si="90"/>
        <v>47391381.064661928</v>
      </c>
      <c r="AY113" s="46">
        <f ca="1">IF(J113&gt;1,($CD$4)*Inputs!$B$55*((Z113+AA113+AB113)/(SUM(ILP_A_CostFocused!$C$9:$E$13))),0)</f>
        <v>0</v>
      </c>
      <c r="AZ113" s="46">
        <f t="shared" ca="1" si="91"/>
        <v>0</v>
      </c>
      <c r="BA113" s="41">
        <f t="shared" ca="1" si="92"/>
        <v>0</v>
      </c>
      <c r="BB113" s="41">
        <f t="shared" ca="1" si="93"/>
        <v>1</v>
      </c>
      <c r="BC113" s="41">
        <f t="shared" ca="1" si="94"/>
        <v>1</v>
      </c>
      <c r="BD113" s="41">
        <f t="shared" ca="1" si="95"/>
        <v>1</v>
      </c>
    </row>
    <row r="114" spans="1:56" ht="15" customHeight="1" x14ac:dyDescent="0.3">
      <c r="A114" s="41">
        <v>107</v>
      </c>
      <c r="B114" s="42">
        <f t="shared" ca="1" si="77"/>
        <v>0.96865684204207347</v>
      </c>
      <c r="C114" s="43">
        <f ca="1">IF(B114&lt;=Inputs!$C$40,Inputs!$D$40,IF(B114&lt;=Inputs!$C$41,Inputs!$D$41,Inputs!$D$42))</f>
        <v>1.1499999999999999</v>
      </c>
      <c r="D114" s="42">
        <f t="shared" ca="1" si="96"/>
        <v>0.87121505359708795</v>
      </c>
      <c r="E114" s="42">
        <f t="shared" ca="1" si="96"/>
        <v>0.72067015731629791</v>
      </c>
      <c r="F114" s="42">
        <f t="shared" ca="1" si="96"/>
        <v>2.3676707289527532E-2</v>
      </c>
      <c r="G114" s="42">
        <f t="shared" ca="1" si="96"/>
        <v>0.1697576748184868</v>
      </c>
      <c r="H114" s="42">
        <f t="shared" ca="1" si="96"/>
        <v>0.38505597426783311</v>
      </c>
      <c r="I114" s="42">
        <f t="shared" ca="1" si="96"/>
        <v>0.22264447481760219</v>
      </c>
      <c r="J114" s="43">
        <f ca="1">IF(I114&lt;Inputs!$B$54,1+Inputs!$B$55,1)</f>
        <v>1</v>
      </c>
      <c r="K114" s="42">
        <f t="shared" ca="1" si="97"/>
        <v>0.75456267242050701</v>
      </c>
      <c r="L114" s="42">
        <f t="shared" ca="1" si="97"/>
        <v>0.62747798557023138</v>
      </c>
      <c r="M114" s="42">
        <f t="shared" ca="1" si="97"/>
        <v>0.2116494985385986</v>
      </c>
      <c r="N114" s="42">
        <f t="shared" ca="1" si="97"/>
        <v>0.59772733143800816</v>
      </c>
      <c r="O114" s="42">
        <f t="shared" ca="1" si="97"/>
        <v>0.81296855179174188</v>
      </c>
      <c r="P114" s="42">
        <f t="shared" ca="1" si="97"/>
        <v>0.64957716847749569</v>
      </c>
      <c r="Q114" s="42">
        <f t="shared" ca="1" si="97"/>
        <v>0.65995878885254611</v>
      </c>
      <c r="R114" s="42">
        <f t="shared" ca="1" si="97"/>
        <v>0.24103563865713296</v>
      </c>
      <c r="S114" s="42">
        <f t="shared" ca="1" si="97"/>
        <v>0.54491941824054391</v>
      </c>
      <c r="T114" s="42">
        <f t="shared" ca="1" si="97"/>
        <v>0.18610585606261454</v>
      </c>
      <c r="U114" s="44">
        <f ca="1">(IF(D114&gt;=Inputs!$E$12,1,IF(K114&lt;=Inputs!$C$46,Inputs!$D$46,IF(K114&lt;=Inputs!$C$47,Inputs!$D$47,Inputs!$D$48))))*((Inputs!$B$28+(P114-0.5)*2*Inputs!$B$53)/Inputs!$B$28)</f>
        <v>1.0015139389522014</v>
      </c>
      <c r="V114" s="44">
        <f ca="1">(IF(E114&gt;=Inputs!$E$13,1,IF(L114&lt;=Inputs!$C$46,Inputs!$D$46,IF(L114&lt;=Inputs!$C$47,Inputs!$D$47,Inputs!$D$48))))*((Inputs!$B$29+(Q114-0.5)*2*Inputs!$B$53)/Inputs!$B$29)</f>
        <v>1.0016124877908523</v>
      </c>
      <c r="W114" s="44">
        <f ca="1">(IF(F114&gt;=Inputs!$E$14,1,IF(M114&lt;=Inputs!$C$46,Inputs!$D$46,IF(M114&lt;=Inputs!$C$47,Inputs!$D$47,Inputs!$D$48))))*((Inputs!$B$30+(R114-0.5)*2*Inputs!$B$53)/Inputs!$B$30)</f>
        <v>0.59843840586124908</v>
      </c>
      <c r="X114" s="44">
        <f ca="1">(IF(G114&gt;=Inputs!$E$15,1,IF(N114&lt;=Inputs!$C$46,Inputs!$D$46,IF(N114&lt;=Inputs!$C$47,Inputs!$D$47,Inputs!$D$48))))*((Inputs!$B$31+(S114-0.5)*2*Inputs!$B$53)/Inputs!$B$31)</f>
        <v>0.30013681041088486</v>
      </c>
      <c r="Y114" s="44">
        <f ca="1">(IF(H114&gt;=Inputs!$E$16,1,IF(O114&lt;=Inputs!$C$46,Inputs!$D$46,IF(O114&lt;=Inputs!$C$47,Inputs!$D$47,Inputs!$D$48))))*((Inputs!$B$32+(T114-0.5)*2*Inputs!$B$53)/Inputs!$B$32)</f>
        <v>0.99684211122799404</v>
      </c>
      <c r="Z114" s="45">
        <f ca="1">ILP_A_CostFocused!$C$9*U114+ILP_A_CostFocused!$C$10*V114+ILP_A_CostFocused!$C$11*W114+ILP_A_CostFocused!$C$12*X114+ILP_A_CostFocused!$C$13*Y114</f>
        <v>10452.386585191209</v>
      </c>
      <c r="AA114" s="45">
        <f ca="1">ILP_A_CostFocused!$D$9*U114+ILP_A_CostFocused!$D$10*V114+ILP_A_CostFocused!$D$11*W114+ILP_A_CostFocused!$D$12*X114+ILP_A_CostFocused!$D$13*Y114</f>
        <v>12300.875197925794</v>
      </c>
      <c r="AB114" s="45">
        <f ca="1">ILP_A_CostFocused!$E$9*U114+ILP_A_CostFocused!$E$10*V114+ILP_A_CostFocused!$E$11*W114+ILP_A_CostFocused!$E$12*X114+ILP_A_CostFocused!$E$13*Y114</f>
        <v>12018.640301851941</v>
      </c>
      <c r="AC114" s="45">
        <f ca="1">Inputs!$B$6*$C114</f>
        <v>20700</v>
      </c>
      <c r="AD114" s="45">
        <f ca="1">Inputs!$B$7*$C114</f>
        <v>17250</v>
      </c>
      <c r="AE114" s="45">
        <f ca="1">Inputs!$B$8*$C114</f>
        <v>13799.999999999998</v>
      </c>
      <c r="AF114" s="45">
        <f t="shared" ca="1" si="78"/>
        <v>10247.613414808791</v>
      </c>
      <c r="AG114" s="45">
        <f t="shared" ca="1" si="79"/>
        <v>4949.1248020742059</v>
      </c>
      <c r="AH114" s="45">
        <f t="shared" ca="1" si="80"/>
        <v>1781.3596981480569</v>
      </c>
      <c r="AI114" s="45">
        <f t="shared" ca="1" si="81"/>
        <v>16978.097915031052</v>
      </c>
      <c r="AJ114" s="45">
        <f ca="1">U114*(Inputs!$B$12-ILP_A_CostFocused!$F$9)+V114*(Inputs!$B$13-ILP_A_CostFocused!$F$10)+W114*(Inputs!$B$14-ILP_A_CostFocused!$F$11)+X114*(Inputs!$B$15-ILP_A_CostFocused!$F$12)+Y114*(Inputs!$B$16-ILP_A_CostFocused!$F$13)</f>
        <v>21608.868436884979</v>
      </c>
      <c r="AK114" s="45">
        <f t="shared" ca="1" si="82"/>
        <v>16978.097915031052</v>
      </c>
      <c r="AL114" s="45">
        <f t="shared" ca="1" si="83"/>
        <v>0</v>
      </c>
      <c r="AM114" s="45">
        <f t="shared" ca="1" si="84"/>
        <v>0</v>
      </c>
      <c r="AN114" s="45">
        <f t="shared" ca="1" si="85"/>
        <v>0</v>
      </c>
      <c r="AO114" s="45">
        <f ca="1">MIN(AL114,Inputs!$B$36)</f>
        <v>0</v>
      </c>
      <c r="AP114" s="45">
        <f ca="1">MIN(AN114,Inputs!$B$36-AO114)</f>
        <v>0</v>
      </c>
      <c r="AQ114" s="45">
        <f ca="1">MIN(AM114,Inputs!$B$36-AO114-AP114)</f>
        <v>0</v>
      </c>
      <c r="AR114" s="45">
        <f t="shared" ca="1" si="86"/>
        <v>0</v>
      </c>
      <c r="AS114" s="45">
        <f t="shared" ca="1" si="87"/>
        <v>0</v>
      </c>
      <c r="AT114" s="45">
        <f t="shared" ca="1" si="88"/>
        <v>0</v>
      </c>
      <c r="AU114" s="45">
        <f t="shared" ca="1" si="89"/>
        <v>0</v>
      </c>
      <c r="AV114" s="46">
        <f ca="1">AU114*Inputs!$B$35</f>
        <v>0</v>
      </c>
      <c r="AW114" s="46">
        <f ca="1">AR114*Inputs!$C$6+AT114*Inputs!$C$7+AS114*Inputs!$C$8</f>
        <v>0</v>
      </c>
      <c r="AX114" s="46">
        <f t="shared" ca="1" si="90"/>
        <v>36786000.029049367</v>
      </c>
      <c r="AY114" s="46">
        <f ca="1">IF(J114&gt;1,($CD$4)*Inputs!$B$55*((Z114+AA114+AB114)/(SUM(ILP_A_CostFocused!$C$9:$E$13))),0)</f>
        <v>0</v>
      </c>
      <c r="AZ114" s="46">
        <f t="shared" ca="1" si="91"/>
        <v>0</v>
      </c>
      <c r="BA114" s="41">
        <f t="shared" ca="1" si="92"/>
        <v>0</v>
      </c>
      <c r="BB114" s="41">
        <f t="shared" ca="1" si="93"/>
        <v>1</v>
      </c>
      <c r="BC114" s="41">
        <f t="shared" ca="1" si="94"/>
        <v>1</v>
      </c>
      <c r="BD114" s="41">
        <f t="shared" ca="1" si="95"/>
        <v>1</v>
      </c>
    </row>
    <row r="115" spans="1:56" ht="15" customHeight="1" x14ac:dyDescent="0.3">
      <c r="A115" s="41">
        <v>108</v>
      </c>
      <c r="B115" s="42">
        <f t="shared" ca="1" si="77"/>
        <v>0.23297029337756381</v>
      </c>
      <c r="C115" s="43">
        <f ca="1">IF(B115&lt;=Inputs!$C$40,Inputs!$D$40,IF(B115&lt;=Inputs!$C$41,Inputs!$D$41,Inputs!$D$42))</f>
        <v>1</v>
      </c>
      <c r="D115" s="42">
        <f t="shared" ca="1" si="96"/>
        <v>0.12008913965317214</v>
      </c>
      <c r="E115" s="42">
        <f t="shared" ca="1" si="96"/>
        <v>0.83604866501184272</v>
      </c>
      <c r="F115" s="42">
        <f t="shared" ca="1" si="96"/>
        <v>0.26611206295396106</v>
      </c>
      <c r="G115" s="42">
        <f t="shared" ca="1" si="96"/>
        <v>0.6928773937809154</v>
      </c>
      <c r="H115" s="42">
        <f t="shared" ca="1" si="96"/>
        <v>0.18621120788556811</v>
      </c>
      <c r="I115" s="42">
        <f t="shared" ca="1" si="96"/>
        <v>0.59875688190004372</v>
      </c>
      <c r="J115" s="43">
        <f ca="1">IF(I115&lt;Inputs!$B$54,1+Inputs!$B$55,1)</f>
        <v>1</v>
      </c>
      <c r="K115" s="42">
        <f t="shared" ca="1" si="97"/>
        <v>0.29765391666842178</v>
      </c>
      <c r="L115" s="42">
        <f t="shared" ca="1" si="97"/>
        <v>0.17939722335156716</v>
      </c>
      <c r="M115" s="42">
        <f t="shared" ca="1" si="97"/>
        <v>0.26634628755290346</v>
      </c>
      <c r="N115" s="42">
        <f t="shared" ca="1" si="97"/>
        <v>0.36671032814370152</v>
      </c>
      <c r="O115" s="42">
        <f t="shared" ca="1" si="97"/>
        <v>0.63969895992677983</v>
      </c>
      <c r="P115" s="42">
        <f t="shared" ca="1" si="97"/>
        <v>0.51150635460849936</v>
      </c>
      <c r="Q115" s="42">
        <f t="shared" ca="1" si="97"/>
        <v>0.57783549490075958</v>
      </c>
      <c r="R115" s="42">
        <f t="shared" ca="1" si="97"/>
        <v>0.34261287483262692</v>
      </c>
      <c r="S115" s="42">
        <f t="shared" ca="1" si="97"/>
        <v>8.9060266142556466E-2</v>
      </c>
      <c r="T115" s="42">
        <f t="shared" ca="1" si="97"/>
        <v>5.9636892736923075E-2</v>
      </c>
      <c r="U115" s="44">
        <f ca="1">(IF(D115&gt;=Inputs!$E$12,1,IF(K115&lt;=Inputs!$C$46,Inputs!$D$46,IF(K115&lt;=Inputs!$C$47,Inputs!$D$47,Inputs!$D$48))))*((Inputs!$B$28+(P115-0.5)*2*Inputs!$B$53)/Inputs!$B$28)</f>
        <v>1.0001164610790334</v>
      </c>
      <c r="V115" s="44">
        <f ca="1">(IF(E115&gt;=Inputs!$E$13,1,IF(L115&lt;=Inputs!$C$46,Inputs!$D$46,IF(L115&lt;=Inputs!$C$47,Inputs!$D$47,Inputs!$D$48))))*((Inputs!$B$29+(Q115-0.5)*2*Inputs!$B$53)/Inputs!$B$29)</f>
        <v>1.000784632005048</v>
      </c>
      <c r="W115" s="44">
        <f ca="1">(IF(F115&gt;=Inputs!$E$14,1,IF(M115&lt;=Inputs!$C$46,Inputs!$D$46,IF(M115&lt;=Inputs!$C$47,Inputs!$D$47,Inputs!$D$48))))*((Inputs!$B$30+(R115-0.5)*2*Inputs!$B$53)/Inputs!$B$30)</f>
        <v>0.99841821984756407</v>
      </c>
      <c r="X115" s="44">
        <f ca="1">(IF(G115&gt;=Inputs!$E$15,1,IF(N115&lt;=Inputs!$C$46,Inputs!$D$46,IF(N115&lt;=Inputs!$C$47,Inputs!$D$47,Inputs!$D$48))))*((Inputs!$B$31+(S115-0.5)*2*Inputs!$B$53)/Inputs!$B$31)</f>
        <v>0.9958280230065234</v>
      </c>
      <c r="Y115" s="44">
        <f ca="1">(IF(H115&gt;=Inputs!$E$16,1,IF(O115&lt;=Inputs!$C$46,Inputs!$D$46,IF(O115&lt;=Inputs!$C$47,Inputs!$D$47,Inputs!$D$48))))*((Inputs!$B$32+(T115-0.5)*2*Inputs!$B$53)/Inputs!$B$32)</f>
        <v>0.99556978765328896</v>
      </c>
      <c r="Z115" s="45">
        <f ca="1">ILP_A_CostFocused!$C$9*U115+ILP_A_CostFocused!$C$10*V115+ILP_A_CostFocused!$C$11*W115+ILP_A_CostFocused!$C$12*X115+ILP_A_CostFocused!$C$13*Y115</f>
        <v>17955.839967280983</v>
      </c>
      <c r="AA115" s="45">
        <f ca="1">ILP_A_CostFocused!$D$9*U115+ILP_A_CostFocused!$D$10*V115+ILP_A_CostFocused!$D$11*W115+ILP_A_CostFocused!$D$12*X115+ILP_A_CostFocused!$D$13*Y115</f>
        <v>14994.929006352955</v>
      </c>
      <c r="AB115" s="45">
        <f ca="1">ILP_A_CostFocused!$E$9*U115+ILP_A_CostFocused!$E$10*V115+ILP_A_CostFocused!$E$11*W115+ILP_A_CostFocused!$E$12*X115+ILP_A_CostFocused!$E$13*Y115</f>
        <v>12004.604753393271</v>
      </c>
      <c r="AC115" s="45">
        <f ca="1">Inputs!$B$6*$C115</f>
        <v>18000</v>
      </c>
      <c r="AD115" s="45">
        <f ca="1">Inputs!$B$7*$C115</f>
        <v>15000</v>
      </c>
      <c r="AE115" s="45">
        <f ca="1">Inputs!$B$8*$C115</f>
        <v>12000</v>
      </c>
      <c r="AF115" s="45">
        <f t="shared" ca="1" si="78"/>
        <v>44.160032719017181</v>
      </c>
      <c r="AG115" s="45">
        <f t="shared" ca="1" si="79"/>
        <v>5.0709936470448156</v>
      </c>
      <c r="AH115" s="45">
        <f t="shared" ca="1" si="80"/>
        <v>0</v>
      </c>
      <c r="AI115" s="45">
        <f t="shared" ca="1" si="81"/>
        <v>49.231026366061997</v>
      </c>
      <c r="AJ115" s="45">
        <f ca="1">U115*(Inputs!$B$12-ILP_A_CostFocused!$F$9)+V115*(Inputs!$B$13-ILP_A_CostFocused!$F$10)+W115*(Inputs!$B$14-ILP_A_CostFocused!$F$11)+X115*(Inputs!$B$15-ILP_A_CostFocused!$F$12)+Y115*(Inputs!$B$16-ILP_A_CostFocused!$F$13)</f>
        <v>24920.394447203944</v>
      </c>
      <c r="AK115" s="45">
        <f t="shared" ca="1" si="82"/>
        <v>49.231026366061997</v>
      </c>
      <c r="AL115" s="45">
        <f t="shared" ca="1" si="83"/>
        <v>0</v>
      </c>
      <c r="AM115" s="45">
        <f t="shared" ca="1" si="84"/>
        <v>0</v>
      </c>
      <c r="AN115" s="45">
        <f t="shared" ca="1" si="85"/>
        <v>0</v>
      </c>
      <c r="AO115" s="45">
        <f ca="1">MIN(AL115,Inputs!$B$36)</f>
        <v>0</v>
      </c>
      <c r="AP115" s="45">
        <f ca="1">MIN(AN115,Inputs!$B$36-AO115)</f>
        <v>0</v>
      </c>
      <c r="AQ115" s="45">
        <f ca="1">MIN(AM115,Inputs!$B$36-AO115-AP115)</f>
        <v>0</v>
      </c>
      <c r="AR115" s="45">
        <f t="shared" ca="1" si="86"/>
        <v>0</v>
      </c>
      <c r="AS115" s="45">
        <f t="shared" ca="1" si="87"/>
        <v>0</v>
      </c>
      <c r="AT115" s="45">
        <f t="shared" ca="1" si="88"/>
        <v>0</v>
      </c>
      <c r="AU115" s="45">
        <f t="shared" ca="1" si="89"/>
        <v>0</v>
      </c>
      <c r="AV115" s="46">
        <f ca="1">AU115*Inputs!$B$35</f>
        <v>0</v>
      </c>
      <c r="AW115" s="46">
        <f ca="1">AR115*Inputs!$C$6+AT115*Inputs!$C$7+AS115*Inputs!$C$8</f>
        <v>0</v>
      </c>
      <c r="AX115" s="46">
        <f t="shared" ca="1" si="90"/>
        <v>47346510.169631138</v>
      </c>
      <c r="AY115" s="46">
        <f ca="1">IF(J115&gt;1,($CD$4)*Inputs!$B$55*((Z115+AA115+AB115)/(SUM(ILP_A_CostFocused!$C$9:$E$13))),0)</f>
        <v>0</v>
      </c>
      <c r="AZ115" s="46">
        <f t="shared" ca="1" si="91"/>
        <v>0</v>
      </c>
      <c r="BA115" s="41">
        <f t="shared" ca="1" si="92"/>
        <v>0</v>
      </c>
      <c r="BB115" s="41">
        <f t="shared" ca="1" si="93"/>
        <v>1</v>
      </c>
      <c r="BC115" s="41">
        <f t="shared" ca="1" si="94"/>
        <v>1</v>
      </c>
      <c r="BD115" s="41">
        <f t="shared" ca="1" si="95"/>
        <v>1</v>
      </c>
    </row>
    <row r="116" spans="1:56" ht="15" customHeight="1" x14ac:dyDescent="0.3">
      <c r="A116" s="41">
        <v>109</v>
      </c>
      <c r="B116" s="42">
        <f t="shared" ca="1" si="77"/>
        <v>0.10342052473499863</v>
      </c>
      <c r="C116" s="43">
        <f ca="1">IF(B116&lt;=Inputs!$C$40,Inputs!$D$40,IF(B116&lt;=Inputs!$C$41,Inputs!$D$41,Inputs!$D$42))</f>
        <v>0.9</v>
      </c>
      <c r="D116" s="42">
        <f t="shared" ca="1" si="96"/>
        <v>0.86836612604571151</v>
      </c>
      <c r="E116" s="42">
        <f t="shared" ca="1" si="96"/>
        <v>0.2462183092349961</v>
      </c>
      <c r="F116" s="42">
        <f t="shared" ca="1" si="96"/>
        <v>0.29161279064692791</v>
      </c>
      <c r="G116" s="42">
        <f t="shared" ca="1" si="96"/>
        <v>6.3428911117222708E-2</v>
      </c>
      <c r="H116" s="42">
        <f t="shared" ca="1" si="96"/>
        <v>0.97977815320425976</v>
      </c>
      <c r="I116" s="42">
        <f t="shared" ca="1" si="96"/>
        <v>0.42525978510496176</v>
      </c>
      <c r="J116" s="43">
        <f ca="1">IF(I116&lt;Inputs!$B$54,1+Inputs!$B$55,1)</f>
        <v>1</v>
      </c>
      <c r="K116" s="42">
        <f t="shared" ca="1" si="97"/>
        <v>0.69114791546287524</v>
      </c>
      <c r="L116" s="42">
        <f t="shared" ca="1" si="97"/>
        <v>0.85549749900275562</v>
      </c>
      <c r="M116" s="42">
        <f t="shared" ca="1" si="97"/>
        <v>0.38543686876428163</v>
      </c>
      <c r="N116" s="42">
        <f t="shared" ca="1" si="97"/>
        <v>0.7877503372744783</v>
      </c>
      <c r="O116" s="42">
        <f t="shared" ca="1" si="97"/>
        <v>1.8063873945679765E-2</v>
      </c>
      <c r="P116" s="42">
        <f t="shared" ca="1" si="97"/>
        <v>0.88485490736243932</v>
      </c>
      <c r="Q116" s="42">
        <f t="shared" ca="1" si="97"/>
        <v>0.34960819701501089</v>
      </c>
      <c r="R116" s="42">
        <f t="shared" ca="1" si="97"/>
        <v>7.0838283367938515E-2</v>
      </c>
      <c r="S116" s="42">
        <f t="shared" ca="1" si="97"/>
        <v>8.7793741931969205E-2</v>
      </c>
      <c r="T116" s="42">
        <f t="shared" ca="1" si="97"/>
        <v>0.70667710835247421</v>
      </c>
      <c r="U116" s="44">
        <f ca="1">(IF(D116&gt;=Inputs!$E$12,1,IF(K116&lt;=Inputs!$C$46,Inputs!$D$46,IF(K116&lt;=Inputs!$C$47,Inputs!$D$47,Inputs!$D$48))))*((Inputs!$B$28+(P116-0.5)*2*Inputs!$B$53)/Inputs!$B$28)</f>
        <v>1.0038952925846401</v>
      </c>
      <c r="V116" s="44">
        <f ca="1">(IF(E116&gt;=Inputs!$E$13,1,IF(L116&lt;=Inputs!$C$46,Inputs!$D$46,IF(L116&lt;=Inputs!$C$47,Inputs!$D$47,Inputs!$D$48))))*((Inputs!$B$29+(Q116-0.5)*2*Inputs!$B$53)/Inputs!$B$29)</f>
        <v>0.99848395359894171</v>
      </c>
      <c r="W116" s="44">
        <f ca="1">(IF(F116&gt;=Inputs!$E$14,1,IF(M116&lt;=Inputs!$C$46,Inputs!$D$46,IF(M116&lt;=Inputs!$C$47,Inputs!$D$47,Inputs!$D$48))))*((Inputs!$B$30+(R116-0.5)*2*Inputs!$B$53)/Inputs!$B$30)</f>
        <v>0.99568681691827066</v>
      </c>
      <c r="X116" s="44">
        <f ca="1">(IF(G116&gt;=Inputs!$E$15,1,IF(N116&lt;=Inputs!$C$46,Inputs!$D$46,IF(N116&lt;=Inputs!$C$47,Inputs!$D$47,Inputs!$D$48))))*((Inputs!$B$31+(S116-0.5)*2*Inputs!$B$53)/Inputs!$B$31)</f>
        <v>0.29874454946781309</v>
      </c>
      <c r="Y116" s="44">
        <f ca="1">(IF(H116&gt;=Inputs!$E$16,1,IF(O116&lt;=Inputs!$C$46,Inputs!$D$46,IF(O116&lt;=Inputs!$C$47,Inputs!$D$47,Inputs!$D$48))))*((Inputs!$B$32+(T116-0.5)*2*Inputs!$B$53)/Inputs!$B$32)</f>
        <v>1.002079246562902</v>
      </c>
      <c r="Z116" s="45">
        <f ca="1">ILP_A_CostFocused!$C$9*U116+ILP_A_CostFocused!$C$10*V116+ILP_A_CostFocused!$C$11*W116+ILP_A_CostFocused!$C$12*X116+ILP_A_CostFocused!$C$13*Y116</f>
        <v>10454.011043031049</v>
      </c>
      <c r="AA116" s="45">
        <f ca="1">ILP_A_CostFocused!$D$9*U116+ILP_A_CostFocused!$D$10*V116+ILP_A_CostFocused!$D$11*W116+ILP_A_CostFocused!$D$12*X116+ILP_A_CostFocused!$D$13*Y116</f>
        <v>14249.595371100631</v>
      </c>
      <c r="AB116" s="45">
        <f ca="1">ILP_A_CostFocused!$E$9*U116+ILP_A_CostFocused!$E$10*V116+ILP_A_CostFocused!$E$11*W116+ILP_A_CostFocused!$E$12*X116+ILP_A_CostFocused!$E$13*Y116</f>
        <v>12020.76908388433</v>
      </c>
      <c r="AC116" s="45">
        <f ca="1">Inputs!$B$6*$C116</f>
        <v>16200</v>
      </c>
      <c r="AD116" s="45">
        <f ca="1">Inputs!$B$7*$C116</f>
        <v>13500</v>
      </c>
      <c r="AE116" s="45">
        <f ca="1">Inputs!$B$8*$C116</f>
        <v>10800</v>
      </c>
      <c r="AF116" s="45">
        <f t="shared" ca="1" si="78"/>
        <v>5745.9889569689512</v>
      </c>
      <c r="AG116" s="45">
        <f t="shared" ca="1" si="79"/>
        <v>0</v>
      </c>
      <c r="AH116" s="45">
        <f t="shared" ca="1" si="80"/>
        <v>0</v>
      </c>
      <c r="AI116" s="45">
        <f t="shared" ca="1" si="81"/>
        <v>5745.9889569689512</v>
      </c>
      <c r="AJ116" s="45">
        <f ca="1">U116*(Inputs!$B$12-ILP_A_CostFocused!$F$9)+V116*(Inputs!$B$13-ILP_A_CostFocused!$F$10)+W116*(Inputs!$B$14-ILP_A_CostFocused!$F$11)+X116*(Inputs!$B$15-ILP_A_CostFocused!$F$12)+Y116*(Inputs!$B$16-ILP_A_CostFocused!$F$13)</f>
        <v>24876.77644571822</v>
      </c>
      <c r="AK116" s="45">
        <f t="shared" ca="1" si="82"/>
        <v>5745.9889569689512</v>
      </c>
      <c r="AL116" s="45">
        <f t="shared" ca="1" si="83"/>
        <v>0</v>
      </c>
      <c r="AM116" s="45">
        <f t="shared" ca="1" si="84"/>
        <v>0</v>
      </c>
      <c r="AN116" s="45">
        <f t="shared" ca="1" si="85"/>
        <v>0</v>
      </c>
      <c r="AO116" s="45">
        <f ca="1">MIN(AL116,Inputs!$B$36)</f>
        <v>0</v>
      </c>
      <c r="AP116" s="45">
        <f ca="1">MIN(AN116,Inputs!$B$36-AO116)</f>
        <v>0</v>
      </c>
      <c r="AQ116" s="45">
        <f ca="1">MIN(AM116,Inputs!$B$36-AO116-AP116)</f>
        <v>0</v>
      </c>
      <c r="AR116" s="45">
        <f t="shared" ca="1" si="86"/>
        <v>0</v>
      </c>
      <c r="AS116" s="45">
        <f t="shared" ca="1" si="87"/>
        <v>0</v>
      </c>
      <c r="AT116" s="45">
        <f t="shared" ca="1" si="88"/>
        <v>0</v>
      </c>
      <c r="AU116" s="45">
        <f t="shared" ca="1" si="89"/>
        <v>0</v>
      </c>
      <c r="AV116" s="46">
        <f ca="1">AU116*Inputs!$B$35</f>
        <v>0</v>
      </c>
      <c r="AW116" s="46">
        <f ca="1">AR116*Inputs!$C$6+AT116*Inputs!$C$7+AS116*Inputs!$C$8</f>
        <v>0</v>
      </c>
      <c r="AX116" s="46">
        <f t="shared" ca="1" si="90"/>
        <v>38844017.607267991</v>
      </c>
      <c r="AY116" s="46">
        <f ca="1">IF(J116&gt;1,($CD$4)*Inputs!$B$55*((Z116+AA116+AB116)/(SUM(ILP_A_CostFocused!$C$9:$E$13))),0)</f>
        <v>0</v>
      </c>
      <c r="AZ116" s="46">
        <f t="shared" ca="1" si="91"/>
        <v>0</v>
      </c>
      <c r="BA116" s="41">
        <f t="shared" ca="1" si="92"/>
        <v>0</v>
      </c>
      <c r="BB116" s="41">
        <f t="shared" ca="1" si="93"/>
        <v>1</v>
      </c>
      <c r="BC116" s="41">
        <f t="shared" ca="1" si="94"/>
        <v>1</v>
      </c>
      <c r="BD116" s="41">
        <f t="shared" ca="1" si="95"/>
        <v>1</v>
      </c>
    </row>
    <row r="117" spans="1:56" ht="15" customHeight="1" x14ac:dyDescent="0.3">
      <c r="A117" s="41">
        <v>110</v>
      </c>
      <c r="B117" s="42">
        <f t="shared" ca="1" si="77"/>
        <v>0.35273539583776414</v>
      </c>
      <c r="C117" s="43">
        <f ca="1">IF(B117&lt;=Inputs!$C$40,Inputs!$D$40,IF(B117&lt;=Inputs!$C$41,Inputs!$D$41,Inputs!$D$42))</f>
        <v>1</v>
      </c>
      <c r="D117" s="42">
        <f t="shared" ca="1" si="96"/>
        <v>2.4500360213885464E-2</v>
      </c>
      <c r="E117" s="42">
        <f t="shared" ca="1" si="96"/>
        <v>0.20418668303642973</v>
      </c>
      <c r="F117" s="42">
        <f t="shared" ca="1" si="96"/>
        <v>0.16312894463824879</v>
      </c>
      <c r="G117" s="42">
        <f t="shared" ca="1" si="96"/>
        <v>0.90829313747709262</v>
      </c>
      <c r="H117" s="42">
        <f t="shared" ca="1" si="96"/>
        <v>0.4577346833388255</v>
      </c>
      <c r="I117" s="42">
        <f t="shared" ca="1" si="96"/>
        <v>0.71054967160004046</v>
      </c>
      <c r="J117" s="43">
        <f ca="1">IF(I117&lt;Inputs!$B$54,1+Inputs!$B$55,1)</f>
        <v>1</v>
      </c>
      <c r="K117" s="42">
        <f t="shared" ca="1" si="97"/>
        <v>0.15585336242965186</v>
      </c>
      <c r="L117" s="42">
        <f t="shared" ca="1" si="97"/>
        <v>0.62921704340753148</v>
      </c>
      <c r="M117" s="42">
        <f t="shared" ca="1" si="97"/>
        <v>0.73147286782558085</v>
      </c>
      <c r="N117" s="42">
        <f t="shared" ca="1" si="97"/>
        <v>0.16440087662427472</v>
      </c>
      <c r="O117" s="42">
        <f t="shared" ca="1" si="97"/>
        <v>0.25680757886127059</v>
      </c>
      <c r="P117" s="42">
        <f t="shared" ca="1" si="97"/>
        <v>0.29251793486006372</v>
      </c>
      <c r="Q117" s="42">
        <f t="shared" ca="1" si="97"/>
        <v>0.32785105703132145</v>
      </c>
      <c r="R117" s="42">
        <f t="shared" ca="1" si="97"/>
        <v>0.10726764522312204</v>
      </c>
      <c r="S117" s="42">
        <f t="shared" ca="1" si="97"/>
        <v>0.82765678456903469</v>
      </c>
      <c r="T117" s="42">
        <f t="shared" ca="1" si="97"/>
        <v>8.9570043078004757E-2</v>
      </c>
      <c r="U117" s="44">
        <f ca="1">(IF(D117&gt;=Inputs!$E$12,1,IF(K117&lt;=Inputs!$C$46,Inputs!$D$46,IF(K117&lt;=Inputs!$C$47,Inputs!$D$47,Inputs!$D$48))))*((Inputs!$B$28+(P117-0.5)*2*Inputs!$B$53)/Inputs!$B$28)</f>
        <v>0.5987399874586643</v>
      </c>
      <c r="V117" s="44">
        <f ca="1">(IF(E117&gt;=Inputs!$E$13,1,IF(L117&lt;=Inputs!$C$46,Inputs!$D$46,IF(L117&lt;=Inputs!$C$47,Inputs!$D$47,Inputs!$D$48))))*((Inputs!$B$29+(Q117-0.5)*2*Inputs!$B$53)/Inputs!$B$29)</f>
        <v>0.99826462759104162</v>
      </c>
      <c r="W117" s="44">
        <f ca="1">(IF(F117&gt;=Inputs!$E$14,1,IF(M117&lt;=Inputs!$C$46,Inputs!$D$46,IF(M117&lt;=Inputs!$C$47,Inputs!$D$47,Inputs!$D$48))))*((Inputs!$B$30+(R117-0.5)*2*Inputs!$B$53)/Inputs!$B$30)</f>
        <v>0.99605294115802134</v>
      </c>
      <c r="X117" s="44">
        <f ca="1">(IF(G117&gt;=Inputs!$E$15,1,IF(N117&lt;=Inputs!$C$46,Inputs!$D$46,IF(N117&lt;=Inputs!$C$47,Inputs!$D$47,Inputs!$D$48))))*((Inputs!$B$31+(S117-0.5)*2*Inputs!$B$53)/Inputs!$B$31)</f>
        <v>1.0033264648179596</v>
      </c>
      <c r="Y117" s="44">
        <f ca="1">(IF(H117&gt;=Inputs!$E$16,1,IF(O117&lt;=Inputs!$C$46,Inputs!$D$46,IF(O117&lt;=Inputs!$C$47,Inputs!$D$47,Inputs!$D$48))))*((Inputs!$B$32+(T117-0.5)*2*Inputs!$B$53)/Inputs!$B$32)</f>
        <v>0.99587092598670024</v>
      </c>
      <c r="Z117" s="45">
        <f ca="1">ILP_A_CostFocused!$C$9*U117+ILP_A_CostFocused!$C$10*V117+ILP_A_CostFocused!$C$11*W117+ILP_A_CostFocused!$C$12*X117+ILP_A_CostFocused!$C$13*Y117</f>
        <v>15182.011898067998</v>
      </c>
      <c r="AA117" s="45">
        <f ca="1">ILP_A_CostFocused!$D$9*U117+ILP_A_CostFocused!$D$10*V117+ILP_A_CostFocused!$D$11*W117+ILP_A_CostFocused!$D$12*X117+ILP_A_CostFocused!$D$13*Y117</f>
        <v>14968.118289400638</v>
      </c>
      <c r="AB117" s="45">
        <f ca="1">ILP_A_CostFocused!$E$9*U117+ILP_A_CostFocused!$E$10*V117+ILP_A_CostFocused!$E$11*W117+ILP_A_CostFocused!$E$12*X117+ILP_A_CostFocused!$E$13*Y117</f>
        <v>9102.5981221393813</v>
      </c>
      <c r="AC117" s="45">
        <f ca="1">Inputs!$B$6*$C117</f>
        <v>18000</v>
      </c>
      <c r="AD117" s="45">
        <f ca="1">Inputs!$B$7*$C117</f>
        <v>15000</v>
      </c>
      <c r="AE117" s="45">
        <f ca="1">Inputs!$B$8*$C117</f>
        <v>12000</v>
      </c>
      <c r="AF117" s="45">
        <f t="shared" ca="1" si="78"/>
        <v>2817.9881019320019</v>
      </c>
      <c r="AG117" s="45">
        <f t="shared" ca="1" si="79"/>
        <v>31.881710599362123</v>
      </c>
      <c r="AH117" s="45">
        <f t="shared" ca="1" si="80"/>
        <v>2897.4018778606187</v>
      </c>
      <c r="AI117" s="45">
        <f t="shared" ca="1" si="81"/>
        <v>5747.2716903919827</v>
      </c>
      <c r="AJ117" s="45">
        <f ca="1">U117*(Inputs!$B$12-ILP_A_CostFocused!$F$9)+V117*(Inputs!$B$13-ILP_A_CostFocused!$F$10)+W117*(Inputs!$B$14-ILP_A_CostFocused!$F$11)+X117*(Inputs!$B$15-ILP_A_CostFocused!$F$12)+Y117*(Inputs!$B$16-ILP_A_CostFocused!$F$13)</f>
        <v>24229.48597867549</v>
      </c>
      <c r="AK117" s="45">
        <f t="shared" ca="1" si="82"/>
        <v>5747.2716903919827</v>
      </c>
      <c r="AL117" s="45">
        <f t="shared" ca="1" si="83"/>
        <v>0</v>
      </c>
      <c r="AM117" s="45">
        <f t="shared" ca="1" si="84"/>
        <v>0</v>
      </c>
      <c r="AN117" s="45">
        <f t="shared" ca="1" si="85"/>
        <v>0</v>
      </c>
      <c r="AO117" s="45">
        <f ca="1">MIN(AL117,Inputs!$B$36)</f>
        <v>0</v>
      </c>
      <c r="AP117" s="45">
        <f ca="1">MIN(AN117,Inputs!$B$36-AO117)</f>
        <v>0</v>
      </c>
      <c r="AQ117" s="45">
        <f ca="1">MIN(AM117,Inputs!$B$36-AO117-AP117)</f>
        <v>0</v>
      </c>
      <c r="AR117" s="45">
        <f t="shared" ca="1" si="86"/>
        <v>0</v>
      </c>
      <c r="AS117" s="45">
        <f t="shared" ca="1" si="87"/>
        <v>0</v>
      </c>
      <c r="AT117" s="45">
        <f t="shared" ca="1" si="88"/>
        <v>0</v>
      </c>
      <c r="AU117" s="45">
        <f t="shared" ca="1" si="89"/>
        <v>0</v>
      </c>
      <c r="AV117" s="46">
        <f ca="1">AU117*Inputs!$B$35</f>
        <v>0</v>
      </c>
      <c r="AW117" s="46">
        <f ca="1">AR117*Inputs!$C$6+AT117*Inputs!$C$7+AS117*Inputs!$C$8</f>
        <v>0</v>
      </c>
      <c r="AX117" s="46">
        <f t="shared" ca="1" si="90"/>
        <v>41308854.97101938</v>
      </c>
      <c r="AY117" s="46">
        <f ca="1">IF(J117&gt;1,($CD$4)*Inputs!$B$55*((Z117+AA117+AB117)/(SUM(ILP_A_CostFocused!$C$9:$E$13))),0)</f>
        <v>0</v>
      </c>
      <c r="AZ117" s="46">
        <f t="shared" ca="1" si="91"/>
        <v>0</v>
      </c>
      <c r="BA117" s="41">
        <f t="shared" ca="1" si="92"/>
        <v>0</v>
      </c>
      <c r="BB117" s="41">
        <f t="shared" ca="1" si="93"/>
        <v>1</v>
      </c>
      <c r="BC117" s="41">
        <f t="shared" ca="1" si="94"/>
        <v>1</v>
      </c>
      <c r="BD117" s="41">
        <f t="shared" ca="1" si="95"/>
        <v>1</v>
      </c>
    </row>
    <row r="118" spans="1:56" ht="15" customHeight="1" x14ac:dyDescent="0.3">
      <c r="A118" s="41">
        <v>111</v>
      </c>
      <c r="B118" s="42">
        <f t="shared" ca="1" si="77"/>
        <v>0.98982111920012839</v>
      </c>
      <c r="C118" s="43">
        <f ca="1">IF(B118&lt;=Inputs!$C$40,Inputs!$D$40,IF(B118&lt;=Inputs!$C$41,Inputs!$D$41,Inputs!$D$42))</f>
        <v>1.1499999999999999</v>
      </c>
      <c r="D118" s="42">
        <f t="shared" ref="D118:I127" ca="1" si="98">RAND()</f>
        <v>0.92663906130273699</v>
      </c>
      <c r="E118" s="42">
        <f t="shared" ca="1" si="98"/>
        <v>0.75064503297860119</v>
      </c>
      <c r="F118" s="42">
        <f t="shared" ca="1" si="98"/>
        <v>0.48551549082702483</v>
      </c>
      <c r="G118" s="42">
        <f t="shared" ca="1" si="98"/>
        <v>0.28148363334334137</v>
      </c>
      <c r="H118" s="42">
        <f t="shared" ca="1" si="98"/>
        <v>0.84943820198942255</v>
      </c>
      <c r="I118" s="42">
        <f t="shared" ca="1" si="98"/>
        <v>0.69272426221689154</v>
      </c>
      <c r="J118" s="43">
        <f ca="1">IF(I118&lt;Inputs!$B$54,1+Inputs!$B$55,1)</f>
        <v>1</v>
      </c>
      <c r="K118" s="42">
        <f t="shared" ref="K118:T127" ca="1" si="99">RAND()</f>
        <v>0.54206092933358418</v>
      </c>
      <c r="L118" s="42">
        <f t="shared" ca="1" si="99"/>
        <v>0.50035994109701742</v>
      </c>
      <c r="M118" s="42">
        <f t="shared" ca="1" si="99"/>
        <v>0.51572563331973065</v>
      </c>
      <c r="N118" s="42">
        <f t="shared" ca="1" si="99"/>
        <v>0.73478359054289877</v>
      </c>
      <c r="O118" s="42">
        <f t="shared" ca="1" si="99"/>
        <v>0.62327519890011096</v>
      </c>
      <c r="P118" s="42">
        <f t="shared" ca="1" si="99"/>
        <v>0.16557757675157569</v>
      </c>
      <c r="Q118" s="42">
        <f t="shared" ca="1" si="99"/>
        <v>3.0850979914566423E-2</v>
      </c>
      <c r="R118" s="42">
        <f t="shared" ca="1" si="99"/>
        <v>0.25591721819154833</v>
      </c>
      <c r="S118" s="42">
        <f t="shared" ca="1" si="99"/>
        <v>0.25596928644068895</v>
      </c>
      <c r="T118" s="42">
        <f t="shared" ca="1" si="99"/>
        <v>2.7838299488152751E-2</v>
      </c>
      <c r="U118" s="44">
        <f ca="1">(IF(D118&gt;=Inputs!$E$12,1,IF(K118&lt;=Inputs!$C$46,Inputs!$D$46,IF(K118&lt;=Inputs!$C$47,Inputs!$D$47,Inputs!$D$48))))*((Inputs!$B$28+(P118-0.5)*2*Inputs!$B$53)/Inputs!$B$28)</f>
        <v>0.99661515765942887</v>
      </c>
      <c r="V118" s="44">
        <f ca="1">(IF(E118&gt;=Inputs!$E$13,1,IF(L118&lt;=Inputs!$C$46,Inputs!$D$46,IF(L118&lt;=Inputs!$C$47,Inputs!$D$47,Inputs!$D$48))))*((Inputs!$B$29+(Q118-0.5)*2*Inputs!$B$53)/Inputs!$B$29)</f>
        <v>0.99527067520075163</v>
      </c>
      <c r="W118" s="44">
        <f ca="1">(IF(F118&gt;=Inputs!$E$14,1,IF(M118&lt;=Inputs!$C$46,Inputs!$D$46,IF(M118&lt;=Inputs!$C$47,Inputs!$D$47,Inputs!$D$48))))*((Inputs!$B$30+(R118-0.5)*2*Inputs!$B$53)/Inputs!$B$30)</f>
        <v>0.99754690671549295</v>
      </c>
      <c r="X118" s="44">
        <f ca="1">(IF(G118&gt;=Inputs!$E$15,1,IF(N118&lt;=Inputs!$C$46,Inputs!$D$46,IF(N118&lt;=Inputs!$C$47,Inputs!$D$47,Inputs!$D$48))))*((Inputs!$B$31+(S118-0.5)*2*Inputs!$B$53)/Inputs!$B$31)</f>
        <v>0.99752253082680908</v>
      </c>
      <c r="Y118" s="44">
        <f ca="1">(IF(H118&gt;=Inputs!$E$16,1,IF(O118&lt;=Inputs!$C$46,Inputs!$D$46,IF(O118&lt;=Inputs!$C$47,Inputs!$D$47,Inputs!$D$48))))*((Inputs!$B$32+(T118-0.5)*2*Inputs!$B$53)/Inputs!$B$32)</f>
        <v>0.99524988228861311</v>
      </c>
      <c r="Z118" s="45">
        <f ca="1">ILP_A_CostFocused!$C$9*U118+ILP_A_CostFocused!$C$10*V118+ILP_A_CostFocused!$C$11*W118+ILP_A_CostFocused!$C$12*X118+ILP_A_CostFocused!$C$13*Y118</f>
        <v>17948.754153621063</v>
      </c>
      <c r="AA118" s="45">
        <f ca="1">ILP_A_CostFocused!$D$9*U118+ILP_A_CostFocused!$D$10*V118+ILP_A_CostFocused!$D$11*W118+ILP_A_CostFocused!$D$12*X118+ILP_A_CostFocused!$D$13*Y118</f>
        <v>14942.692653693266</v>
      </c>
      <c r="AB118" s="45">
        <f ca="1">ILP_A_CostFocused!$E$9*U118+ILP_A_CostFocused!$E$10*V118+ILP_A_CostFocused!$E$11*W118+ILP_A_CostFocused!$E$12*X118+ILP_A_CostFocused!$E$13*Y118</f>
        <v>11952.928376111497</v>
      </c>
      <c r="AC118" s="45">
        <f ca="1">Inputs!$B$6*$C118</f>
        <v>20700</v>
      </c>
      <c r="AD118" s="45">
        <f ca="1">Inputs!$B$7*$C118</f>
        <v>17250</v>
      </c>
      <c r="AE118" s="45">
        <f ca="1">Inputs!$B$8*$C118</f>
        <v>13799.999999999998</v>
      </c>
      <c r="AF118" s="45">
        <f t="shared" ca="1" si="78"/>
        <v>2751.2458463789371</v>
      </c>
      <c r="AG118" s="45">
        <f t="shared" ca="1" si="79"/>
        <v>2307.307346306734</v>
      </c>
      <c r="AH118" s="45">
        <f t="shared" ca="1" si="80"/>
        <v>1847.0716238885016</v>
      </c>
      <c r="AI118" s="45">
        <f t="shared" ca="1" si="81"/>
        <v>6905.6248165741727</v>
      </c>
      <c r="AJ118" s="45">
        <f ca="1">U118*(Inputs!$B$12-ILP_A_CostFocused!$F$9)+V118*(Inputs!$B$13-ILP_A_CostFocused!$F$10)+W118*(Inputs!$B$14-ILP_A_CostFocused!$F$11)+X118*(Inputs!$B$15-ILP_A_CostFocused!$F$12)+Y118*(Inputs!$B$16-ILP_A_CostFocused!$F$13)</f>
        <v>24902.385183487873</v>
      </c>
      <c r="AK118" s="45">
        <f t="shared" ca="1" si="82"/>
        <v>6905.6248165741727</v>
      </c>
      <c r="AL118" s="45">
        <f t="shared" ca="1" si="83"/>
        <v>0</v>
      </c>
      <c r="AM118" s="45">
        <f t="shared" ca="1" si="84"/>
        <v>0</v>
      </c>
      <c r="AN118" s="45">
        <f t="shared" ca="1" si="85"/>
        <v>0</v>
      </c>
      <c r="AO118" s="45">
        <f ca="1">MIN(AL118,Inputs!$B$36)</f>
        <v>0</v>
      </c>
      <c r="AP118" s="45">
        <f ca="1">MIN(AN118,Inputs!$B$36-AO118)</f>
        <v>0</v>
      </c>
      <c r="AQ118" s="45">
        <f ca="1">MIN(AM118,Inputs!$B$36-AO118-AP118)</f>
        <v>0</v>
      </c>
      <c r="AR118" s="45">
        <f t="shared" ca="1" si="86"/>
        <v>0</v>
      </c>
      <c r="AS118" s="45">
        <f t="shared" ca="1" si="87"/>
        <v>0</v>
      </c>
      <c r="AT118" s="45">
        <f t="shared" ca="1" si="88"/>
        <v>0</v>
      </c>
      <c r="AU118" s="45">
        <f t="shared" ca="1" si="89"/>
        <v>0</v>
      </c>
      <c r="AV118" s="46">
        <f ca="1">AU118*Inputs!$B$35</f>
        <v>0</v>
      </c>
      <c r="AW118" s="46">
        <f ca="1">AR118*Inputs!$C$6+AT118*Inputs!$C$7+AS118*Inputs!$C$8</f>
        <v>0</v>
      </c>
      <c r="AX118" s="46">
        <f t="shared" ca="1" si="90"/>
        <v>47228060.686421588</v>
      </c>
      <c r="AY118" s="46">
        <f ca="1">IF(J118&gt;1,($CD$4)*Inputs!$B$55*((Z118+AA118+AB118)/(SUM(ILP_A_CostFocused!$C$9:$E$13))),0)</f>
        <v>0</v>
      </c>
      <c r="AZ118" s="46">
        <f t="shared" ca="1" si="91"/>
        <v>0</v>
      </c>
      <c r="BA118" s="41">
        <f t="shared" ca="1" si="92"/>
        <v>0</v>
      </c>
      <c r="BB118" s="41">
        <f t="shared" ca="1" si="93"/>
        <v>1</v>
      </c>
      <c r="BC118" s="41">
        <f t="shared" ca="1" si="94"/>
        <v>1</v>
      </c>
      <c r="BD118" s="41">
        <f t="shared" ca="1" si="95"/>
        <v>1</v>
      </c>
    </row>
    <row r="119" spans="1:56" ht="15" customHeight="1" x14ac:dyDescent="0.3">
      <c r="A119" s="41">
        <v>112</v>
      </c>
      <c r="B119" s="42">
        <f t="shared" ca="1" si="77"/>
        <v>4.9640187854665396E-2</v>
      </c>
      <c r="C119" s="43">
        <f ca="1">IF(B119&lt;=Inputs!$C$40,Inputs!$D$40,IF(B119&lt;=Inputs!$C$41,Inputs!$D$41,Inputs!$D$42))</f>
        <v>0.9</v>
      </c>
      <c r="D119" s="42">
        <f t="shared" ca="1" si="98"/>
        <v>0.51093004845564083</v>
      </c>
      <c r="E119" s="42">
        <f t="shared" ca="1" si="98"/>
        <v>0.98316565128390487</v>
      </c>
      <c r="F119" s="42">
        <f t="shared" ca="1" si="98"/>
        <v>0.33813387408509765</v>
      </c>
      <c r="G119" s="42">
        <f t="shared" ca="1" si="98"/>
        <v>0.96511415836928749</v>
      </c>
      <c r="H119" s="42">
        <f t="shared" ca="1" si="98"/>
        <v>0.98931993319928313</v>
      </c>
      <c r="I119" s="42">
        <f t="shared" ca="1" si="98"/>
        <v>0.1571499868975339</v>
      </c>
      <c r="J119" s="43">
        <f ca="1">IF(I119&lt;Inputs!$B$54,1+Inputs!$B$55,1)</f>
        <v>1</v>
      </c>
      <c r="K119" s="42">
        <f t="shared" ca="1" si="99"/>
        <v>0.29395868852985596</v>
      </c>
      <c r="L119" s="42">
        <f t="shared" ca="1" si="99"/>
        <v>0.54077105669862191</v>
      </c>
      <c r="M119" s="42">
        <f t="shared" ca="1" si="99"/>
        <v>0.52775245745288879</v>
      </c>
      <c r="N119" s="42">
        <f t="shared" ca="1" si="99"/>
        <v>0.25827889995967745</v>
      </c>
      <c r="O119" s="42">
        <f t="shared" ca="1" si="99"/>
        <v>0.42936130310438347</v>
      </c>
      <c r="P119" s="42">
        <f t="shared" ca="1" si="99"/>
        <v>0.97276228042606194</v>
      </c>
      <c r="Q119" s="42">
        <f t="shared" ca="1" si="99"/>
        <v>0.81865542430840266</v>
      </c>
      <c r="R119" s="42">
        <f t="shared" ca="1" si="99"/>
        <v>0.35509227830456425</v>
      </c>
      <c r="S119" s="42">
        <f t="shared" ca="1" si="99"/>
        <v>0.43926651976454278</v>
      </c>
      <c r="T119" s="42">
        <f t="shared" ca="1" si="99"/>
        <v>0.86553115700318028</v>
      </c>
      <c r="U119" s="44">
        <f ca="1">(IF(D119&gt;=Inputs!$E$12,1,IF(K119&lt;=Inputs!$C$46,Inputs!$D$46,IF(K119&lt;=Inputs!$C$47,Inputs!$D$47,Inputs!$D$48))))*((Inputs!$B$28+(P119-0.5)*2*Inputs!$B$53)/Inputs!$B$28)</f>
        <v>1.0047850433241505</v>
      </c>
      <c r="V119" s="44">
        <f ca="1">(IF(E119&gt;=Inputs!$E$13,1,IF(L119&lt;=Inputs!$C$46,Inputs!$D$46,IF(L119&lt;=Inputs!$C$47,Inputs!$D$47,Inputs!$D$48))))*((Inputs!$B$29+(Q119-0.5)*2*Inputs!$B$53)/Inputs!$B$29)</f>
        <v>1.0032122522611735</v>
      </c>
      <c r="W119" s="44">
        <f ca="1">(IF(F119&gt;=Inputs!$E$14,1,IF(M119&lt;=Inputs!$C$46,Inputs!$D$46,IF(M119&lt;=Inputs!$C$47,Inputs!$D$47,Inputs!$D$48))))*((Inputs!$B$30+(R119-0.5)*2*Inputs!$B$53)/Inputs!$B$30)</f>
        <v>0.99854364098798565</v>
      </c>
      <c r="X119" s="44">
        <f ca="1">(IF(G119&gt;=Inputs!$E$15,1,IF(N119&lt;=Inputs!$C$46,Inputs!$D$46,IF(N119&lt;=Inputs!$C$47,Inputs!$D$47,Inputs!$D$48))))*((Inputs!$B$31+(S119-0.5)*2*Inputs!$B$53)/Inputs!$B$31)</f>
        <v>0.99938341644431017</v>
      </c>
      <c r="Y119" s="44">
        <f ca="1">(IF(H119&gt;=Inputs!$E$16,1,IF(O119&lt;=Inputs!$C$46,Inputs!$D$46,IF(O119&lt;=Inputs!$C$47,Inputs!$D$47,Inputs!$D$48))))*((Inputs!$B$32+(T119-0.5)*2*Inputs!$B$53)/Inputs!$B$32)</f>
        <v>1.0036773758249817</v>
      </c>
      <c r="Z119" s="45">
        <f ca="1">ILP_A_CostFocused!$C$9*U119+ILP_A_CostFocused!$C$10*V119+ILP_A_CostFocused!$C$11*W119+ILP_A_CostFocused!$C$12*X119+ILP_A_CostFocused!$C$13*Y119</f>
        <v>18027.654803918893</v>
      </c>
      <c r="AA119" s="45">
        <f ca="1">ILP_A_CostFocused!$D$9*U119+ILP_A_CostFocused!$D$10*V119+ILP_A_CostFocused!$D$11*W119+ILP_A_CostFocused!$D$12*X119+ILP_A_CostFocused!$D$13*Y119</f>
        <v>15021.028687243926</v>
      </c>
      <c r="AB119" s="45">
        <f ca="1">ILP_A_CostFocused!$E$9*U119+ILP_A_CostFocused!$E$10*V119+ILP_A_CostFocused!$E$11*W119+ILP_A_CostFocused!$E$12*X119+ILP_A_CostFocused!$E$13*Y119</f>
        <v>12049.871122787517</v>
      </c>
      <c r="AC119" s="45">
        <f ca="1">Inputs!$B$6*$C119</f>
        <v>16200</v>
      </c>
      <c r="AD119" s="45">
        <f ca="1">Inputs!$B$7*$C119</f>
        <v>13500</v>
      </c>
      <c r="AE119" s="45">
        <f ca="1">Inputs!$B$8*$C119</f>
        <v>10800</v>
      </c>
      <c r="AF119" s="45">
        <f t="shared" ca="1" si="78"/>
        <v>0</v>
      </c>
      <c r="AG119" s="45">
        <f t="shared" ca="1" si="79"/>
        <v>0</v>
      </c>
      <c r="AH119" s="45">
        <f t="shared" ca="1" si="80"/>
        <v>0</v>
      </c>
      <c r="AI119" s="45">
        <f t="shared" ca="1" si="81"/>
        <v>0</v>
      </c>
      <c r="AJ119" s="45">
        <f ca="1">U119*(Inputs!$B$12-ILP_A_CostFocused!$F$9)+V119*(Inputs!$B$13-ILP_A_CostFocused!$F$10)+W119*(Inputs!$B$14-ILP_A_CostFocused!$F$11)+X119*(Inputs!$B$15-ILP_A_CostFocused!$F$12)+Y119*(Inputs!$B$16-ILP_A_CostFocused!$F$13)</f>
        <v>25051.806578442764</v>
      </c>
      <c r="AK119" s="45">
        <f t="shared" ca="1" si="82"/>
        <v>0</v>
      </c>
      <c r="AL119" s="45">
        <f t="shared" ca="1" si="83"/>
        <v>0</v>
      </c>
      <c r="AM119" s="45">
        <f t="shared" ca="1" si="84"/>
        <v>0</v>
      </c>
      <c r="AN119" s="45">
        <f t="shared" ca="1" si="85"/>
        <v>0</v>
      </c>
      <c r="AO119" s="45">
        <f ca="1">MIN(AL119,Inputs!$B$36)</f>
        <v>0</v>
      </c>
      <c r="AP119" s="45">
        <f ca="1">MIN(AN119,Inputs!$B$36-AO119)</f>
        <v>0</v>
      </c>
      <c r="AQ119" s="45">
        <f ca="1">MIN(AM119,Inputs!$B$36-AO119-AP119)</f>
        <v>0</v>
      </c>
      <c r="AR119" s="45">
        <f t="shared" ca="1" si="86"/>
        <v>0</v>
      </c>
      <c r="AS119" s="45">
        <f t="shared" ca="1" si="87"/>
        <v>0</v>
      </c>
      <c r="AT119" s="45">
        <f t="shared" ca="1" si="88"/>
        <v>0</v>
      </c>
      <c r="AU119" s="45">
        <f t="shared" ca="1" si="89"/>
        <v>0</v>
      </c>
      <c r="AV119" s="46">
        <f ca="1">AU119*Inputs!$B$35</f>
        <v>0</v>
      </c>
      <c r="AW119" s="46">
        <f ca="1">AR119*Inputs!$C$6+AT119*Inputs!$C$7+AS119*Inputs!$C$8</f>
        <v>0</v>
      </c>
      <c r="AX119" s="46">
        <f t="shared" ca="1" si="90"/>
        <v>47497189.636345163</v>
      </c>
      <c r="AY119" s="46">
        <f ca="1">IF(J119&gt;1,($CD$4)*Inputs!$B$55*((Z119+AA119+AB119)/(SUM(ILP_A_CostFocused!$C$9:$E$13))),0)</f>
        <v>0</v>
      </c>
      <c r="AZ119" s="46">
        <f t="shared" ca="1" si="91"/>
        <v>0</v>
      </c>
      <c r="BA119" s="41">
        <f t="shared" ca="1" si="92"/>
        <v>0</v>
      </c>
      <c r="BB119" s="41">
        <f t="shared" ca="1" si="93"/>
        <v>1</v>
      </c>
      <c r="BC119" s="41">
        <f t="shared" ca="1" si="94"/>
        <v>1</v>
      </c>
      <c r="BD119" s="41">
        <f t="shared" ca="1" si="95"/>
        <v>1</v>
      </c>
    </row>
    <row r="120" spans="1:56" ht="15" customHeight="1" x14ac:dyDescent="0.3">
      <c r="A120" s="41">
        <v>113</v>
      </c>
      <c r="B120" s="42">
        <f t="shared" ca="1" si="77"/>
        <v>0.10502785118708657</v>
      </c>
      <c r="C120" s="43">
        <f ca="1">IF(B120&lt;=Inputs!$C$40,Inputs!$D$40,IF(B120&lt;=Inputs!$C$41,Inputs!$D$41,Inputs!$D$42))</f>
        <v>0.9</v>
      </c>
      <c r="D120" s="42">
        <f t="shared" ca="1" si="98"/>
        <v>0.94921870593772084</v>
      </c>
      <c r="E120" s="42">
        <f t="shared" ca="1" si="98"/>
        <v>0.49030573762385221</v>
      </c>
      <c r="F120" s="42">
        <f t="shared" ca="1" si="98"/>
        <v>0.17895751738665</v>
      </c>
      <c r="G120" s="42">
        <f t="shared" ca="1" si="98"/>
        <v>0.64608755793368855</v>
      </c>
      <c r="H120" s="42">
        <f t="shared" ca="1" si="98"/>
        <v>0.59404124242459511</v>
      </c>
      <c r="I120" s="42">
        <f t="shared" ca="1" si="98"/>
        <v>0.28939148597530073</v>
      </c>
      <c r="J120" s="43">
        <f ca="1">IF(I120&lt;Inputs!$B$54,1+Inputs!$B$55,1)</f>
        <v>1</v>
      </c>
      <c r="K120" s="42">
        <f t="shared" ca="1" si="99"/>
        <v>0.83210968623840198</v>
      </c>
      <c r="L120" s="42">
        <f t="shared" ca="1" si="99"/>
        <v>0.22086793850127151</v>
      </c>
      <c r="M120" s="42">
        <f t="shared" ca="1" si="99"/>
        <v>0.40480353069601249</v>
      </c>
      <c r="N120" s="42">
        <f t="shared" ca="1" si="99"/>
        <v>0.38427236355069605</v>
      </c>
      <c r="O120" s="42">
        <f t="shared" ca="1" si="99"/>
        <v>1.3778627137621902E-2</v>
      </c>
      <c r="P120" s="42">
        <f t="shared" ca="1" si="99"/>
        <v>0.12588195914785305</v>
      </c>
      <c r="Q120" s="42">
        <f t="shared" ca="1" si="99"/>
        <v>0.18626047519700584</v>
      </c>
      <c r="R120" s="42">
        <f t="shared" ca="1" si="99"/>
        <v>0.64593230324499651</v>
      </c>
      <c r="S120" s="42">
        <f t="shared" ca="1" si="99"/>
        <v>0.39636626570764888</v>
      </c>
      <c r="T120" s="42">
        <f t="shared" ca="1" si="99"/>
        <v>0.66876160405896934</v>
      </c>
      <c r="U120" s="44">
        <f ca="1">(IF(D120&gt;=Inputs!$E$12,1,IF(K120&lt;=Inputs!$C$46,Inputs!$D$46,IF(K120&lt;=Inputs!$C$47,Inputs!$D$47,Inputs!$D$48))))*((Inputs!$B$28+(P120-0.5)*2*Inputs!$B$53)/Inputs!$B$28)</f>
        <v>0.9962133801533184</v>
      </c>
      <c r="V120" s="44">
        <f ca="1">(IF(E120&gt;=Inputs!$E$13,1,IF(L120&lt;=Inputs!$C$46,Inputs!$D$46,IF(L120&lt;=Inputs!$C$47,Inputs!$D$47,Inputs!$D$48))))*((Inputs!$B$29+(Q120-0.5)*2*Inputs!$B$53)/Inputs!$B$29)</f>
        <v>0.99683730317738917</v>
      </c>
      <c r="W120" s="44">
        <f ca="1">(IF(F120&gt;=Inputs!$E$14,1,IF(M120&lt;=Inputs!$C$46,Inputs!$D$46,IF(M120&lt;=Inputs!$C$47,Inputs!$D$47,Inputs!$D$48))))*((Inputs!$B$30+(R120-0.5)*2*Inputs!$B$53)/Inputs!$B$30)</f>
        <v>1.0014666563140202</v>
      </c>
      <c r="X120" s="44">
        <f ca="1">(IF(G120&gt;=Inputs!$E$15,1,IF(N120&lt;=Inputs!$C$46,Inputs!$D$46,IF(N120&lt;=Inputs!$C$47,Inputs!$D$47,Inputs!$D$48))))*((Inputs!$B$31+(S120-0.5)*2*Inputs!$B$53)/Inputs!$B$31)</f>
        <v>0.99894788087012842</v>
      </c>
      <c r="Y120" s="44">
        <f ca="1">(IF(H120&gt;=Inputs!$E$16,1,IF(O120&lt;=Inputs!$C$46,Inputs!$D$46,IF(O120&lt;=Inputs!$C$47,Inputs!$D$47,Inputs!$D$48))))*((Inputs!$B$32+(T120-0.5)*2*Inputs!$B$53)/Inputs!$B$32)</f>
        <v>1.0016978028577361</v>
      </c>
      <c r="Z120" s="45">
        <f ca="1">ILP_A_CostFocused!$C$9*U120+ILP_A_CostFocused!$C$10*V120+ILP_A_CostFocused!$C$11*W120+ILP_A_CostFocused!$C$12*X120+ILP_A_CostFocused!$C$13*Y120</f>
        <v>17961.428355727396</v>
      </c>
      <c r="AA120" s="45">
        <f ca="1">ILP_A_CostFocused!$D$9*U120+ILP_A_CostFocused!$D$10*V120+ILP_A_CostFocused!$D$11*W120+ILP_A_CostFocused!$D$12*X120+ILP_A_CostFocused!$D$13*Y120</f>
        <v>14977.766515527854</v>
      </c>
      <c r="AB120" s="45">
        <f ca="1">ILP_A_CostFocused!$E$9*U120+ILP_A_CostFocused!$E$10*V120+ILP_A_CostFocused!$E$11*W120+ILP_A_CostFocused!$E$12*X120+ILP_A_CostFocused!$E$13*Y120</f>
        <v>11957.55539235536</v>
      </c>
      <c r="AC120" s="45">
        <f ca="1">Inputs!$B$6*$C120</f>
        <v>16200</v>
      </c>
      <c r="AD120" s="45">
        <f ca="1">Inputs!$B$7*$C120</f>
        <v>13500</v>
      </c>
      <c r="AE120" s="45">
        <f ca="1">Inputs!$B$8*$C120</f>
        <v>10800</v>
      </c>
      <c r="AF120" s="45">
        <f t="shared" ca="1" si="78"/>
        <v>0</v>
      </c>
      <c r="AG120" s="45">
        <f t="shared" ca="1" si="79"/>
        <v>0</v>
      </c>
      <c r="AH120" s="45">
        <f t="shared" ca="1" si="80"/>
        <v>0</v>
      </c>
      <c r="AI120" s="45">
        <f t="shared" ca="1" si="81"/>
        <v>0</v>
      </c>
      <c r="AJ120" s="45">
        <f ca="1">U120*(Inputs!$B$12-ILP_A_CostFocused!$F$9)+V120*(Inputs!$B$13-ILP_A_CostFocused!$F$10)+W120*(Inputs!$B$14-ILP_A_CostFocused!$F$11)+X120*(Inputs!$B$15-ILP_A_CostFocused!$F$12)+Y120*(Inputs!$B$16-ILP_A_CostFocused!$F$13)</f>
        <v>25030.294208715775</v>
      </c>
      <c r="AK120" s="45">
        <f t="shared" ca="1" si="82"/>
        <v>0</v>
      </c>
      <c r="AL120" s="45">
        <f t="shared" ca="1" si="83"/>
        <v>0</v>
      </c>
      <c r="AM120" s="45">
        <f t="shared" ca="1" si="84"/>
        <v>0</v>
      </c>
      <c r="AN120" s="45">
        <f t="shared" ca="1" si="85"/>
        <v>0</v>
      </c>
      <c r="AO120" s="45">
        <f ca="1">MIN(AL120,Inputs!$B$36)</f>
        <v>0</v>
      </c>
      <c r="AP120" s="45">
        <f ca="1">MIN(AN120,Inputs!$B$36-AO120)</f>
        <v>0</v>
      </c>
      <c r="AQ120" s="45">
        <f ca="1">MIN(AM120,Inputs!$B$36-AO120-AP120)</f>
        <v>0</v>
      </c>
      <c r="AR120" s="45">
        <f t="shared" ca="1" si="86"/>
        <v>0</v>
      </c>
      <c r="AS120" s="45">
        <f t="shared" ca="1" si="87"/>
        <v>0</v>
      </c>
      <c r="AT120" s="45">
        <f t="shared" ca="1" si="88"/>
        <v>0</v>
      </c>
      <c r="AU120" s="45">
        <f t="shared" ca="1" si="89"/>
        <v>0</v>
      </c>
      <c r="AV120" s="46">
        <f ca="1">AU120*Inputs!$B$35</f>
        <v>0</v>
      </c>
      <c r="AW120" s="46">
        <f ca="1">AR120*Inputs!$C$6+AT120*Inputs!$C$7+AS120*Inputs!$C$8</f>
        <v>0</v>
      </c>
      <c r="AX120" s="46">
        <f t="shared" ca="1" si="90"/>
        <v>47283118.894057862</v>
      </c>
      <c r="AY120" s="46">
        <f ca="1">IF(J120&gt;1,($CD$4)*Inputs!$B$55*((Z120+AA120+AB120)/(SUM(ILP_A_CostFocused!$C$9:$E$13))),0)</f>
        <v>0</v>
      </c>
      <c r="AZ120" s="46">
        <f t="shared" ca="1" si="91"/>
        <v>0</v>
      </c>
      <c r="BA120" s="41">
        <f t="shared" ca="1" si="92"/>
        <v>0</v>
      </c>
      <c r="BB120" s="41">
        <f t="shared" ca="1" si="93"/>
        <v>1</v>
      </c>
      <c r="BC120" s="41">
        <f t="shared" ca="1" si="94"/>
        <v>1</v>
      </c>
      <c r="BD120" s="41">
        <f t="shared" ca="1" si="95"/>
        <v>1</v>
      </c>
    </row>
    <row r="121" spans="1:56" ht="15" customHeight="1" x14ac:dyDescent="0.3">
      <c r="A121" s="41">
        <v>114</v>
      </c>
      <c r="B121" s="42">
        <f t="shared" ca="1" si="77"/>
        <v>0.86449286583377616</v>
      </c>
      <c r="C121" s="43">
        <f ca="1">IF(B121&lt;=Inputs!$C$40,Inputs!$D$40,IF(B121&lt;=Inputs!$C$41,Inputs!$D$41,Inputs!$D$42))</f>
        <v>1.1499999999999999</v>
      </c>
      <c r="D121" s="42">
        <f t="shared" ca="1" si="98"/>
        <v>2.4230819507799706E-2</v>
      </c>
      <c r="E121" s="42">
        <f t="shared" ca="1" si="98"/>
        <v>0.89248651695257852</v>
      </c>
      <c r="F121" s="42">
        <f t="shared" ca="1" si="98"/>
        <v>3.7424885124712981E-2</v>
      </c>
      <c r="G121" s="42">
        <f t="shared" ca="1" si="98"/>
        <v>0.91239298759591358</v>
      </c>
      <c r="H121" s="42">
        <f t="shared" ca="1" si="98"/>
        <v>0.14209406003949188</v>
      </c>
      <c r="I121" s="42">
        <f t="shared" ca="1" si="98"/>
        <v>0.52237778109006339</v>
      </c>
      <c r="J121" s="43">
        <f ca="1">IF(I121&lt;Inputs!$B$54,1+Inputs!$B$55,1)</f>
        <v>1</v>
      </c>
      <c r="K121" s="42">
        <f t="shared" ca="1" si="99"/>
        <v>0.58451537232554385</v>
      </c>
      <c r="L121" s="42">
        <f t="shared" ca="1" si="99"/>
        <v>0.3150007796628389</v>
      </c>
      <c r="M121" s="42">
        <f t="shared" ca="1" si="99"/>
        <v>0.57869919244708745</v>
      </c>
      <c r="N121" s="42">
        <f t="shared" ca="1" si="99"/>
        <v>0.67305734709613407</v>
      </c>
      <c r="O121" s="42">
        <f t="shared" ca="1" si="99"/>
        <v>0.54825385564475038</v>
      </c>
      <c r="P121" s="42">
        <f t="shared" ca="1" si="99"/>
        <v>0.74597303698352224</v>
      </c>
      <c r="Q121" s="42">
        <f t="shared" ca="1" si="99"/>
        <v>0.53818666738689358</v>
      </c>
      <c r="R121" s="42">
        <f t="shared" ca="1" si="99"/>
        <v>0.9518292558147049</v>
      </c>
      <c r="S121" s="42">
        <f t="shared" ca="1" si="99"/>
        <v>0.64235833533642883</v>
      </c>
      <c r="T121" s="42">
        <f t="shared" ca="1" si="99"/>
        <v>0.87161489712328544</v>
      </c>
      <c r="U121" s="44">
        <f ca="1">(IF(D121&gt;=Inputs!$E$12,1,IF(K121&lt;=Inputs!$C$46,Inputs!$D$46,IF(K121&lt;=Inputs!$C$47,Inputs!$D$47,Inputs!$D$48))))*((Inputs!$B$28+(P121-0.5)*2*Inputs!$B$53)/Inputs!$B$28)</f>
        <v>0.30074688169124547</v>
      </c>
      <c r="V121" s="44">
        <f ca="1">(IF(E121&gt;=Inputs!$E$13,1,IF(L121&lt;=Inputs!$C$46,Inputs!$D$46,IF(L121&lt;=Inputs!$C$47,Inputs!$D$47,Inputs!$D$48))))*((Inputs!$B$29+(Q121-0.5)*2*Inputs!$B$53)/Inputs!$B$29)</f>
        <v>1.0003849462438195</v>
      </c>
      <c r="W121" s="44">
        <f ca="1">(IF(F121&gt;=Inputs!$E$14,1,IF(M121&lt;=Inputs!$C$46,Inputs!$D$46,IF(M121&lt;=Inputs!$C$47,Inputs!$D$47,Inputs!$D$48))))*((Inputs!$B$30+(R121-0.5)*2*Inputs!$B$53)/Inputs!$B$30)</f>
        <v>0.3013622992637629</v>
      </c>
      <c r="X121" s="44">
        <f ca="1">(IF(G121&gt;=Inputs!$E$15,1,IF(N121&lt;=Inputs!$C$46,Inputs!$D$46,IF(N121&lt;=Inputs!$C$47,Inputs!$D$47,Inputs!$D$48))))*((Inputs!$B$31+(S121-0.5)*2*Inputs!$B$53)/Inputs!$B$31)</f>
        <v>1.0014452622876795</v>
      </c>
      <c r="Y121" s="44">
        <f ca="1">(IF(H121&gt;=Inputs!$E$16,1,IF(O121&lt;=Inputs!$C$46,Inputs!$D$46,IF(O121&lt;=Inputs!$C$47,Inputs!$D$47,Inputs!$D$48))))*((Inputs!$B$32+(T121-0.5)*2*Inputs!$B$53)/Inputs!$B$32)</f>
        <v>1.0037385804539567</v>
      </c>
      <c r="Z121" s="45">
        <f ca="1">ILP_A_CostFocused!$C$9*U121+ILP_A_CostFocused!$C$10*V121+ILP_A_CostFocused!$C$11*W121+ILP_A_CostFocused!$C$12*X121+ILP_A_CostFocused!$C$13*Y121</f>
        <v>13042.554530564534</v>
      </c>
      <c r="AA121" s="45">
        <f ca="1">ILP_A_CostFocused!$D$9*U121+ILP_A_CostFocused!$D$10*V121+ILP_A_CostFocused!$D$11*W121+ILP_A_CostFocused!$D$12*X121+ILP_A_CostFocused!$D$13*Y121</f>
        <v>11525.722934061348</v>
      </c>
      <c r="AB121" s="45">
        <f ca="1">ILP_A_CostFocused!$E$9*U121+ILP_A_CostFocused!$E$10*V121+ILP_A_CostFocused!$E$11*W121+ILP_A_CostFocused!$E$12*X121+ILP_A_CostFocused!$E$13*Y121</f>
        <v>6967.2252901473003</v>
      </c>
      <c r="AC121" s="45">
        <f ca="1">Inputs!$B$6*$C121</f>
        <v>20700</v>
      </c>
      <c r="AD121" s="45">
        <f ca="1">Inputs!$B$7*$C121</f>
        <v>17250</v>
      </c>
      <c r="AE121" s="45">
        <f ca="1">Inputs!$B$8*$C121</f>
        <v>13799.999999999998</v>
      </c>
      <c r="AF121" s="45">
        <f t="shared" ca="1" si="78"/>
        <v>7657.4454694354663</v>
      </c>
      <c r="AG121" s="45">
        <f t="shared" ca="1" si="79"/>
        <v>5724.2770659386515</v>
      </c>
      <c r="AH121" s="45">
        <f t="shared" ca="1" si="80"/>
        <v>6832.7747098526979</v>
      </c>
      <c r="AI121" s="45">
        <f t="shared" ca="1" si="81"/>
        <v>20214.497245226816</v>
      </c>
      <c r="AJ121" s="45">
        <f ca="1">U121*(Inputs!$B$12-ILP_A_CostFocused!$F$9)+V121*(Inputs!$B$13-ILP_A_CostFocused!$F$10)+W121*(Inputs!$B$14-ILP_A_CostFocused!$F$11)+X121*(Inputs!$B$15-ILP_A_CostFocused!$F$12)+Y121*(Inputs!$B$16-ILP_A_CostFocused!$F$13)</f>
        <v>18272.96834439064</v>
      </c>
      <c r="AK121" s="45">
        <f t="shared" ca="1" si="82"/>
        <v>18272.96834439064</v>
      </c>
      <c r="AL121" s="45">
        <f t="shared" ca="1" si="83"/>
        <v>735.46977226933132</v>
      </c>
      <c r="AM121" s="45">
        <f t="shared" ca="1" si="84"/>
        <v>549.79598181883421</v>
      </c>
      <c r="AN121" s="45">
        <f t="shared" ca="1" si="85"/>
        <v>656.26314674800983</v>
      </c>
      <c r="AO121" s="45">
        <f ca="1">MIN(AL121,Inputs!$B$36)</f>
        <v>735.46977226933132</v>
      </c>
      <c r="AP121" s="45">
        <f ca="1">MIN(AN121,Inputs!$B$36-AO121)</f>
        <v>656.26314674800983</v>
      </c>
      <c r="AQ121" s="45">
        <f ca="1">MIN(AM121,Inputs!$B$36-AO121-AP121)</f>
        <v>549.79598181883421</v>
      </c>
      <c r="AR121" s="45">
        <f t="shared" ca="1" si="86"/>
        <v>0</v>
      </c>
      <c r="AS121" s="45">
        <f t="shared" ca="1" si="87"/>
        <v>0</v>
      </c>
      <c r="AT121" s="45">
        <f t="shared" ca="1" si="88"/>
        <v>0</v>
      </c>
      <c r="AU121" s="45">
        <f t="shared" ca="1" si="89"/>
        <v>1941.5289008361754</v>
      </c>
      <c r="AV121" s="46">
        <f ca="1">AU121*Inputs!$B$35</f>
        <v>3009369.7962960717</v>
      </c>
      <c r="AW121" s="46">
        <f ca="1">AR121*Inputs!$C$6+AT121*Inputs!$C$7+AS121*Inputs!$C$8</f>
        <v>0</v>
      </c>
      <c r="AX121" s="46">
        <f t="shared" ca="1" si="90"/>
        <v>33157102.612590298</v>
      </c>
      <c r="AY121" s="46">
        <f ca="1">IF(J121&gt;1,($CD$4)*Inputs!$B$55*((Z121+AA121+AB121)/(SUM(ILP_A_CostFocused!$C$9:$E$13))),0)</f>
        <v>0</v>
      </c>
      <c r="AZ121" s="46">
        <f t="shared" ca="1" si="91"/>
        <v>3009369.7962960717</v>
      </c>
      <c r="BA121" s="41">
        <f t="shared" ca="1" si="92"/>
        <v>0</v>
      </c>
      <c r="BB121" s="41">
        <f t="shared" ca="1" si="93"/>
        <v>1</v>
      </c>
      <c r="BC121" s="41">
        <f t="shared" ca="1" si="94"/>
        <v>1</v>
      </c>
      <c r="BD121" s="41">
        <f t="shared" ca="1" si="95"/>
        <v>1</v>
      </c>
    </row>
    <row r="122" spans="1:56" ht="15" customHeight="1" x14ac:dyDescent="0.3">
      <c r="A122" s="41">
        <v>115</v>
      </c>
      <c r="B122" s="42">
        <f t="shared" ca="1" si="77"/>
        <v>0.22574158364741359</v>
      </c>
      <c r="C122" s="43">
        <f ca="1">IF(B122&lt;=Inputs!$C$40,Inputs!$D$40,IF(B122&lt;=Inputs!$C$41,Inputs!$D$41,Inputs!$D$42))</f>
        <v>1</v>
      </c>
      <c r="D122" s="42">
        <f t="shared" ca="1" si="98"/>
        <v>0.39944493049591323</v>
      </c>
      <c r="E122" s="42">
        <f t="shared" ca="1" si="98"/>
        <v>0.72273116792862124</v>
      </c>
      <c r="F122" s="42">
        <f t="shared" ca="1" si="98"/>
        <v>0.54494610328248794</v>
      </c>
      <c r="G122" s="42">
        <f t="shared" ca="1" si="98"/>
        <v>0.6553572311868755</v>
      </c>
      <c r="H122" s="42">
        <f t="shared" ca="1" si="98"/>
        <v>0.40668147857486436</v>
      </c>
      <c r="I122" s="42">
        <f t="shared" ca="1" si="98"/>
        <v>0.87640176990588781</v>
      </c>
      <c r="J122" s="43">
        <f ca="1">IF(I122&lt;Inputs!$B$54,1+Inputs!$B$55,1)</f>
        <v>1</v>
      </c>
      <c r="K122" s="42">
        <f t="shared" ca="1" si="99"/>
        <v>0.97616299161290943</v>
      </c>
      <c r="L122" s="42">
        <f t="shared" ca="1" si="99"/>
        <v>0.45749870614407118</v>
      </c>
      <c r="M122" s="42">
        <f t="shared" ca="1" si="99"/>
        <v>0.31320657787208428</v>
      </c>
      <c r="N122" s="42">
        <f t="shared" ca="1" si="99"/>
        <v>0.3817388994900125</v>
      </c>
      <c r="O122" s="42">
        <f t="shared" ca="1" si="99"/>
        <v>0.26550769345531777</v>
      </c>
      <c r="P122" s="42">
        <f t="shared" ca="1" si="99"/>
        <v>0.19622072309709748</v>
      </c>
      <c r="Q122" s="42">
        <f t="shared" ca="1" si="99"/>
        <v>0.50168205627951223</v>
      </c>
      <c r="R122" s="42">
        <f t="shared" ca="1" si="99"/>
        <v>0.63514005941115648</v>
      </c>
      <c r="S122" s="42">
        <f t="shared" ca="1" si="99"/>
        <v>0.31466574715546292</v>
      </c>
      <c r="T122" s="42">
        <f t="shared" ca="1" si="99"/>
        <v>0.45060194222772298</v>
      </c>
      <c r="U122" s="44">
        <f ca="1">(IF(D122&gt;=Inputs!$E$12,1,IF(K122&lt;=Inputs!$C$46,Inputs!$D$46,IF(K122&lt;=Inputs!$C$47,Inputs!$D$47,Inputs!$D$48))))*((Inputs!$B$28+(P122-0.5)*2*Inputs!$B$53)/Inputs!$B$28)</f>
        <v>0.99692531096252124</v>
      </c>
      <c r="V122" s="44">
        <f ca="1">(IF(E122&gt;=Inputs!$E$13,1,IF(L122&lt;=Inputs!$C$46,Inputs!$D$46,IF(L122&lt;=Inputs!$C$47,Inputs!$D$47,Inputs!$D$48))))*((Inputs!$B$29+(Q122-0.5)*2*Inputs!$B$53)/Inputs!$B$29)</f>
        <v>1.0000169562124952</v>
      </c>
      <c r="W122" s="44">
        <f ca="1">(IF(F122&gt;=Inputs!$E$14,1,IF(M122&lt;=Inputs!$C$46,Inputs!$D$46,IF(M122&lt;=Inputs!$C$47,Inputs!$D$47,Inputs!$D$48))))*((Inputs!$B$30+(R122-0.5)*2*Inputs!$B$53)/Inputs!$B$30)</f>
        <v>1.001358191551871</v>
      </c>
      <c r="X122" s="44">
        <f ca="1">(IF(G122&gt;=Inputs!$E$15,1,IF(N122&lt;=Inputs!$C$46,Inputs!$D$46,IF(N122&lt;=Inputs!$C$47,Inputs!$D$47,Inputs!$D$48))))*((Inputs!$B$31+(S122-0.5)*2*Inputs!$B$53)/Inputs!$B$31)</f>
        <v>0.99811843398127376</v>
      </c>
      <c r="Y122" s="44">
        <f ca="1">(IF(H122&gt;=Inputs!$E$16,1,IF(O122&lt;=Inputs!$C$46,Inputs!$D$46,IF(O122&lt;=Inputs!$C$47,Inputs!$D$47,Inputs!$D$48))))*((Inputs!$B$32+(T122-0.5)*2*Inputs!$B$53)/Inputs!$B$32)</f>
        <v>0.99950303764816628</v>
      </c>
      <c r="Z122" s="45">
        <f ca="1">ILP_A_CostFocused!$C$9*U122+ILP_A_CostFocused!$C$10*V122+ILP_A_CostFocused!$C$11*W122+ILP_A_CostFocused!$C$12*X122+ILP_A_CostFocused!$C$13*Y122</f>
        <v>17957.813390709907</v>
      </c>
      <c r="AA122" s="45">
        <f ca="1">ILP_A_CostFocused!$D$9*U122+ILP_A_CostFocused!$D$10*V122+ILP_A_CostFocused!$D$11*W122+ILP_A_CostFocused!$D$12*X122+ILP_A_CostFocused!$D$13*Y122</f>
        <v>15004.997202501674</v>
      </c>
      <c r="AB122" s="45">
        <f ca="1">ILP_A_CostFocused!$E$9*U122+ILP_A_CostFocused!$E$10*V122+ILP_A_CostFocused!$E$11*W122+ILP_A_CostFocused!$E$12*X122+ILP_A_CostFocused!$E$13*Y122</f>
        <v>11977.94362875013</v>
      </c>
      <c r="AC122" s="45">
        <f ca="1">Inputs!$B$6*$C122</f>
        <v>18000</v>
      </c>
      <c r="AD122" s="45">
        <f ca="1">Inputs!$B$7*$C122</f>
        <v>15000</v>
      </c>
      <c r="AE122" s="45">
        <f ca="1">Inputs!$B$8*$C122</f>
        <v>12000</v>
      </c>
      <c r="AF122" s="45">
        <f t="shared" ca="1" si="78"/>
        <v>42.186609290092747</v>
      </c>
      <c r="AG122" s="45">
        <f t="shared" ca="1" si="79"/>
        <v>0</v>
      </c>
      <c r="AH122" s="45">
        <f t="shared" ca="1" si="80"/>
        <v>22.056371249869699</v>
      </c>
      <c r="AI122" s="45">
        <f t="shared" ca="1" si="81"/>
        <v>64.242980539962446</v>
      </c>
      <c r="AJ122" s="45">
        <f ca="1">U122*(Inputs!$B$12-ILP_A_CostFocused!$F$9)+V122*(Inputs!$B$13-ILP_A_CostFocused!$F$10)+W122*(Inputs!$B$14-ILP_A_CostFocused!$F$11)+X122*(Inputs!$B$15-ILP_A_CostFocused!$F$12)+Y122*(Inputs!$B$16-ILP_A_CostFocused!$F$13)</f>
        <v>24997.911403085665</v>
      </c>
      <c r="AK122" s="45">
        <f t="shared" ca="1" si="82"/>
        <v>64.242980539962446</v>
      </c>
      <c r="AL122" s="45">
        <f t="shared" ca="1" si="83"/>
        <v>0</v>
      </c>
      <c r="AM122" s="45">
        <f t="shared" ca="1" si="84"/>
        <v>0</v>
      </c>
      <c r="AN122" s="45">
        <f t="shared" ca="1" si="85"/>
        <v>0</v>
      </c>
      <c r="AO122" s="45">
        <f ca="1">MIN(AL122,Inputs!$B$36)</f>
        <v>0</v>
      </c>
      <c r="AP122" s="45">
        <f ca="1">MIN(AN122,Inputs!$B$36-AO122)</f>
        <v>0</v>
      </c>
      <c r="AQ122" s="45">
        <f ca="1">MIN(AM122,Inputs!$B$36-AO122-AP122)</f>
        <v>0</v>
      </c>
      <c r="AR122" s="45">
        <f t="shared" ca="1" si="86"/>
        <v>0</v>
      </c>
      <c r="AS122" s="45">
        <f t="shared" ca="1" si="87"/>
        <v>0</v>
      </c>
      <c r="AT122" s="45">
        <f t="shared" ca="1" si="88"/>
        <v>0</v>
      </c>
      <c r="AU122" s="45">
        <f t="shared" ca="1" si="89"/>
        <v>0</v>
      </c>
      <c r="AV122" s="46">
        <f ca="1">AU122*Inputs!$B$35</f>
        <v>0</v>
      </c>
      <c r="AW122" s="46">
        <f ca="1">AR122*Inputs!$C$6+AT122*Inputs!$C$7+AS122*Inputs!$C$8</f>
        <v>0</v>
      </c>
      <c r="AX122" s="46">
        <f t="shared" ca="1" si="90"/>
        <v>47330221.601222664</v>
      </c>
      <c r="AY122" s="46">
        <f ca="1">IF(J122&gt;1,($CD$4)*Inputs!$B$55*((Z122+AA122+AB122)/(SUM(ILP_A_CostFocused!$C$9:$E$13))),0)</f>
        <v>0</v>
      </c>
      <c r="AZ122" s="46">
        <f t="shared" ca="1" si="91"/>
        <v>0</v>
      </c>
      <c r="BA122" s="41">
        <f t="shared" ca="1" si="92"/>
        <v>0</v>
      </c>
      <c r="BB122" s="41">
        <f t="shared" ca="1" si="93"/>
        <v>1</v>
      </c>
      <c r="BC122" s="41">
        <f t="shared" ca="1" si="94"/>
        <v>1</v>
      </c>
      <c r="BD122" s="41">
        <f t="shared" ca="1" si="95"/>
        <v>1</v>
      </c>
    </row>
    <row r="123" spans="1:56" ht="15" customHeight="1" x14ac:dyDescent="0.3">
      <c r="A123" s="41">
        <v>116</v>
      </c>
      <c r="B123" s="42">
        <f t="shared" ca="1" si="77"/>
        <v>0.29043549208683961</v>
      </c>
      <c r="C123" s="43">
        <f ca="1">IF(B123&lt;=Inputs!$C$40,Inputs!$D$40,IF(B123&lt;=Inputs!$C$41,Inputs!$D$41,Inputs!$D$42))</f>
        <v>1</v>
      </c>
      <c r="D123" s="42">
        <f t="shared" ca="1" si="98"/>
        <v>0.88752209267971338</v>
      </c>
      <c r="E123" s="42">
        <f t="shared" ca="1" si="98"/>
        <v>0.29781000985728401</v>
      </c>
      <c r="F123" s="42">
        <f t="shared" ca="1" si="98"/>
        <v>0.68308803089242887</v>
      </c>
      <c r="G123" s="42">
        <f t="shared" ca="1" si="98"/>
        <v>0.35574786844755701</v>
      </c>
      <c r="H123" s="42">
        <f t="shared" ca="1" si="98"/>
        <v>0.28446273320926507</v>
      </c>
      <c r="I123" s="42">
        <f t="shared" ca="1" si="98"/>
        <v>0.88834280030637958</v>
      </c>
      <c r="J123" s="43">
        <f ca="1">IF(I123&lt;Inputs!$B$54,1+Inputs!$B$55,1)</f>
        <v>1</v>
      </c>
      <c r="K123" s="42">
        <f t="shared" ca="1" si="99"/>
        <v>0.80827633124602372</v>
      </c>
      <c r="L123" s="42">
        <f t="shared" ca="1" si="99"/>
        <v>0.16896088539610687</v>
      </c>
      <c r="M123" s="42">
        <f t="shared" ca="1" si="99"/>
        <v>0.78036227035137051</v>
      </c>
      <c r="N123" s="42">
        <f t="shared" ca="1" si="99"/>
        <v>0.41897464338722779</v>
      </c>
      <c r="O123" s="42">
        <f t="shared" ca="1" si="99"/>
        <v>0.75895830821229893</v>
      </c>
      <c r="P123" s="42">
        <f t="shared" ca="1" si="99"/>
        <v>0.8381000629277835</v>
      </c>
      <c r="Q123" s="42">
        <f t="shared" ca="1" si="99"/>
        <v>0.25638287215607158</v>
      </c>
      <c r="R123" s="42">
        <f t="shared" ca="1" si="99"/>
        <v>0.81023158993974365</v>
      </c>
      <c r="S123" s="42">
        <f t="shared" ca="1" si="99"/>
        <v>0.67733909919008484</v>
      </c>
      <c r="T123" s="42">
        <f t="shared" ca="1" si="99"/>
        <v>0.69149637404681896</v>
      </c>
      <c r="U123" s="44">
        <f ca="1">(IF(D123&gt;=Inputs!$E$12,1,IF(K123&lt;=Inputs!$C$46,Inputs!$D$46,IF(K123&lt;=Inputs!$C$47,Inputs!$D$47,Inputs!$D$48))))*((Inputs!$B$28+(P123-0.5)*2*Inputs!$B$53)/Inputs!$B$28)</f>
        <v>1.0034220654142487</v>
      </c>
      <c r="V123" s="44">
        <f ca="1">(IF(E123&gt;=Inputs!$E$13,1,IF(L123&lt;=Inputs!$C$46,Inputs!$D$46,IF(L123&lt;=Inputs!$C$47,Inputs!$D$47,Inputs!$D$48))))*((Inputs!$B$29+(Q123-0.5)*2*Inputs!$B$53)/Inputs!$B$29)</f>
        <v>0.99754418217899266</v>
      </c>
      <c r="W123" s="44">
        <f ca="1">(IF(F123&gt;=Inputs!$E$14,1,IF(M123&lt;=Inputs!$C$46,Inputs!$D$46,IF(M123&lt;=Inputs!$C$47,Inputs!$D$47,Inputs!$D$48))))*((Inputs!$B$30+(R123-0.5)*2*Inputs!$B$53)/Inputs!$B$30)</f>
        <v>1.00311790542653</v>
      </c>
      <c r="X123" s="44">
        <f ca="1">(IF(G123&gt;=Inputs!$E$15,1,IF(N123&lt;=Inputs!$C$46,Inputs!$D$46,IF(N123&lt;=Inputs!$C$47,Inputs!$D$47,Inputs!$D$48))))*((Inputs!$B$31+(S123-0.5)*2*Inputs!$B$53)/Inputs!$B$31)</f>
        <v>1.0018003969460922</v>
      </c>
      <c r="Y123" s="44">
        <f ca="1">(IF(H123&gt;=Inputs!$E$16,1,IF(O123&lt;=Inputs!$C$46,Inputs!$D$46,IF(O123&lt;=Inputs!$C$47,Inputs!$D$47,Inputs!$D$48))))*((Inputs!$B$32+(T123-0.5)*2*Inputs!$B$53)/Inputs!$B$32)</f>
        <v>1.0019265228777345</v>
      </c>
      <c r="Z123" s="45">
        <f ca="1">ILP_A_CostFocused!$C$9*U123+ILP_A_CostFocused!$C$10*V123+ILP_A_CostFocused!$C$11*W123+ILP_A_CostFocused!$C$12*X123+ILP_A_CostFocused!$C$13*Y123</f>
        <v>18043.565904275682</v>
      </c>
      <c r="AA123" s="45">
        <f ca="1">ILP_A_CostFocused!$D$9*U123+ILP_A_CostFocused!$D$10*V123+ILP_A_CostFocused!$D$11*W123+ILP_A_CostFocused!$D$12*X123+ILP_A_CostFocused!$D$13*Y123</f>
        <v>14995.261213520067</v>
      </c>
      <c r="AB123" s="45">
        <f ca="1">ILP_A_CostFocused!$E$9*U123+ILP_A_CostFocused!$E$10*V123+ILP_A_CostFocused!$E$11*W123+ILP_A_CostFocused!$E$12*X123+ILP_A_CostFocused!$E$13*Y123</f>
        <v>12012.850945441754</v>
      </c>
      <c r="AC123" s="45">
        <f ca="1">Inputs!$B$6*$C123</f>
        <v>18000</v>
      </c>
      <c r="AD123" s="45">
        <f ca="1">Inputs!$B$7*$C123</f>
        <v>15000</v>
      </c>
      <c r="AE123" s="45">
        <f ca="1">Inputs!$B$8*$C123</f>
        <v>12000</v>
      </c>
      <c r="AF123" s="45">
        <f t="shared" ca="1" si="78"/>
        <v>0</v>
      </c>
      <c r="AG123" s="45">
        <f t="shared" ca="1" si="79"/>
        <v>4.7387864799329691</v>
      </c>
      <c r="AH123" s="45">
        <f t="shared" ca="1" si="80"/>
        <v>0</v>
      </c>
      <c r="AI123" s="45">
        <f t="shared" ca="1" si="81"/>
        <v>4.7387864799329691</v>
      </c>
      <c r="AJ123" s="45">
        <f ca="1">U123*(Inputs!$B$12-ILP_A_CostFocused!$F$9)+V123*(Inputs!$B$13-ILP_A_CostFocused!$F$10)+W123*(Inputs!$B$14-ILP_A_CostFocused!$F$11)+X123*(Inputs!$B$15-ILP_A_CostFocused!$F$12)+Y123*(Inputs!$B$16-ILP_A_CostFocused!$F$13)</f>
        <v>25059.728910960384</v>
      </c>
      <c r="AK123" s="45">
        <f t="shared" ca="1" si="82"/>
        <v>4.7387864799329691</v>
      </c>
      <c r="AL123" s="45">
        <f t="shared" ca="1" si="83"/>
        <v>0</v>
      </c>
      <c r="AM123" s="45">
        <f t="shared" ca="1" si="84"/>
        <v>0</v>
      </c>
      <c r="AN123" s="45">
        <f t="shared" ca="1" si="85"/>
        <v>0</v>
      </c>
      <c r="AO123" s="45">
        <f ca="1">MIN(AL123,Inputs!$B$36)</f>
        <v>0</v>
      </c>
      <c r="AP123" s="45">
        <f ca="1">MIN(AN123,Inputs!$B$36-AO123)</f>
        <v>0</v>
      </c>
      <c r="AQ123" s="45">
        <f ca="1">MIN(AM123,Inputs!$B$36-AO123-AP123)</f>
        <v>0</v>
      </c>
      <c r="AR123" s="45">
        <f t="shared" ca="1" si="86"/>
        <v>0</v>
      </c>
      <c r="AS123" s="45">
        <f t="shared" ca="1" si="87"/>
        <v>0</v>
      </c>
      <c r="AT123" s="45">
        <f t="shared" ca="1" si="88"/>
        <v>0</v>
      </c>
      <c r="AU123" s="45">
        <f t="shared" ca="1" si="89"/>
        <v>0</v>
      </c>
      <c r="AV123" s="46">
        <f ca="1">AU123*Inputs!$B$35</f>
        <v>0</v>
      </c>
      <c r="AW123" s="46">
        <f ca="1">AR123*Inputs!$C$6+AT123*Inputs!$C$7+AS123*Inputs!$C$8</f>
        <v>0</v>
      </c>
      <c r="AX123" s="46">
        <f t="shared" ca="1" si="90"/>
        <v>47446255.849763386</v>
      </c>
      <c r="AY123" s="46">
        <f ca="1">IF(J123&gt;1,($CD$4)*Inputs!$B$55*((Z123+AA123+AB123)/(SUM(ILP_A_CostFocused!$C$9:$E$13))),0)</f>
        <v>0</v>
      </c>
      <c r="AZ123" s="46">
        <f t="shared" ca="1" si="91"/>
        <v>0</v>
      </c>
      <c r="BA123" s="41">
        <f t="shared" ca="1" si="92"/>
        <v>0</v>
      </c>
      <c r="BB123" s="41">
        <f t="shared" ca="1" si="93"/>
        <v>1</v>
      </c>
      <c r="BC123" s="41">
        <f t="shared" ca="1" si="94"/>
        <v>1</v>
      </c>
      <c r="BD123" s="41">
        <f t="shared" ca="1" si="95"/>
        <v>1</v>
      </c>
    </row>
    <row r="124" spans="1:56" ht="15" customHeight="1" x14ac:dyDescent="0.3">
      <c r="A124" s="41">
        <v>117</v>
      </c>
      <c r="B124" s="42">
        <f t="shared" ca="1" si="77"/>
        <v>0.28321890059188792</v>
      </c>
      <c r="C124" s="43">
        <f ca="1">IF(B124&lt;=Inputs!$C$40,Inputs!$D$40,IF(B124&lt;=Inputs!$C$41,Inputs!$D$41,Inputs!$D$42))</f>
        <v>1</v>
      </c>
      <c r="D124" s="42">
        <f t="shared" ca="1" si="98"/>
        <v>0.61598925003250338</v>
      </c>
      <c r="E124" s="42">
        <f t="shared" ca="1" si="98"/>
        <v>0.66313067303758211</v>
      </c>
      <c r="F124" s="42">
        <f t="shared" ca="1" si="98"/>
        <v>0.17901617673833903</v>
      </c>
      <c r="G124" s="42">
        <f t="shared" ca="1" si="98"/>
        <v>0.42352699269445881</v>
      </c>
      <c r="H124" s="42">
        <f t="shared" ca="1" si="98"/>
        <v>8.4757319510618379E-2</v>
      </c>
      <c r="I124" s="42">
        <f t="shared" ca="1" si="98"/>
        <v>0.20301864396279379</v>
      </c>
      <c r="J124" s="43">
        <f ca="1">IF(I124&lt;Inputs!$B$54,1+Inputs!$B$55,1)</f>
        <v>1</v>
      </c>
      <c r="K124" s="42">
        <f t="shared" ca="1" si="99"/>
        <v>0.41111612191717861</v>
      </c>
      <c r="L124" s="42">
        <f t="shared" ca="1" si="99"/>
        <v>0.30961828340297093</v>
      </c>
      <c r="M124" s="42">
        <f t="shared" ca="1" si="99"/>
        <v>0.85007786416978748</v>
      </c>
      <c r="N124" s="42">
        <f t="shared" ca="1" si="99"/>
        <v>0.47989528190313357</v>
      </c>
      <c r="O124" s="42">
        <f t="shared" ca="1" si="99"/>
        <v>0.6048455365870562</v>
      </c>
      <c r="P124" s="42">
        <f t="shared" ca="1" si="99"/>
        <v>4.347892357558325E-2</v>
      </c>
      <c r="Q124" s="42">
        <f t="shared" ca="1" si="99"/>
        <v>0.23734655188067966</v>
      </c>
      <c r="R124" s="42">
        <f t="shared" ca="1" si="99"/>
        <v>0.77882439216291321</v>
      </c>
      <c r="S124" s="42">
        <f t="shared" ca="1" si="99"/>
        <v>0.47604927032768163</v>
      </c>
      <c r="T124" s="42">
        <f t="shared" ca="1" si="99"/>
        <v>0.35641214924808651</v>
      </c>
      <c r="U124" s="44">
        <f ca="1">(IF(D124&gt;=Inputs!$E$12,1,IF(K124&lt;=Inputs!$C$46,Inputs!$D$46,IF(K124&lt;=Inputs!$C$47,Inputs!$D$47,Inputs!$D$48))))*((Inputs!$B$28+(P124-0.5)*2*Inputs!$B$53)/Inputs!$B$28)</f>
        <v>0.99537934133173667</v>
      </c>
      <c r="V124" s="44">
        <f ca="1">(IF(E124&gt;=Inputs!$E$13,1,IF(L124&lt;=Inputs!$C$46,Inputs!$D$46,IF(L124&lt;=Inputs!$C$47,Inputs!$D$47,Inputs!$D$48))))*((Inputs!$B$29+(Q124-0.5)*2*Inputs!$B$53)/Inputs!$B$29)</f>
        <v>0.99735228378911978</v>
      </c>
      <c r="W124" s="44">
        <f ca="1">(IF(F124&gt;=Inputs!$E$14,1,IF(M124&lt;=Inputs!$C$46,Inputs!$D$46,IF(M124&lt;=Inputs!$C$47,Inputs!$D$47,Inputs!$D$48))))*((Inputs!$B$30+(R124-0.5)*2*Inputs!$B$53)/Inputs!$B$30)</f>
        <v>1.0028022551976172</v>
      </c>
      <c r="X124" s="44">
        <f ca="1">(IF(G124&gt;=Inputs!$E$15,1,IF(N124&lt;=Inputs!$C$46,Inputs!$D$46,IF(N124&lt;=Inputs!$C$47,Inputs!$D$47,Inputs!$D$48))))*((Inputs!$B$31+(S124-0.5)*2*Inputs!$B$53)/Inputs!$B$31)</f>
        <v>0.99975684538403742</v>
      </c>
      <c r="Y124" s="44">
        <f ca="1">(IF(H124&gt;=Inputs!$E$16,1,IF(O124&lt;=Inputs!$C$46,Inputs!$D$46,IF(O124&lt;=Inputs!$C$47,Inputs!$D$47,Inputs!$D$48))))*((Inputs!$B$32+(T124-0.5)*2*Inputs!$B$53)/Inputs!$B$32)</f>
        <v>0.99855545421778757</v>
      </c>
      <c r="Z124" s="45">
        <f ca="1">ILP_A_CostFocused!$C$9*U124+ILP_A_CostFocused!$C$10*V124+ILP_A_CostFocused!$C$11*W124+ILP_A_CostFocused!$C$12*X124+ILP_A_CostFocused!$C$13*Y124</f>
        <v>17964.278806672359</v>
      </c>
      <c r="AA124" s="45">
        <f ca="1">ILP_A_CostFocused!$D$9*U124+ILP_A_CostFocused!$D$10*V124+ILP_A_CostFocused!$D$11*W124+ILP_A_CostFocused!$D$12*X124+ILP_A_CostFocused!$D$13*Y124</f>
        <v>14989.877767277931</v>
      </c>
      <c r="AB124" s="45">
        <f ca="1">ILP_A_CostFocused!$E$9*U124+ILP_A_CostFocused!$E$10*V124+ILP_A_CostFocused!$E$11*W124+ILP_A_CostFocused!$E$12*X124+ILP_A_CostFocused!$E$13*Y124</f>
        <v>11954.02221977628</v>
      </c>
      <c r="AC124" s="45">
        <f ca="1">Inputs!$B$6*$C124</f>
        <v>18000</v>
      </c>
      <c r="AD124" s="45">
        <f ca="1">Inputs!$B$7*$C124</f>
        <v>15000</v>
      </c>
      <c r="AE124" s="45">
        <f ca="1">Inputs!$B$8*$C124</f>
        <v>12000</v>
      </c>
      <c r="AF124" s="45">
        <f t="shared" ca="1" si="78"/>
        <v>35.721193327641231</v>
      </c>
      <c r="AG124" s="45">
        <f t="shared" ca="1" si="79"/>
        <v>10.122232722069384</v>
      </c>
      <c r="AH124" s="45">
        <f t="shared" ca="1" si="80"/>
        <v>45.977780223720401</v>
      </c>
      <c r="AI124" s="45">
        <f t="shared" ca="1" si="81"/>
        <v>91.821206273431017</v>
      </c>
      <c r="AJ124" s="45">
        <f ca="1">U124*(Inputs!$B$12-ILP_A_CostFocused!$F$9)+V124*(Inputs!$B$13-ILP_A_CostFocused!$F$10)+W124*(Inputs!$B$14-ILP_A_CostFocused!$F$11)+X124*(Inputs!$B$15-ILP_A_CostFocused!$F$12)+Y124*(Inputs!$B$16-ILP_A_CostFocused!$F$13)</f>
        <v>24992.665916073183</v>
      </c>
      <c r="AK124" s="45">
        <f t="shared" ca="1" si="82"/>
        <v>91.821206273431017</v>
      </c>
      <c r="AL124" s="45">
        <f t="shared" ca="1" si="83"/>
        <v>0</v>
      </c>
      <c r="AM124" s="45">
        <f t="shared" ca="1" si="84"/>
        <v>0</v>
      </c>
      <c r="AN124" s="45">
        <f t="shared" ca="1" si="85"/>
        <v>0</v>
      </c>
      <c r="AO124" s="45">
        <f ca="1">MIN(AL124,Inputs!$B$36)</f>
        <v>0</v>
      </c>
      <c r="AP124" s="45">
        <f ca="1">MIN(AN124,Inputs!$B$36-AO124)</f>
        <v>0</v>
      </c>
      <c r="AQ124" s="45">
        <f ca="1">MIN(AM124,Inputs!$B$36-AO124-AP124)</f>
        <v>0</v>
      </c>
      <c r="AR124" s="45">
        <f t="shared" ca="1" si="86"/>
        <v>0</v>
      </c>
      <c r="AS124" s="45">
        <f t="shared" ca="1" si="87"/>
        <v>0</v>
      </c>
      <c r="AT124" s="45">
        <f t="shared" ca="1" si="88"/>
        <v>0</v>
      </c>
      <c r="AU124" s="45">
        <f t="shared" ca="1" si="89"/>
        <v>0</v>
      </c>
      <c r="AV124" s="46">
        <f ca="1">AU124*Inputs!$B$35</f>
        <v>0</v>
      </c>
      <c r="AW124" s="46">
        <f ca="1">AR124*Inputs!$C$6+AT124*Inputs!$C$7+AS124*Inputs!$C$8</f>
        <v>0</v>
      </c>
      <c r="AX124" s="46">
        <f t="shared" ca="1" si="90"/>
        <v>47294988.914752349</v>
      </c>
      <c r="AY124" s="46">
        <f ca="1">IF(J124&gt;1,($CD$4)*Inputs!$B$55*((Z124+AA124+AB124)/(SUM(ILP_A_CostFocused!$C$9:$E$13))),0)</f>
        <v>0</v>
      </c>
      <c r="AZ124" s="46">
        <f t="shared" ca="1" si="91"/>
        <v>0</v>
      </c>
      <c r="BA124" s="41">
        <f t="shared" ca="1" si="92"/>
        <v>0</v>
      </c>
      <c r="BB124" s="41">
        <f t="shared" ca="1" si="93"/>
        <v>1</v>
      </c>
      <c r="BC124" s="41">
        <f t="shared" ca="1" si="94"/>
        <v>1</v>
      </c>
      <c r="BD124" s="41">
        <f t="shared" ca="1" si="95"/>
        <v>1</v>
      </c>
    </row>
    <row r="125" spans="1:56" ht="15" customHeight="1" x14ac:dyDescent="0.3">
      <c r="A125" s="41">
        <v>118</v>
      </c>
      <c r="B125" s="42">
        <f t="shared" ca="1" si="77"/>
        <v>0.13223414793973576</v>
      </c>
      <c r="C125" s="43">
        <f ca="1">IF(B125&lt;=Inputs!$C$40,Inputs!$D$40,IF(B125&lt;=Inputs!$C$41,Inputs!$D$41,Inputs!$D$42))</f>
        <v>0.9</v>
      </c>
      <c r="D125" s="42">
        <f t="shared" ca="1" si="98"/>
        <v>0.26492821727574656</v>
      </c>
      <c r="E125" s="42">
        <f t="shared" ca="1" si="98"/>
        <v>0.25206544046751078</v>
      </c>
      <c r="F125" s="42">
        <f t="shared" ca="1" si="98"/>
        <v>0.53641613753758832</v>
      </c>
      <c r="G125" s="42">
        <f t="shared" ca="1" si="98"/>
        <v>0.94938242742723833</v>
      </c>
      <c r="H125" s="42">
        <f t="shared" ca="1" si="98"/>
        <v>0.36099865188131752</v>
      </c>
      <c r="I125" s="42">
        <f t="shared" ca="1" si="98"/>
        <v>0.21541486422124334</v>
      </c>
      <c r="J125" s="43">
        <f ca="1">IF(I125&lt;Inputs!$B$54,1+Inputs!$B$55,1)</f>
        <v>1</v>
      </c>
      <c r="K125" s="42">
        <f t="shared" ca="1" si="99"/>
        <v>0.95817991791663526</v>
      </c>
      <c r="L125" s="42">
        <f t="shared" ca="1" si="99"/>
        <v>0.10560826679021706</v>
      </c>
      <c r="M125" s="42">
        <f t="shared" ca="1" si="99"/>
        <v>2.5423494538349134E-3</v>
      </c>
      <c r="N125" s="42">
        <f t="shared" ca="1" si="99"/>
        <v>0.85847628976514845</v>
      </c>
      <c r="O125" s="42">
        <f t="shared" ca="1" si="99"/>
        <v>0.70035747511421409</v>
      </c>
      <c r="P125" s="42">
        <f t="shared" ca="1" si="99"/>
        <v>0.25328150820569428</v>
      </c>
      <c r="Q125" s="42">
        <f t="shared" ca="1" si="99"/>
        <v>0.80179073572799897</v>
      </c>
      <c r="R125" s="42">
        <f t="shared" ca="1" si="99"/>
        <v>0.58009324823591157</v>
      </c>
      <c r="S125" s="42">
        <f t="shared" ca="1" si="99"/>
        <v>0.39686546575511239</v>
      </c>
      <c r="T125" s="42">
        <f t="shared" ca="1" si="99"/>
        <v>0.14840950877434056</v>
      </c>
      <c r="U125" s="44">
        <f ca="1">(IF(D125&gt;=Inputs!$E$12,1,IF(K125&lt;=Inputs!$C$46,Inputs!$D$46,IF(K125&lt;=Inputs!$C$47,Inputs!$D$47,Inputs!$D$48))))*((Inputs!$B$28+(P125-0.5)*2*Inputs!$B$53)/Inputs!$B$28)</f>
        <v>0.99750284927333699</v>
      </c>
      <c r="V125" s="44">
        <f ca="1">(IF(E125&gt;=Inputs!$E$13,1,IF(L125&lt;=Inputs!$C$46,Inputs!$D$46,IF(L125&lt;=Inputs!$C$47,Inputs!$D$47,Inputs!$D$48))))*((Inputs!$B$29+(Q125-0.5)*2*Inputs!$B$53)/Inputs!$B$29)</f>
        <v>1.0030422453198387</v>
      </c>
      <c r="W125" s="44">
        <f ca="1">(IF(F125&gt;=Inputs!$E$14,1,IF(M125&lt;=Inputs!$C$46,Inputs!$D$46,IF(M125&lt;=Inputs!$C$47,Inputs!$D$47,Inputs!$D$48))))*((Inputs!$B$30+(R125-0.5)*2*Inputs!$B$53)/Inputs!$B$30)</f>
        <v>1.0008049572687026</v>
      </c>
      <c r="X125" s="44">
        <f ca="1">(IF(G125&gt;=Inputs!$E$15,1,IF(N125&lt;=Inputs!$C$46,Inputs!$D$46,IF(N125&lt;=Inputs!$C$47,Inputs!$D$47,Inputs!$D$48))))*((Inputs!$B$31+(S125-0.5)*2*Inputs!$B$53)/Inputs!$B$31)</f>
        <v>0.9989529488909149</v>
      </c>
      <c r="Y125" s="44">
        <f ca="1">(IF(H125&gt;=Inputs!$E$16,1,IF(O125&lt;=Inputs!$C$46,Inputs!$D$46,IF(O125&lt;=Inputs!$C$47,Inputs!$D$47,Inputs!$D$48))))*((Inputs!$B$32+(T125-0.5)*2*Inputs!$B$53)/Inputs!$B$32)</f>
        <v>0.99646287232167341</v>
      </c>
      <c r="Z125" s="45">
        <f ca="1">ILP_A_CostFocused!$C$9*U125+ILP_A_CostFocused!$C$10*V125+ILP_A_CostFocused!$C$11*W125+ILP_A_CostFocused!$C$12*X125+ILP_A_CostFocused!$C$13*Y125</f>
        <v>17971.199829641999</v>
      </c>
      <c r="AA125" s="45">
        <f ca="1">ILP_A_CostFocused!$D$9*U125+ILP_A_CostFocused!$D$10*V125+ILP_A_CostFocused!$D$11*W125+ILP_A_CostFocused!$D$12*X125+ILP_A_CostFocused!$D$13*Y125</f>
        <v>15030.320902945419</v>
      </c>
      <c r="AB125" s="45">
        <f ca="1">ILP_A_CostFocused!$E$9*U125+ILP_A_CostFocused!$E$10*V125+ILP_A_CostFocused!$E$11*W125+ILP_A_CostFocused!$E$12*X125+ILP_A_CostFocused!$E$13*Y125</f>
        <v>11996.623292303251</v>
      </c>
      <c r="AC125" s="45">
        <f ca="1">Inputs!$B$6*$C125</f>
        <v>16200</v>
      </c>
      <c r="AD125" s="45">
        <f ca="1">Inputs!$B$7*$C125</f>
        <v>13500</v>
      </c>
      <c r="AE125" s="45">
        <f ca="1">Inputs!$B$8*$C125</f>
        <v>10800</v>
      </c>
      <c r="AF125" s="45">
        <f t="shared" ca="1" si="78"/>
        <v>0</v>
      </c>
      <c r="AG125" s="45">
        <f t="shared" ca="1" si="79"/>
        <v>0</v>
      </c>
      <c r="AH125" s="45">
        <f t="shared" ca="1" si="80"/>
        <v>0</v>
      </c>
      <c r="AI125" s="45">
        <f t="shared" ca="1" si="81"/>
        <v>0</v>
      </c>
      <c r="AJ125" s="45">
        <f ca="1">U125*(Inputs!$B$12-ILP_A_CostFocused!$F$9)+V125*(Inputs!$B$13-ILP_A_CostFocused!$F$10)+W125*(Inputs!$B$14-ILP_A_CostFocused!$F$11)+X125*(Inputs!$B$15-ILP_A_CostFocused!$F$12)+Y125*(Inputs!$B$16-ILP_A_CostFocused!$F$13)</f>
        <v>24949.335913969677</v>
      </c>
      <c r="AK125" s="45">
        <f t="shared" ca="1" si="82"/>
        <v>0</v>
      </c>
      <c r="AL125" s="45">
        <f t="shared" ca="1" si="83"/>
        <v>0</v>
      </c>
      <c r="AM125" s="45">
        <f t="shared" ca="1" si="84"/>
        <v>0</v>
      </c>
      <c r="AN125" s="45">
        <f t="shared" ca="1" si="85"/>
        <v>0</v>
      </c>
      <c r="AO125" s="45">
        <f ca="1">MIN(AL125,Inputs!$B$36)</f>
        <v>0</v>
      </c>
      <c r="AP125" s="45">
        <f ca="1">MIN(AN125,Inputs!$B$36-AO125)</f>
        <v>0</v>
      </c>
      <c r="AQ125" s="45">
        <f ca="1">MIN(AM125,Inputs!$B$36-AO125-AP125)</f>
        <v>0</v>
      </c>
      <c r="AR125" s="45">
        <f t="shared" ca="1" si="86"/>
        <v>0</v>
      </c>
      <c r="AS125" s="45">
        <f t="shared" ca="1" si="87"/>
        <v>0</v>
      </c>
      <c r="AT125" s="45">
        <f t="shared" ca="1" si="88"/>
        <v>0</v>
      </c>
      <c r="AU125" s="45">
        <f t="shared" ca="1" si="89"/>
        <v>0</v>
      </c>
      <c r="AV125" s="46">
        <f ca="1">AU125*Inputs!$B$35</f>
        <v>0</v>
      </c>
      <c r="AW125" s="46">
        <f ca="1">AR125*Inputs!$C$6+AT125*Inputs!$C$7+AS125*Inputs!$C$8</f>
        <v>0</v>
      </c>
      <c r="AX125" s="46">
        <f t="shared" ca="1" si="90"/>
        <v>47390988.473087609</v>
      </c>
      <c r="AY125" s="46">
        <f ca="1">IF(J125&gt;1,($CD$4)*Inputs!$B$55*((Z125+AA125+AB125)/(SUM(ILP_A_CostFocused!$C$9:$E$13))),0)</f>
        <v>0</v>
      </c>
      <c r="AZ125" s="46">
        <f t="shared" ca="1" si="91"/>
        <v>0</v>
      </c>
      <c r="BA125" s="41">
        <f t="shared" ca="1" si="92"/>
        <v>0</v>
      </c>
      <c r="BB125" s="41">
        <f t="shared" ca="1" si="93"/>
        <v>1</v>
      </c>
      <c r="BC125" s="41">
        <f t="shared" ca="1" si="94"/>
        <v>1</v>
      </c>
      <c r="BD125" s="41">
        <f t="shared" ca="1" si="95"/>
        <v>1</v>
      </c>
    </row>
    <row r="126" spans="1:56" ht="15" customHeight="1" x14ac:dyDescent="0.3">
      <c r="A126" s="41">
        <v>119</v>
      </c>
      <c r="B126" s="42">
        <f t="shared" ca="1" si="77"/>
        <v>0.67693528659444246</v>
      </c>
      <c r="C126" s="43">
        <f ca="1">IF(B126&lt;=Inputs!$C$40,Inputs!$D$40,IF(B126&lt;=Inputs!$C$41,Inputs!$D$41,Inputs!$D$42))</f>
        <v>1</v>
      </c>
      <c r="D126" s="42">
        <f t="shared" ca="1" si="98"/>
        <v>0.81040299456944265</v>
      </c>
      <c r="E126" s="42">
        <f t="shared" ca="1" si="98"/>
        <v>0.40331932310109564</v>
      </c>
      <c r="F126" s="42">
        <f t="shared" ca="1" si="98"/>
        <v>0.44656477478102752</v>
      </c>
      <c r="G126" s="42">
        <f t="shared" ca="1" si="98"/>
        <v>0.57815372126858633</v>
      </c>
      <c r="H126" s="42">
        <f t="shared" ca="1" si="98"/>
        <v>0.27335234495067873</v>
      </c>
      <c r="I126" s="42">
        <f t="shared" ca="1" si="98"/>
        <v>0.62113048972933371</v>
      </c>
      <c r="J126" s="43">
        <f ca="1">IF(I126&lt;Inputs!$B$54,1+Inputs!$B$55,1)</f>
        <v>1</v>
      </c>
      <c r="K126" s="42">
        <f t="shared" ca="1" si="99"/>
        <v>0.575208925281669</v>
      </c>
      <c r="L126" s="42">
        <f t="shared" ca="1" si="99"/>
        <v>0.2742677877952735</v>
      </c>
      <c r="M126" s="42">
        <f t="shared" ca="1" si="99"/>
        <v>0.69102079293568275</v>
      </c>
      <c r="N126" s="42">
        <f t="shared" ca="1" si="99"/>
        <v>0.72002469510946909</v>
      </c>
      <c r="O126" s="42">
        <f t="shared" ca="1" si="99"/>
        <v>0.23402519831196722</v>
      </c>
      <c r="P126" s="42">
        <f t="shared" ca="1" si="99"/>
        <v>0.50028032748141726</v>
      </c>
      <c r="Q126" s="42">
        <f t="shared" ca="1" si="99"/>
        <v>0.45617688603849893</v>
      </c>
      <c r="R126" s="42">
        <f t="shared" ca="1" si="99"/>
        <v>0.38855577821471232</v>
      </c>
      <c r="S126" s="42">
        <f t="shared" ca="1" si="99"/>
        <v>0.93351172554394735</v>
      </c>
      <c r="T126" s="42">
        <f t="shared" ca="1" si="99"/>
        <v>0.56628081197702984</v>
      </c>
      <c r="U126" s="44">
        <f ca="1">(IF(D126&gt;=Inputs!$E$12,1,IF(K126&lt;=Inputs!$C$46,Inputs!$D$46,IF(K126&lt;=Inputs!$C$47,Inputs!$D$47,Inputs!$D$48))))*((Inputs!$B$28+(P126-0.5)*2*Inputs!$B$53)/Inputs!$B$28)</f>
        <v>1.0000028373226864</v>
      </c>
      <c r="V126" s="44">
        <f ca="1">(IF(E126&gt;=Inputs!$E$13,1,IF(L126&lt;=Inputs!$C$46,Inputs!$D$46,IF(L126&lt;=Inputs!$C$47,Inputs!$D$47,Inputs!$D$48))))*((Inputs!$B$29+(Q126-0.5)*2*Inputs!$B$53)/Inputs!$B$29)</f>
        <v>0.99955823473829131</v>
      </c>
      <c r="W126" s="44">
        <f ca="1">(IF(F126&gt;=Inputs!$E$14,1,IF(M126&lt;=Inputs!$C$46,Inputs!$D$46,IF(M126&lt;=Inputs!$C$47,Inputs!$D$47,Inputs!$D$48))))*((Inputs!$B$30+(R126-0.5)*2*Inputs!$B$53)/Inputs!$B$30)</f>
        <v>0.99887995756999715</v>
      </c>
      <c r="X126" s="44">
        <f ca="1">(IF(G126&gt;=Inputs!$E$15,1,IF(N126&lt;=Inputs!$C$46,Inputs!$D$46,IF(N126&lt;=Inputs!$C$47,Inputs!$D$47,Inputs!$D$48))))*((Inputs!$B$31+(S126-0.5)*2*Inputs!$B$53)/Inputs!$B$31)</f>
        <v>1.0044011342694816</v>
      </c>
      <c r="Y126" s="44">
        <f ca="1">(IF(H126&gt;=Inputs!$E$16,1,IF(O126&lt;=Inputs!$C$46,Inputs!$D$46,IF(O126&lt;=Inputs!$C$47,Inputs!$D$47,Inputs!$D$48))))*((Inputs!$B$32+(T126-0.5)*2*Inputs!$B$53)/Inputs!$B$32)</f>
        <v>1.0006668089736119</v>
      </c>
      <c r="Z126" s="45">
        <f ca="1">ILP_A_CostFocused!$C$9*U126+ILP_A_CostFocused!$C$10*V126+ILP_A_CostFocused!$C$11*W126+ILP_A_CostFocused!$C$12*X126+ILP_A_CostFocused!$C$13*Y126</f>
        <v>18047.513553806319</v>
      </c>
      <c r="AA126" s="45">
        <f ca="1">ILP_A_CostFocused!$D$9*U126+ILP_A_CostFocused!$D$10*V126+ILP_A_CostFocused!$D$11*W126+ILP_A_CostFocused!$D$12*X126+ILP_A_CostFocused!$D$13*Y126</f>
        <v>14994.935458298078</v>
      </c>
      <c r="AB126" s="45">
        <f ca="1">ILP_A_CostFocused!$E$9*U126+ILP_A_CostFocused!$E$10*V126+ILP_A_CostFocused!$E$11*W126+ILP_A_CostFocused!$E$12*X126+ILP_A_CostFocused!$E$13*Y126</f>
        <v>11997.899955467139</v>
      </c>
      <c r="AC126" s="45">
        <f ca="1">Inputs!$B$6*$C126</f>
        <v>18000</v>
      </c>
      <c r="AD126" s="45">
        <f ca="1">Inputs!$B$7*$C126</f>
        <v>15000</v>
      </c>
      <c r="AE126" s="45">
        <f ca="1">Inputs!$B$8*$C126</f>
        <v>12000</v>
      </c>
      <c r="AF126" s="45">
        <f t="shared" ca="1" si="78"/>
        <v>0</v>
      </c>
      <c r="AG126" s="45">
        <f t="shared" ca="1" si="79"/>
        <v>5.0645417019222805</v>
      </c>
      <c r="AH126" s="45">
        <f t="shared" ca="1" si="80"/>
        <v>2.1000445328609203</v>
      </c>
      <c r="AI126" s="45">
        <f t="shared" ca="1" si="81"/>
        <v>7.1645862347832008</v>
      </c>
      <c r="AJ126" s="45">
        <f ca="1">U126*(Inputs!$B$12-ILP_A_CostFocused!$F$9)+V126*(Inputs!$B$13-ILP_A_CostFocused!$F$10)+W126*(Inputs!$B$14-ILP_A_CostFocused!$F$11)+X126*(Inputs!$B$15-ILP_A_CostFocused!$F$12)+Y126*(Inputs!$B$16-ILP_A_CostFocused!$F$13)</f>
        <v>25001.766910175447</v>
      </c>
      <c r="AK126" s="45">
        <f t="shared" ca="1" si="82"/>
        <v>7.1645862347832008</v>
      </c>
      <c r="AL126" s="45">
        <f t="shared" ca="1" si="83"/>
        <v>0</v>
      </c>
      <c r="AM126" s="45">
        <f t="shared" ca="1" si="84"/>
        <v>0</v>
      </c>
      <c r="AN126" s="45">
        <f t="shared" ca="1" si="85"/>
        <v>0</v>
      </c>
      <c r="AO126" s="45">
        <f ca="1">MIN(AL126,Inputs!$B$36)</f>
        <v>0</v>
      </c>
      <c r="AP126" s="45">
        <f ca="1">MIN(AN126,Inputs!$B$36-AO126)</f>
        <v>0</v>
      </c>
      <c r="AQ126" s="45">
        <f ca="1">MIN(AM126,Inputs!$B$36-AO126-AP126)</f>
        <v>0</v>
      </c>
      <c r="AR126" s="45">
        <f t="shared" ca="1" si="86"/>
        <v>0</v>
      </c>
      <c r="AS126" s="45">
        <f t="shared" ca="1" si="87"/>
        <v>0</v>
      </c>
      <c r="AT126" s="45">
        <f t="shared" ca="1" si="88"/>
        <v>0</v>
      </c>
      <c r="AU126" s="45">
        <f t="shared" ca="1" si="89"/>
        <v>0</v>
      </c>
      <c r="AV126" s="46">
        <f ca="1">AU126*Inputs!$B$35</f>
        <v>0</v>
      </c>
      <c r="AW126" s="46">
        <f ca="1">AR126*Inputs!$C$6+AT126*Inputs!$C$7+AS126*Inputs!$C$8</f>
        <v>0</v>
      </c>
      <c r="AX126" s="46">
        <f t="shared" ca="1" si="90"/>
        <v>47433756.138464756</v>
      </c>
      <c r="AY126" s="46">
        <f ca="1">IF(J126&gt;1,($CD$4)*Inputs!$B$55*((Z126+AA126+AB126)/(SUM(ILP_A_CostFocused!$C$9:$E$13))),0)</f>
        <v>0</v>
      </c>
      <c r="AZ126" s="46">
        <f t="shared" ca="1" si="91"/>
        <v>0</v>
      </c>
      <c r="BA126" s="41">
        <f t="shared" ca="1" si="92"/>
        <v>0</v>
      </c>
      <c r="BB126" s="41">
        <f t="shared" ca="1" si="93"/>
        <v>1</v>
      </c>
      <c r="BC126" s="41">
        <f t="shared" ca="1" si="94"/>
        <v>1</v>
      </c>
      <c r="BD126" s="41">
        <f t="shared" ca="1" si="95"/>
        <v>1</v>
      </c>
    </row>
    <row r="127" spans="1:56" ht="15" customHeight="1" x14ac:dyDescent="0.3">
      <c r="A127" s="41">
        <v>120</v>
      </c>
      <c r="B127" s="42">
        <f t="shared" ca="1" si="77"/>
        <v>0.81061000650064541</v>
      </c>
      <c r="C127" s="43">
        <f ca="1">IF(B127&lt;=Inputs!$C$40,Inputs!$D$40,IF(B127&lt;=Inputs!$C$41,Inputs!$D$41,Inputs!$D$42))</f>
        <v>1.1499999999999999</v>
      </c>
      <c r="D127" s="42">
        <f t="shared" ca="1" si="98"/>
        <v>0.14982829375651208</v>
      </c>
      <c r="E127" s="42">
        <f t="shared" ca="1" si="98"/>
        <v>0.67513384131296761</v>
      </c>
      <c r="F127" s="42">
        <f t="shared" ca="1" si="98"/>
        <v>0.99428518717117587</v>
      </c>
      <c r="G127" s="42">
        <f t="shared" ca="1" si="98"/>
        <v>0.25897528953253468</v>
      </c>
      <c r="H127" s="42">
        <f t="shared" ca="1" si="98"/>
        <v>1.0362008874213013E-2</v>
      </c>
      <c r="I127" s="42">
        <f t="shared" ca="1" si="98"/>
        <v>0.96511904956086825</v>
      </c>
      <c r="J127" s="43">
        <f ca="1">IF(I127&lt;Inputs!$B$54,1+Inputs!$B$55,1)</f>
        <v>1</v>
      </c>
      <c r="K127" s="42">
        <f t="shared" ca="1" si="99"/>
        <v>2.878391256206092E-2</v>
      </c>
      <c r="L127" s="42">
        <f t="shared" ca="1" si="99"/>
        <v>0.6299521032116131</v>
      </c>
      <c r="M127" s="42">
        <f t="shared" ca="1" si="99"/>
        <v>0.28673381518855612</v>
      </c>
      <c r="N127" s="42">
        <f t="shared" ca="1" si="99"/>
        <v>0.20586708796759656</v>
      </c>
      <c r="O127" s="42">
        <f t="shared" ca="1" si="99"/>
        <v>0.30605068573012573</v>
      </c>
      <c r="P127" s="42">
        <f t="shared" ca="1" si="99"/>
        <v>0.41007291406289637</v>
      </c>
      <c r="Q127" s="42">
        <f t="shared" ca="1" si="99"/>
        <v>2.876261495583321E-2</v>
      </c>
      <c r="R127" s="42">
        <f t="shared" ca="1" si="99"/>
        <v>0.4729315073977769</v>
      </c>
      <c r="S127" s="42">
        <f t="shared" ca="1" si="99"/>
        <v>0.16429628268683238</v>
      </c>
      <c r="T127" s="42">
        <f t="shared" ca="1" si="99"/>
        <v>0.4543607351408675</v>
      </c>
      <c r="U127" s="44">
        <f ca="1">(IF(D127&gt;=Inputs!$E$12,1,IF(K127&lt;=Inputs!$C$46,Inputs!$D$46,IF(K127&lt;=Inputs!$C$47,Inputs!$D$47,Inputs!$D$48))))*((Inputs!$B$28+(P127-0.5)*2*Inputs!$B$53)/Inputs!$B$28)</f>
        <v>0.99908980682249893</v>
      </c>
      <c r="V127" s="44">
        <f ca="1">(IF(E127&gt;=Inputs!$E$13,1,IF(L127&lt;=Inputs!$C$46,Inputs!$D$46,IF(L127&lt;=Inputs!$C$47,Inputs!$D$47,Inputs!$D$48))))*((Inputs!$B$29+(Q127-0.5)*2*Inputs!$B$53)/Inputs!$B$29)</f>
        <v>0.99524962313463539</v>
      </c>
      <c r="W127" s="44">
        <f ca="1">(IF(F127&gt;=Inputs!$E$14,1,IF(M127&lt;=Inputs!$C$46,Inputs!$D$46,IF(M127&lt;=Inputs!$C$47,Inputs!$D$47,Inputs!$D$48))))*((Inputs!$B$30+(R127-0.5)*2*Inputs!$B$53)/Inputs!$B$30)</f>
        <v>0.99972795484821886</v>
      </c>
      <c r="X127" s="44">
        <f ca="1">(IF(G127&gt;=Inputs!$E$15,1,IF(N127&lt;=Inputs!$C$46,Inputs!$D$46,IF(N127&lt;=Inputs!$C$47,Inputs!$D$47,Inputs!$D$48))))*((Inputs!$B$31+(S127-0.5)*2*Inputs!$B$53)/Inputs!$B$31)</f>
        <v>0.9965918404333689</v>
      </c>
      <c r="Y127" s="44">
        <f ca="1">(IF(H127&gt;=Inputs!$E$16,1,IF(O127&lt;=Inputs!$C$46,Inputs!$D$46,IF(O127&lt;=Inputs!$C$47,Inputs!$D$47,Inputs!$D$48))))*((Inputs!$B$32+(T127-0.5)*2*Inputs!$B$53)/Inputs!$B$32)</f>
        <v>0.5997245114797235</v>
      </c>
      <c r="Z127" s="45">
        <f ca="1">ILP_A_CostFocused!$C$9*U127+ILP_A_CostFocused!$C$10*V127+ILP_A_CostFocused!$C$11*W127+ILP_A_CostFocused!$C$12*X127+ILP_A_CostFocused!$C$13*Y127</f>
        <v>17956.300549637846</v>
      </c>
      <c r="AA127" s="45">
        <f ca="1">ILP_A_CostFocused!$D$9*U127+ILP_A_CostFocused!$D$10*V127+ILP_A_CostFocused!$D$11*W127+ILP_A_CostFocused!$D$12*X127+ILP_A_CostFocused!$D$13*Y127</f>
        <v>14952.415500597885</v>
      </c>
      <c r="AB127" s="45">
        <f ca="1">ILP_A_CostFocused!$E$9*U127+ILP_A_CostFocused!$E$10*V127+ILP_A_CostFocused!$E$11*W127+ILP_A_CostFocused!$E$12*X127+ILP_A_CostFocused!$E$13*Y127</f>
        <v>11970.644800168242</v>
      </c>
      <c r="AC127" s="45">
        <f ca="1">Inputs!$B$6*$C127</f>
        <v>20700</v>
      </c>
      <c r="AD127" s="45">
        <f ca="1">Inputs!$B$7*$C127</f>
        <v>17250</v>
      </c>
      <c r="AE127" s="45">
        <f ca="1">Inputs!$B$8*$C127</f>
        <v>13799.999999999998</v>
      </c>
      <c r="AF127" s="45">
        <f t="shared" ca="1" si="78"/>
        <v>2743.6994503621536</v>
      </c>
      <c r="AG127" s="45">
        <f t="shared" ca="1" si="79"/>
        <v>2297.5844994021154</v>
      </c>
      <c r="AH127" s="45">
        <f t="shared" ca="1" si="80"/>
        <v>1829.3551998317562</v>
      </c>
      <c r="AI127" s="45">
        <f t="shared" ca="1" si="81"/>
        <v>6870.6391495960252</v>
      </c>
      <c r="AJ127" s="45">
        <f ca="1">U127*(Inputs!$B$12-ILP_A_CostFocused!$F$9)+V127*(Inputs!$B$13-ILP_A_CostFocused!$F$10)+W127*(Inputs!$B$14-ILP_A_CostFocused!$F$11)+X127*(Inputs!$B$15-ILP_A_CostFocused!$F$12)+Y127*(Inputs!$B$16-ILP_A_CostFocused!$F$13)</f>
        <v>18991.003953064035</v>
      </c>
      <c r="AK127" s="45">
        <f t="shared" ca="1" si="82"/>
        <v>6870.6391495960252</v>
      </c>
      <c r="AL127" s="45">
        <f t="shared" ca="1" si="83"/>
        <v>0</v>
      </c>
      <c r="AM127" s="45">
        <f t="shared" ca="1" si="84"/>
        <v>0</v>
      </c>
      <c r="AN127" s="45">
        <f t="shared" ca="1" si="85"/>
        <v>0</v>
      </c>
      <c r="AO127" s="45">
        <f ca="1">MIN(AL127,Inputs!$B$36)</f>
        <v>0</v>
      </c>
      <c r="AP127" s="45">
        <f ca="1">MIN(AN127,Inputs!$B$36-AO127)</f>
        <v>0</v>
      </c>
      <c r="AQ127" s="45">
        <f ca="1">MIN(AM127,Inputs!$B$36-AO127-AP127)</f>
        <v>0</v>
      </c>
      <c r="AR127" s="45">
        <f t="shared" ca="1" si="86"/>
        <v>0</v>
      </c>
      <c r="AS127" s="45">
        <f t="shared" ca="1" si="87"/>
        <v>0</v>
      </c>
      <c r="AT127" s="45">
        <f t="shared" ca="1" si="88"/>
        <v>0</v>
      </c>
      <c r="AU127" s="45">
        <f t="shared" ca="1" si="89"/>
        <v>0</v>
      </c>
      <c r="AV127" s="46">
        <f ca="1">AU127*Inputs!$B$35</f>
        <v>0</v>
      </c>
      <c r="AW127" s="46">
        <f ca="1">AR127*Inputs!$C$6+AT127*Inputs!$C$7+AS127*Inputs!$C$8</f>
        <v>0</v>
      </c>
      <c r="AX127" s="46">
        <f t="shared" ca="1" si="90"/>
        <v>47265317.084775038</v>
      </c>
      <c r="AY127" s="46">
        <f ca="1">IF(J127&gt;1,($CD$4)*Inputs!$B$55*((Z127+AA127+AB127)/(SUM(ILP_A_CostFocused!$C$9:$E$13))),0)</f>
        <v>0</v>
      </c>
      <c r="AZ127" s="46">
        <f t="shared" ca="1" si="91"/>
        <v>0</v>
      </c>
      <c r="BA127" s="41">
        <f t="shared" ca="1" si="92"/>
        <v>0</v>
      </c>
      <c r="BB127" s="41">
        <f t="shared" ca="1" si="93"/>
        <v>1</v>
      </c>
      <c r="BC127" s="41">
        <f t="shared" ca="1" si="94"/>
        <v>1</v>
      </c>
      <c r="BD127" s="41">
        <f t="shared" ca="1" si="95"/>
        <v>1</v>
      </c>
    </row>
    <row r="128" spans="1:56" ht="15" customHeight="1" x14ac:dyDescent="0.3">
      <c r="A128" s="41">
        <v>121</v>
      </c>
      <c r="B128" s="42">
        <f t="shared" ca="1" si="77"/>
        <v>0.27133875836883914</v>
      </c>
      <c r="C128" s="43">
        <f ca="1">IF(B128&lt;=Inputs!$C$40,Inputs!$D$40,IF(B128&lt;=Inputs!$C$41,Inputs!$D$41,Inputs!$D$42))</f>
        <v>1</v>
      </c>
      <c r="D128" s="42">
        <f t="shared" ref="D128:I137" ca="1" si="100">RAND()</f>
        <v>0.62437481831035246</v>
      </c>
      <c r="E128" s="42">
        <f t="shared" ca="1" si="100"/>
        <v>0.50480652012309746</v>
      </c>
      <c r="F128" s="42">
        <f t="shared" ca="1" si="100"/>
        <v>0.49073406525581076</v>
      </c>
      <c r="G128" s="42">
        <f t="shared" ca="1" si="100"/>
        <v>0.49863370290042341</v>
      </c>
      <c r="H128" s="42">
        <f t="shared" ca="1" si="100"/>
        <v>8.1313921185234617E-2</v>
      </c>
      <c r="I128" s="42">
        <f t="shared" ca="1" si="100"/>
        <v>0.54185774901548489</v>
      </c>
      <c r="J128" s="43">
        <f ca="1">IF(I128&lt;Inputs!$B$54,1+Inputs!$B$55,1)</f>
        <v>1</v>
      </c>
      <c r="K128" s="42">
        <f t="shared" ref="K128:T137" ca="1" si="101">RAND()</f>
        <v>0.85253436403198424</v>
      </c>
      <c r="L128" s="42">
        <f t="shared" ca="1" si="101"/>
        <v>0.46126493749740649</v>
      </c>
      <c r="M128" s="42">
        <f t="shared" ca="1" si="101"/>
        <v>0.38590188647153678</v>
      </c>
      <c r="N128" s="42">
        <f t="shared" ca="1" si="101"/>
        <v>0.14275370821182376</v>
      </c>
      <c r="O128" s="42">
        <f t="shared" ca="1" si="101"/>
        <v>0.56526635672648862</v>
      </c>
      <c r="P128" s="42">
        <f t="shared" ca="1" si="101"/>
        <v>0.94228635419384044</v>
      </c>
      <c r="Q128" s="42">
        <f t="shared" ca="1" si="101"/>
        <v>0.87985934839643853</v>
      </c>
      <c r="R128" s="42">
        <f t="shared" ca="1" si="101"/>
        <v>0.36678191088466428</v>
      </c>
      <c r="S128" s="42">
        <f t="shared" ca="1" si="101"/>
        <v>0.43748737235394797</v>
      </c>
      <c r="T128" s="42">
        <f t="shared" ca="1" si="101"/>
        <v>0.34149522597360715</v>
      </c>
      <c r="U128" s="44">
        <f ca="1">(IF(D128&gt;=Inputs!$E$12,1,IF(K128&lt;=Inputs!$C$46,Inputs!$D$46,IF(K128&lt;=Inputs!$C$47,Inputs!$D$47,Inputs!$D$48))))*((Inputs!$B$28+(P128-0.5)*2*Inputs!$B$53)/Inputs!$B$28)</f>
        <v>1.0044765825323263</v>
      </c>
      <c r="V128" s="44">
        <f ca="1">(IF(E128&gt;=Inputs!$E$13,1,IF(L128&lt;=Inputs!$C$46,Inputs!$D$46,IF(L128&lt;=Inputs!$C$47,Inputs!$D$47,Inputs!$D$48))))*((Inputs!$B$29+(Q128-0.5)*2*Inputs!$B$53)/Inputs!$B$29)</f>
        <v>1.0038292273023834</v>
      </c>
      <c r="W128" s="44">
        <f ca="1">(IF(F128&gt;=Inputs!$E$14,1,IF(M128&lt;=Inputs!$C$46,Inputs!$D$46,IF(M128&lt;=Inputs!$C$47,Inputs!$D$47,Inputs!$D$48))))*((Inputs!$B$30+(R128-0.5)*2*Inputs!$B$53)/Inputs!$B$30)</f>
        <v>0.99866112473250912</v>
      </c>
      <c r="X128" s="44">
        <f ca="1">(IF(G128&gt;=Inputs!$E$15,1,IF(N128&lt;=Inputs!$C$46,Inputs!$D$46,IF(N128&lt;=Inputs!$C$47,Inputs!$D$47,Inputs!$D$48))))*((Inputs!$B$31+(S128-0.5)*2*Inputs!$B$53)/Inputs!$B$31)</f>
        <v>0.99936535403405025</v>
      </c>
      <c r="Y128" s="44">
        <f ca="1">(IF(H128&gt;=Inputs!$E$16,1,IF(O128&lt;=Inputs!$C$46,Inputs!$D$46,IF(O128&lt;=Inputs!$C$47,Inputs!$D$47,Inputs!$D$48))))*((Inputs!$B$32+(T128-0.5)*2*Inputs!$B$53)/Inputs!$B$32)</f>
        <v>0.9984053845671389</v>
      </c>
      <c r="Z128" s="45">
        <f ca="1">ILP_A_CostFocused!$C$9*U128+ILP_A_CostFocused!$C$10*V128+ILP_A_CostFocused!$C$11*W128+ILP_A_CostFocused!$C$12*X128+ILP_A_CostFocused!$C$13*Y128</f>
        <v>18025.320250540255</v>
      </c>
      <c r="AA128" s="45">
        <f ca="1">ILP_A_CostFocused!$D$9*U128+ILP_A_CostFocused!$D$10*V128+ILP_A_CostFocused!$D$11*W128+ILP_A_CostFocused!$D$12*X128+ILP_A_CostFocused!$D$13*Y128</f>
        <v>15027.148108004079</v>
      </c>
      <c r="AB128" s="45">
        <f ca="1">ILP_A_CostFocused!$E$9*U128+ILP_A_CostFocused!$E$10*V128+ILP_A_CostFocused!$E$11*W128+ILP_A_CostFocused!$E$12*X128+ILP_A_CostFocused!$E$13*Y128</f>
        <v>12050.61168528419</v>
      </c>
      <c r="AC128" s="45">
        <f ca="1">Inputs!$B$6*$C128</f>
        <v>18000</v>
      </c>
      <c r="AD128" s="45">
        <f ca="1">Inputs!$B$7*$C128</f>
        <v>15000</v>
      </c>
      <c r="AE128" s="45">
        <f ca="1">Inputs!$B$8*$C128</f>
        <v>12000</v>
      </c>
      <c r="AF128" s="45">
        <f t="shared" ca="1" si="78"/>
        <v>0</v>
      </c>
      <c r="AG128" s="45">
        <f t="shared" ca="1" si="79"/>
        <v>0</v>
      </c>
      <c r="AH128" s="45">
        <f t="shared" ca="1" si="80"/>
        <v>0</v>
      </c>
      <c r="AI128" s="45">
        <f t="shared" ca="1" si="81"/>
        <v>0</v>
      </c>
      <c r="AJ128" s="45">
        <f ca="1">U128*(Inputs!$B$12-ILP_A_CostFocused!$F$9)+V128*(Inputs!$B$13-ILP_A_CostFocused!$F$10)+W128*(Inputs!$B$14-ILP_A_CostFocused!$F$11)+X128*(Inputs!$B$15-ILP_A_CostFocused!$F$12)+Y128*(Inputs!$B$16-ILP_A_CostFocused!$F$13)</f>
        <v>24973.214097360371</v>
      </c>
      <c r="AK128" s="45">
        <f t="shared" ca="1" si="82"/>
        <v>0</v>
      </c>
      <c r="AL128" s="45">
        <f t="shared" ca="1" si="83"/>
        <v>0</v>
      </c>
      <c r="AM128" s="45">
        <f t="shared" ca="1" si="84"/>
        <v>0</v>
      </c>
      <c r="AN128" s="45">
        <f t="shared" ca="1" si="85"/>
        <v>0</v>
      </c>
      <c r="AO128" s="45">
        <f ca="1">MIN(AL128,Inputs!$B$36)</f>
        <v>0</v>
      </c>
      <c r="AP128" s="45">
        <f ca="1">MIN(AN128,Inputs!$B$36-AO128)</f>
        <v>0</v>
      </c>
      <c r="AQ128" s="45">
        <f ca="1">MIN(AM128,Inputs!$B$36-AO128-AP128)</f>
        <v>0</v>
      </c>
      <c r="AR128" s="45">
        <f t="shared" ca="1" si="86"/>
        <v>0</v>
      </c>
      <c r="AS128" s="45">
        <f t="shared" ca="1" si="87"/>
        <v>0</v>
      </c>
      <c r="AT128" s="45">
        <f t="shared" ca="1" si="88"/>
        <v>0</v>
      </c>
      <c r="AU128" s="45">
        <f t="shared" ca="1" si="89"/>
        <v>0</v>
      </c>
      <c r="AV128" s="46">
        <f ca="1">AU128*Inputs!$B$35</f>
        <v>0</v>
      </c>
      <c r="AW128" s="46">
        <f ca="1">AR128*Inputs!$C$6+AT128*Inputs!$C$7+AS128*Inputs!$C$8</f>
        <v>0</v>
      </c>
      <c r="AX128" s="46">
        <f t="shared" ca="1" si="90"/>
        <v>47502036.561849549</v>
      </c>
      <c r="AY128" s="46">
        <f ca="1">IF(J128&gt;1,($CD$4)*Inputs!$B$55*((Z128+AA128+AB128)/(SUM(ILP_A_CostFocused!$C$9:$E$13))),0)</f>
        <v>0</v>
      </c>
      <c r="AZ128" s="46">
        <f t="shared" ca="1" si="91"/>
        <v>0</v>
      </c>
      <c r="BA128" s="41">
        <f t="shared" ca="1" si="92"/>
        <v>0</v>
      </c>
      <c r="BB128" s="41">
        <f t="shared" ca="1" si="93"/>
        <v>1</v>
      </c>
      <c r="BC128" s="41">
        <f t="shared" ca="1" si="94"/>
        <v>1</v>
      </c>
      <c r="BD128" s="41">
        <f t="shared" ca="1" si="95"/>
        <v>1</v>
      </c>
    </row>
    <row r="129" spans="1:56" ht="15" customHeight="1" x14ac:dyDescent="0.3">
      <c r="A129" s="41">
        <v>122</v>
      </c>
      <c r="B129" s="42">
        <f t="shared" ca="1" si="77"/>
        <v>0.83533430539675568</v>
      </c>
      <c r="C129" s="43">
        <f ca="1">IF(B129&lt;=Inputs!$C$40,Inputs!$D$40,IF(B129&lt;=Inputs!$C$41,Inputs!$D$41,Inputs!$D$42))</f>
        <v>1.1499999999999999</v>
      </c>
      <c r="D129" s="42">
        <f t="shared" ca="1" si="100"/>
        <v>0.58038230874701735</v>
      </c>
      <c r="E129" s="42">
        <f t="shared" ca="1" si="100"/>
        <v>0.26057240567519468</v>
      </c>
      <c r="F129" s="42">
        <f t="shared" ca="1" si="100"/>
        <v>0.14974908732309322</v>
      </c>
      <c r="G129" s="42">
        <f t="shared" ca="1" si="100"/>
        <v>0.65963235100642392</v>
      </c>
      <c r="H129" s="42">
        <f t="shared" ca="1" si="100"/>
        <v>0.98845982323770598</v>
      </c>
      <c r="I129" s="42">
        <f t="shared" ca="1" si="100"/>
        <v>0.72754553419236467</v>
      </c>
      <c r="J129" s="43">
        <f ca="1">IF(I129&lt;Inputs!$B$54,1+Inputs!$B$55,1)</f>
        <v>1</v>
      </c>
      <c r="K129" s="42">
        <f t="shared" ca="1" si="101"/>
        <v>0.14355897068705215</v>
      </c>
      <c r="L129" s="42">
        <f t="shared" ca="1" si="101"/>
        <v>0.61010144423687429</v>
      </c>
      <c r="M129" s="42">
        <f t="shared" ca="1" si="101"/>
        <v>0.64959634839668778</v>
      </c>
      <c r="N129" s="42">
        <f t="shared" ca="1" si="101"/>
        <v>0.78875565696742367</v>
      </c>
      <c r="O129" s="42">
        <f t="shared" ca="1" si="101"/>
        <v>0.79749114963499868</v>
      </c>
      <c r="P129" s="42">
        <f t="shared" ca="1" si="101"/>
        <v>7.2680084201241613E-2</v>
      </c>
      <c r="Q129" s="42">
        <f t="shared" ca="1" si="101"/>
        <v>0.94515929767807094</v>
      </c>
      <c r="R129" s="42">
        <f t="shared" ca="1" si="101"/>
        <v>0.72821468181928517</v>
      </c>
      <c r="S129" s="42">
        <f t="shared" ca="1" si="101"/>
        <v>0.80009386673946703</v>
      </c>
      <c r="T129" s="42">
        <f t="shared" ca="1" si="101"/>
        <v>0.48577996887726571</v>
      </c>
      <c r="U129" s="44">
        <f ca="1">(IF(D129&gt;=Inputs!$E$12,1,IF(K129&lt;=Inputs!$C$46,Inputs!$D$46,IF(K129&lt;=Inputs!$C$47,Inputs!$D$47,Inputs!$D$48))))*((Inputs!$B$28+(P129-0.5)*2*Inputs!$B$53)/Inputs!$B$28)</f>
        <v>0.99567489963766431</v>
      </c>
      <c r="V129" s="44">
        <f ca="1">(IF(E129&gt;=Inputs!$E$13,1,IF(L129&lt;=Inputs!$C$46,Inputs!$D$46,IF(L129&lt;=Inputs!$C$47,Inputs!$D$47,Inputs!$D$48))))*((Inputs!$B$29+(Q129-0.5)*2*Inputs!$B$53)/Inputs!$B$29)</f>
        <v>1.0044874929201417</v>
      </c>
      <c r="W129" s="44">
        <f ca="1">(IF(F129&gt;=Inputs!$E$14,1,IF(M129&lt;=Inputs!$C$46,Inputs!$D$46,IF(M129&lt;=Inputs!$C$47,Inputs!$D$47,Inputs!$D$48))))*((Inputs!$B$30+(R129-0.5)*2*Inputs!$B$53)/Inputs!$B$30)</f>
        <v>1.002293614892656</v>
      </c>
      <c r="X129" s="44">
        <f ca="1">(IF(G129&gt;=Inputs!$E$15,1,IF(N129&lt;=Inputs!$C$46,Inputs!$D$46,IF(N129&lt;=Inputs!$C$47,Inputs!$D$47,Inputs!$D$48))))*((Inputs!$B$31+(S129-0.5)*2*Inputs!$B$53)/Inputs!$B$31)</f>
        <v>1.0030466382410099</v>
      </c>
      <c r="Y129" s="44">
        <f ca="1">(IF(H129&gt;=Inputs!$E$16,1,IF(O129&lt;=Inputs!$C$46,Inputs!$D$46,IF(O129&lt;=Inputs!$C$47,Inputs!$D$47,Inputs!$D$48))))*((Inputs!$B$32+(T129-0.5)*2*Inputs!$B$53)/Inputs!$B$32)</f>
        <v>0.99985694133679337</v>
      </c>
      <c r="Z129" s="45">
        <f ca="1">ILP_A_CostFocused!$C$9*U129+ILP_A_CostFocused!$C$10*V129+ILP_A_CostFocused!$C$11*W129+ILP_A_CostFocused!$C$12*X129+ILP_A_CostFocused!$C$13*Y129</f>
        <v>18002.538478602946</v>
      </c>
      <c r="AA129" s="45">
        <f ca="1">ILP_A_CostFocused!$D$9*U129+ILP_A_CostFocused!$D$10*V129+ILP_A_CostFocused!$D$11*W129+ILP_A_CostFocused!$D$12*X129+ILP_A_CostFocused!$D$13*Y129</f>
        <v>15054.917209452533</v>
      </c>
      <c r="AB129" s="45">
        <f ca="1">ILP_A_CostFocused!$E$9*U129+ILP_A_CostFocused!$E$10*V129+ILP_A_CostFocused!$E$11*W129+ILP_A_CostFocused!$E$12*X129+ILP_A_CostFocused!$E$13*Y129</f>
        <v>11990.399243407865</v>
      </c>
      <c r="AC129" s="45">
        <f ca="1">Inputs!$B$6*$C129</f>
        <v>20700</v>
      </c>
      <c r="AD129" s="45">
        <f ca="1">Inputs!$B$7*$C129</f>
        <v>17250</v>
      </c>
      <c r="AE129" s="45">
        <f ca="1">Inputs!$B$8*$C129</f>
        <v>13799.999999999998</v>
      </c>
      <c r="AF129" s="45">
        <f t="shared" ca="1" si="78"/>
        <v>2697.4615213970537</v>
      </c>
      <c r="AG129" s="45">
        <f t="shared" ca="1" si="79"/>
        <v>2195.0827905474671</v>
      </c>
      <c r="AH129" s="45">
        <f t="shared" ca="1" si="80"/>
        <v>1809.6007565921336</v>
      </c>
      <c r="AI129" s="45">
        <f t="shared" ca="1" si="81"/>
        <v>6702.1450685366544</v>
      </c>
      <c r="AJ129" s="45">
        <f ca="1">U129*(Inputs!$B$12-ILP_A_CostFocused!$F$9)+V129*(Inputs!$B$13-ILP_A_CostFocused!$F$10)+W129*(Inputs!$B$14-ILP_A_CostFocused!$F$11)+X129*(Inputs!$B$15-ILP_A_CostFocused!$F$12)+Y129*(Inputs!$B$16-ILP_A_CostFocused!$F$13)</f>
        <v>25009.999136169819</v>
      </c>
      <c r="AK129" s="45">
        <f t="shared" ca="1" si="82"/>
        <v>6702.1450685366544</v>
      </c>
      <c r="AL129" s="45">
        <f t="shared" ca="1" si="83"/>
        <v>0</v>
      </c>
      <c r="AM129" s="45">
        <f t="shared" ca="1" si="84"/>
        <v>0</v>
      </c>
      <c r="AN129" s="45">
        <f t="shared" ca="1" si="85"/>
        <v>0</v>
      </c>
      <c r="AO129" s="45">
        <f ca="1">MIN(AL129,Inputs!$B$36)</f>
        <v>0</v>
      </c>
      <c r="AP129" s="45">
        <f ca="1">MIN(AN129,Inputs!$B$36-AO129)</f>
        <v>0</v>
      </c>
      <c r="AQ129" s="45">
        <f ca="1">MIN(AM129,Inputs!$B$36-AO129-AP129)</f>
        <v>0</v>
      </c>
      <c r="AR129" s="45">
        <f t="shared" ca="1" si="86"/>
        <v>0</v>
      </c>
      <c r="AS129" s="45">
        <f t="shared" ca="1" si="87"/>
        <v>0</v>
      </c>
      <c r="AT129" s="45">
        <f t="shared" ca="1" si="88"/>
        <v>0</v>
      </c>
      <c r="AU129" s="45">
        <f t="shared" ca="1" si="89"/>
        <v>0</v>
      </c>
      <c r="AV129" s="46">
        <f ca="1">AU129*Inputs!$B$35</f>
        <v>0</v>
      </c>
      <c r="AW129" s="46">
        <f ca="1">AR129*Inputs!$C$6+AT129*Inputs!$C$7+AS129*Inputs!$C$8</f>
        <v>0</v>
      </c>
      <c r="AX129" s="46">
        <f t="shared" ca="1" si="90"/>
        <v>47442469.312733516</v>
      </c>
      <c r="AY129" s="46">
        <f ca="1">IF(J129&gt;1,($CD$4)*Inputs!$B$55*((Z129+AA129+AB129)/(SUM(ILP_A_CostFocused!$C$9:$E$13))),0)</f>
        <v>0</v>
      </c>
      <c r="AZ129" s="46">
        <f t="shared" ca="1" si="91"/>
        <v>0</v>
      </c>
      <c r="BA129" s="41">
        <f t="shared" ca="1" si="92"/>
        <v>0</v>
      </c>
      <c r="BB129" s="41">
        <f t="shared" ca="1" si="93"/>
        <v>1</v>
      </c>
      <c r="BC129" s="41">
        <f t="shared" ca="1" si="94"/>
        <v>1</v>
      </c>
      <c r="BD129" s="41">
        <f t="shared" ca="1" si="95"/>
        <v>1</v>
      </c>
    </row>
    <row r="130" spans="1:56" ht="15" customHeight="1" x14ac:dyDescent="0.3">
      <c r="A130" s="41">
        <v>123</v>
      </c>
      <c r="B130" s="42">
        <f t="shared" ca="1" si="77"/>
        <v>0.78210161587782434</v>
      </c>
      <c r="C130" s="43">
        <f ca="1">IF(B130&lt;=Inputs!$C$40,Inputs!$D$40,IF(B130&lt;=Inputs!$C$41,Inputs!$D$41,Inputs!$D$42))</f>
        <v>1.1499999999999999</v>
      </c>
      <c r="D130" s="42">
        <f t="shared" ca="1" si="100"/>
        <v>0.5783658669161722</v>
      </c>
      <c r="E130" s="42">
        <f t="shared" ca="1" si="100"/>
        <v>0.89308339889375166</v>
      </c>
      <c r="F130" s="42">
        <f t="shared" ca="1" si="100"/>
        <v>0.87442622646887169</v>
      </c>
      <c r="G130" s="42">
        <f t="shared" ca="1" si="100"/>
        <v>0.81551812027049086</v>
      </c>
      <c r="H130" s="42">
        <f t="shared" ca="1" si="100"/>
        <v>0.1122051081944716</v>
      </c>
      <c r="I130" s="42">
        <f t="shared" ca="1" si="100"/>
        <v>0.93897074978203843</v>
      </c>
      <c r="J130" s="43">
        <f ca="1">IF(I130&lt;Inputs!$B$54,1+Inputs!$B$55,1)</f>
        <v>1</v>
      </c>
      <c r="K130" s="42">
        <f t="shared" ca="1" si="101"/>
        <v>0.80960274120639586</v>
      </c>
      <c r="L130" s="42">
        <f t="shared" ca="1" si="101"/>
        <v>0.41679312242284972</v>
      </c>
      <c r="M130" s="42">
        <f t="shared" ca="1" si="101"/>
        <v>0.14776346352822056</v>
      </c>
      <c r="N130" s="42">
        <f t="shared" ca="1" si="101"/>
        <v>0.4607059445258227</v>
      </c>
      <c r="O130" s="42">
        <f t="shared" ca="1" si="101"/>
        <v>6.2004071707463138E-2</v>
      </c>
      <c r="P130" s="42">
        <f t="shared" ca="1" si="101"/>
        <v>0.27474006248954197</v>
      </c>
      <c r="Q130" s="42">
        <f t="shared" ca="1" si="101"/>
        <v>0.32852317516290197</v>
      </c>
      <c r="R130" s="42">
        <f t="shared" ca="1" si="101"/>
        <v>0.8323155938308342</v>
      </c>
      <c r="S130" s="42">
        <f t="shared" ca="1" si="101"/>
        <v>0.53829828838540261</v>
      </c>
      <c r="T130" s="42">
        <f t="shared" ca="1" si="101"/>
        <v>5.3416199811334719E-2</v>
      </c>
      <c r="U130" s="44">
        <f ca="1">(IF(D130&gt;=Inputs!$E$12,1,IF(K130&lt;=Inputs!$C$46,Inputs!$D$46,IF(K130&lt;=Inputs!$C$47,Inputs!$D$47,Inputs!$D$48))))*((Inputs!$B$28+(P130-0.5)*2*Inputs!$B$53)/Inputs!$B$28)</f>
        <v>0.99772004111831525</v>
      </c>
      <c r="V130" s="44">
        <f ca="1">(IF(E130&gt;=Inputs!$E$13,1,IF(L130&lt;=Inputs!$C$46,Inputs!$D$46,IF(L130&lt;=Inputs!$C$47,Inputs!$D$47,Inputs!$D$48))))*((Inputs!$B$29+(Q130-0.5)*2*Inputs!$B$53)/Inputs!$B$29)</f>
        <v>0.99827140297543249</v>
      </c>
      <c r="W130" s="44">
        <f ca="1">(IF(F130&gt;=Inputs!$E$14,1,IF(M130&lt;=Inputs!$C$46,Inputs!$D$46,IF(M130&lt;=Inputs!$C$47,Inputs!$D$47,Inputs!$D$48))))*((Inputs!$B$30+(R130-0.5)*2*Inputs!$B$53)/Inputs!$B$30)</f>
        <v>1.0033398552143802</v>
      </c>
      <c r="X130" s="44">
        <f ca="1">(IF(G130&gt;=Inputs!$E$15,1,IF(N130&lt;=Inputs!$C$46,Inputs!$D$46,IF(N130&lt;=Inputs!$C$47,Inputs!$D$47,Inputs!$D$48))))*((Inputs!$B$31+(S130-0.5)*2*Inputs!$B$53)/Inputs!$B$31)</f>
        <v>1.0003888151105118</v>
      </c>
      <c r="Y130" s="44">
        <f ca="1">(IF(H130&gt;=Inputs!$E$16,1,IF(O130&lt;=Inputs!$C$46,Inputs!$D$46,IF(O130&lt;=Inputs!$C$47,Inputs!$D$47,Inputs!$D$48))))*((Inputs!$B$32+(T130-0.5)*2*Inputs!$B$53)/Inputs!$B$32)</f>
        <v>0.99550720522949032</v>
      </c>
      <c r="Z130" s="45">
        <f ca="1">ILP_A_CostFocused!$C$9*U130+ILP_A_CostFocused!$C$10*V130+ILP_A_CostFocused!$C$11*W130+ILP_A_CostFocused!$C$12*X130+ILP_A_CostFocused!$C$13*Y130</f>
        <v>17987.832019088826</v>
      </c>
      <c r="AA130" s="45">
        <f ca="1">ILP_A_CostFocused!$D$9*U130+ILP_A_CostFocused!$D$10*V130+ILP_A_CostFocused!$D$11*W130+ILP_A_CostFocused!$D$12*X130+ILP_A_CostFocused!$D$13*Y130</f>
        <v>15001.471697159228</v>
      </c>
      <c r="AB130" s="45">
        <f ca="1">ILP_A_CostFocused!$E$9*U130+ILP_A_CostFocused!$E$10*V130+ILP_A_CostFocused!$E$11*W130+ILP_A_CostFocused!$E$12*X130+ILP_A_CostFocused!$E$13*Y130</f>
        <v>11975.287030333944</v>
      </c>
      <c r="AC130" s="45">
        <f ca="1">Inputs!$B$6*$C130</f>
        <v>20700</v>
      </c>
      <c r="AD130" s="45">
        <f ca="1">Inputs!$B$7*$C130</f>
        <v>17250</v>
      </c>
      <c r="AE130" s="45">
        <f ca="1">Inputs!$B$8*$C130</f>
        <v>13799.999999999998</v>
      </c>
      <c r="AF130" s="45">
        <f t="shared" ca="1" si="78"/>
        <v>2712.1679809111738</v>
      </c>
      <c r="AG130" s="45">
        <f t="shared" ca="1" si="79"/>
        <v>2248.5283028407721</v>
      </c>
      <c r="AH130" s="45">
        <f t="shared" ca="1" si="80"/>
        <v>1824.7129696660541</v>
      </c>
      <c r="AI130" s="45">
        <f t="shared" ca="1" si="81"/>
        <v>6785.4092534179999</v>
      </c>
      <c r="AJ130" s="45">
        <f ca="1">U130*(Inputs!$B$12-ILP_A_CostFocused!$F$9)+V130*(Inputs!$B$13-ILP_A_CostFocused!$F$10)+W130*(Inputs!$B$14-ILP_A_CostFocused!$F$11)+X130*(Inputs!$B$15-ILP_A_CostFocused!$F$12)+Y130*(Inputs!$B$16-ILP_A_CostFocused!$F$13)</f>
        <v>24955.421530522544</v>
      </c>
      <c r="AK130" s="45">
        <f t="shared" ca="1" si="82"/>
        <v>6785.4092534179999</v>
      </c>
      <c r="AL130" s="45">
        <f t="shared" ca="1" si="83"/>
        <v>0</v>
      </c>
      <c r="AM130" s="45">
        <f t="shared" ca="1" si="84"/>
        <v>0</v>
      </c>
      <c r="AN130" s="45">
        <f t="shared" ca="1" si="85"/>
        <v>0</v>
      </c>
      <c r="AO130" s="45">
        <f ca="1">MIN(AL130,Inputs!$B$36)</f>
        <v>0</v>
      </c>
      <c r="AP130" s="45">
        <f ca="1">MIN(AN130,Inputs!$B$36-AO130)</f>
        <v>0</v>
      </c>
      <c r="AQ130" s="45">
        <f ca="1">MIN(AM130,Inputs!$B$36-AO130-AP130)</f>
        <v>0</v>
      </c>
      <c r="AR130" s="45">
        <f t="shared" ca="1" si="86"/>
        <v>0</v>
      </c>
      <c r="AS130" s="45">
        <f t="shared" ca="1" si="87"/>
        <v>0</v>
      </c>
      <c r="AT130" s="45">
        <f t="shared" ca="1" si="88"/>
        <v>0</v>
      </c>
      <c r="AU130" s="45">
        <f t="shared" ca="1" si="89"/>
        <v>0</v>
      </c>
      <c r="AV130" s="46">
        <f ca="1">AU130*Inputs!$B$35</f>
        <v>0</v>
      </c>
      <c r="AW130" s="46">
        <f ca="1">AR130*Inputs!$C$6+AT130*Inputs!$C$7+AS130*Inputs!$C$8</f>
        <v>0</v>
      </c>
      <c r="AX130" s="46">
        <f t="shared" ca="1" si="90"/>
        <v>47354571.705126025</v>
      </c>
      <c r="AY130" s="46">
        <f ca="1">IF(J130&gt;1,($CD$4)*Inputs!$B$55*((Z130+AA130+AB130)/(SUM(ILP_A_CostFocused!$C$9:$E$13))),0)</f>
        <v>0</v>
      </c>
      <c r="AZ130" s="46">
        <f t="shared" ca="1" si="91"/>
        <v>0</v>
      </c>
      <c r="BA130" s="41">
        <f t="shared" ca="1" si="92"/>
        <v>0</v>
      </c>
      <c r="BB130" s="41">
        <f t="shared" ca="1" si="93"/>
        <v>1</v>
      </c>
      <c r="BC130" s="41">
        <f t="shared" ca="1" si="94"/>
        <v>1</v>
      </c>
      <c r="BD130" s="41">
        <f t="shared" ca="1" si="95"/>
        <v>1</v>
      </c>
    </row>
    <row r="131" spans="1:56" ht="15" customHeight="1" x14ac:dyDescent="0.3">
      <c r="A131" s="41">
        <v>124</v>
      </c>
      <c r="B131" s="42">
        <f t="shared" ca="1" si="77"/>
        <v>0.90150262939242531</v>
      </c>
      <c r="C131" s="43">
        <f ca="1">IF(B131&lt;=Inputs!$C$40,Inputs!$D$40,IF(B131&lt;=Inputs!$C$41,Inputs!$D$41,Inputs!$D$42))</f>
        <v>1.1499999999999999</v>
      </c>
      <c r="D131" s="42">
        <f t="shared" ca="1" si="100"/>
        <v>0.36256581451271563</v>
      </c>
      <c r="E131" s="42">
        <f t="shared" ca="1" si="100"/>
        <v>0.71287904131874602</v>
      </c>
      <c r="F131" s="42">
        <f t="shared" ca="1" si="100"/>
        <v>0.80599517680813981</v>
      </c>
      <c r="G131" s="42">
        <f t="shared" ca="1" si="100"/>
        <v>0.21326908642863618</v>
      </c>
      <c r="H131" s="42">
        <f t="shared" ca="1" si="100"/>
        <v>0.41878479564065829</v>
      </c>
      <c r="I131" s="42">
        <f t="shared" ca="1" si="100"/>
        <v>0.63869946425894364</v>
      </c>
      <c r="J131" s="43">
        <f ca="1">IF(I131&lt;Inputs!$B$54,1+Inputs!$B$55,1)</f>
        <v>1</v>
      </c>
      <c r="K131" s="42">
        <f t="shared" ca="1" si="101"/>
        <v>5.3397819496626253E-2</v>
      </c>
      <c r="L131" s="42">
        <f t="shared" ca="1" si="101"/>
        <v>0.91669511420578043</v>
      </c>
      <c r="M131" s="42">
        <f t="shared" ca="1" si="101"/>
        <v>0.11483870496875237</v>
      </c>
      <c r="N131" s="42">
        <f t="shared" ca="1" si="101"/>
        <v>1.0364287187888399E-2</v>
      </c>
      <c r="O131" s="42">
        <f t="shared" ca="1" si="101"/>
        <v>0.64698902668689795</v>
      </c>
      <c r="P131" s="42">
        <f t="shared" ca="1" si="101"/>
        <v>0.69328735663587293</v>
      </c>
      <c r="Q131" s="42">
        <f t="shared" ca="1" si="101"/>
        <v>0.9753732180967587</v>
      </c>
      <c r="R131" s="42">
        <f t="shared" ca="1" si="101"/>
        <v>0.76019615309354494</v>
      </c>
      <c r="S131" s="42">
        <f t="shared" ca="1" si="101"/>
        <v>0.19517436057716642</v>
      </c>
      <c r="T131" s="42">
        <f t="shared" ca="1" si="101"/>
        <v>0.43136539102277882</v>
      </c>
      <c r="U131" s="44">
        <f ca="1">(IF(D131&gt;=Inputs!$E$12,1,IF(K131&lt;=Inputs!$C$46,Inputs!$D$46,IF(K131&lt;=Inputs!$C$47,Inputs!$D$47,Inputs!$D$48))))*((Inputs!$B$28+(P131-0.5)*2*Inputs!$B$53)/Inputs!$B$28)</f>
        <v>1.0019563497635209</v>
      </c>
      <c r="V131" s="44">
        <f ca="1">(IF(E131&gt;=Inputs!$E$13,1,IF(L131&lt;=Inputs!$C$46,Inputs!$D$46,IF(L131&lt;=Inputs!$C$47,Inputs!$D$47,Inputs!$D$48))))*((Inputs!$B$29+(Q131-0.5)*2*Inputs!$B$53)/Inputs!$B$29)</f>
        <v>1.0047920687308141</v>
      </c>
      <c r="W131" s="44">
        <f ca="1">(IF(F131&gt;=Inputs!$E$14,1,IF(M131&lt;=Inputs!$C$46,Inputs!$D$46,IF(M131&lt;=Inputs!$C$47,Inputs!$D$47,Inputs!$D$48))))*((Inputs!$B$30+(R131-0.5)*2*Inputs!$B$53)/Inputs!$B$30)</f>
        <v>1.0026150367145081</v>
      </c>
      <c r="X131" s="44">
        <f ca="1">(IF(G131&gt;=Inputs!$E$15,1,IF(N131&lt;=Inputs!$C$46,Inputs!$D$46,IF(N131&lt;=Inputs!$C$47,Inputs!$D$47,Inputs!$D$48))))*((Inputs!$B$31+(S131-0.5)*2*Inputs!$B$53)/Inputs!$B$31)</f>
        <v>0.99690532345763616</v>
      </c>
      <c r="Y131" s="44">
        <f ca="1">(IF(H131&gt;=Inputs!$E$16,1,IF(O131&lt;=Inputs!$C$46,Inputs!$D$46,IF(O131&lt;=Inputs!$C$47,Inputs!$D$47,Inputs!$D$48))))*((Inputs!$B$32+(T131-0.5)*2*Inputs!$B$53)/Inputs!$B$32)</f>
        <v>0.99930951097608423</v>
      </c>
      <c r="Z131" s="45">
        <f ca="1">ILP_A_CostFocused!$C$9*U131+ILP_A_CostFocused!$C$10*V131+ILP_A_CostFocused!$C$11*W131+ILP_A_CostFocused!$C$12*X131+ILP_A_CostFocused!$C$13*Y131</f>
        <v>17980.912754908943</v>
      </c>
      <c r="AA131" s="45">
        <f ca="1">ILP_A_CostFocused!$D$9*U131+ILP_A_CostFocused!$D$10*V131+ILP_A_CostFocused!$D$11*W131+ILP_A_CostFocused!$D$12*X131+ILP_A_CostFocused!$D$13*Y131</f>
        <v>15052.994931342366</v>
      </c>
      <c r="AB131" s="45">
        <f ca="1">ILP_A_CostFocused!$E$9*U131+ILP_A_CostFocused!$E$10*V131+ILP_A_CostFocused!$E$11*W131+ILP_A_CostFocused!$E$12*X131+ILP_A_CostFocused!$E$13*Y131</f>
        <v>12037.087648205259</v>
      </c>
      <c r="AC131" s="45">
        <f ca="1">Inputs!$B$6*$C131</f>
        <v>20700</v>
      </c>
      <c r="AD131" s="45">
        <f ca="1">Inputs!$B$7*$C131</f>
        <v>17250</v>
      </c>
      <c r="AE131" s="45">
        <f ca="1">Inputs!$B$8*$C131</f>
        <v>13799.999999999998</v>
      </c>
      <c r="AF131" s="45">
        <f t="shared" ca="1" si="78"/>
        <v>2719.0872450910574</v>
      </c>
      <c r="AG131" s="45">
        <f t="shared" ca="1" si="79"/>
        <v>2197.0050686576342</v>
      </c>
      <c r="AH131" s="45">
        <f t="shared" ca="1" si="80"/>
        <v>1762.9123517947392</v>
      </c>
      <c r="AI131" s="45">
        <f t="shared" ca="1" si="81"/>
        <v>6679.0046655434307</v>
      </c>
      <c r="AJ131" s="45">
        <f ca="1">U131*(Inputs!$B$12-ILP_A_CostFocused!$F$9)+V131*(Inputs!$B$13-ILP_A_CostFocused!$F$10)+W131*(Inputs!$B$14-ILP_A_CostFocused!$F$11)+X131*(Inputs!$B$15-ILP_A_CostFocused!$F$12)+Y131*(Inputs!$B$16-ILP_A_CostFocused!$F$13)</f>
        <v>25013.897247412668</v>
      </c>
      <c r="AK131" s="45">
        <f t="shared" ca="1" si="82"/>
        <v>6679.0046655434307</v>
      </c>
      <c r="AL131" s="45">
        <f t="shared" ca="1" si="83"/>
        <v>0</v>
      </c>
      <c r="AM131" s="45">
        <f t="shared" ca="1" si="84"/>
        <v>0</v>
      </c>
      <c r="AN131" s="45">
        <f t="shared" ca="1" si="85"/>
        <v>0</v>
      </c>
      <c r="AO131" s="45">
        <f ca="1">MIN(AL131,Inputs!$B$36)</f>
        <v>0</v>
      </c>
      <c r="AP131" s="45">
        <f ca="1">MIN(AN131,Inputs!$B$36-AO131)</f>
        <v>0</v>
      </c>
      <c r="AQ131" s="45">
        <f ca="1">MIN(AM131,Inputs!$B$36-AO131-AP131)</f>
        <v>0</v>
      </c>
      <c r="AR131" s="45">
        <f t="shared" ca="1" si="86"/>
        <v>0</v>
      </c>
      <c r="AS131" s="45">
        <f t="shared" ca="1" si="87"/>
        <v>0</v>
      </c>
      <c r="AT131" s="45">
        <f t="shared" ca="1" si="88"/>
        <v>0</v>
      </c>
      <c r="AU131" s="45">
        <f t="shared" ca="1" si="89"/>
        <v>0</v>
      </c>
      <c r="AV131" s="46">
        <f ca="1">AU131*Inputs!$B$35</f>
        <v>0</v>
      </c>
      <c r="AW131" s="46">
        <f ca="1">AR131*Inputs!$C$6+AT131*Inputs!$C$7+AS131*Inputs!$C$8</f>
        <v>0</v>
      </c>
      <c r="AX131" s="46">
        <f t="shared" ca="1" si="90"/>
        <v>47468818.124908529</v>
      </c>
      <c r="AY131" s="46">
        <f ca="1">IF(J131&gt;1,($CD$4)*Inputs!$B$55*((Z131+AA131+AB131)/(SUM(ILP_A_CostFocused!$C$9:$E$13))),0)</f>
        <v>0</v>
      </c>
      <c r="AZ131" s="46">
        <f t="shared" ca="1" si="91"/>
        <v>0</v>
      </c>
      <c r="BA131" s="41">
        <f t="shared" ca="1" si="92"/>
        <v>0</v>
      </c>
      <c r="BB131" s="41">
        <f t="shared" ca="1" si="93"/>
        <v>1</v>
      </c>
      <c r="BC131" s="41">
        <f t="shared" ca="1" si="94"/>
        <v>1</v>
      </c>
      <c r="BD131" s="41">
        <f t="shared" ca="1" si="95"/>
        <v>1</v>
      </c>
    </row>
    <row r="132" spans="1:56" ht="15" customHeight="1" x14ac:dyDescent="0.3">
      <c r="A132" s="41">
        <v>125</v>
      </c>
      <c r="B132" s="42">
        <f t="shared" ca="1" si="77"/>
        <v>0.66598632426127147</v>
      </c>
      <c r="C132" s="43">
        <f ca="1">IF(B132&lt;=Inputs!$C$40,Inputs!$D$40,IF(B132&lt;=Inputs!$C$41,Inputs!$D$41,Inputs!$D$42))</f>
        <v>1</v>
      </c>
      <c r="D132" s="42">
        <f t="shared" ca="1" si="100"/>
        <v>0.14261321275376571</v>
      </c>
      <c r="E132" s="42">
        <f t="shared" ca="1" si="100"/>
        <v>0.8299418420610134</v>
      </c>
      <c r="F132" s="42">
        <f t="shared" ca="1" si="100"/>
        <v>0.83640343054287036</v>
      </c>
      <c r="G132" s="42">
        <f t="shared" ca="1" si="100"/>
        <v>6.7942591166647137E-2</v>
      </c>
      <c r="H132" s="42">
        <f t="shared" ca="1" si="100"/>
        <v>0.76793553573449291</v>
      </c>
      <c r="I132" s="42">
        <f t="shared" ca="1" si="100"/>
        <v>0.2173333935684495</v>
      </c>
      <c r="J132" s="43">
        <f ca="1">IF(I132&lt;Inputs!$B$54,1+Inputs!$B$55,1)</f>
        <v>1</v>
      </c>
      <c r="K132" s="42">
        <f t="shared" ca="1" si="101"/>
        <v>0.27268893721820675</v>
      </c>
      <c r="L132" s="42">
        <f t="shared" ca="1" si="101"/>
        <v>3.9295395895898033E-2</v>
      </c>
      <c r="M132" s="42">
        <f t="shared" ca="1" si="101"/>
        <v>0.97850597438393661</v>
      </c>
      <c r="N132" s="42">
        <f t="shared" ca="1" si="101"/>
        <v>2.544976632071938E-2</v>
      </c>
      <c r="O132" s="42">
        <f t="shared" ca="1" si="101"/>
        <v>0.82975373998139623</v>
      </c>
      <c r="P132" s="42">
        <f t="shared" ca="1" si="101"/>
        <v>0.47062893740179923</v>
      </c>
      <c r="Q132" s="42">
        <f t="shared" ca="1" si="101"/>
        <v>0.91454058994120302</v>
      </c>
      <c r="R132" s="42">
        <f t="shared" ca="1" si="101"/>
        <v>0.1126220694523804</v>
      </c>
      <c r="S132" s="42">
        <f t="shared" ca="1" si="101"/>
        <v>9.0021964216574046E-2</v>
      </c>
      <c r="T132" s="42">
        <f t="shared" ca="1" si="101"/>
        <v>3.3960451721579465E-2</v>
      </c>
      <c r="U132" s="44">
        <f ca="1">(IF(D132&gt;=Inputs!$E$12,1,IF(K132&lt;=Inputs!$C$46,Inputs!$D$46,IF(K132&lt;=Inputs!$C$47,Inputs!$D$47,Inputs!$D$48))))*((Inputs!$B$28+(P132-0.5)*2*Inputs!$B$53)/Inputs!$B$28)</f>
        <v>0.99970272203847976</v>
      </c>
      <c r="V132" s="44">
        <f ca="1">(IF(E132&gt;=Inputs!$E$13,1,IF(L132&lt;=Inputs!$C$46,Inputs!$D$46,IF(L132&lt;=Inputs!$C$47,Inputs!$D$47,Inputs!$D$48))))*((Inputs!$B$29+(Q132-0.5)*2*Inputs!$B$53)/Inputs!$B$29)</f>
        <v>1.0041788365921491</v>
      </c>
      <c r="W132" s="44">
        <f ca="1">(IF(F132&gt;=Inputs!$E$14,1,IF(M132&lt;=Inputs!$C$46,Inputs!$D$46,IF(M132&lt;=Inputs!$C$47,Inputs!$D$47,Inputs!$D$48))))*((Inputs!$B$30+(R132-0.5)*2*Inputs!$B$53)/Inputs!$B$30)</f>
        <v>0.99610675446685815</v>
      </c>
      <c r="X132" s="44">
        <f ca="1">(IF(G132&gt;=Inputs!$E$15,1,IF(N132&lt;=Inputs!$C$46,Inputs!$D$46,IF(N132&lt;=Inputs!$C$47,Inputs!$D$47,Inputs!$D$48))))*((Inputs!$B$31+(S132-0.5)*2*Inputs!$B$53)/Inputs!$B$31)</f>
        <v>0.59750267186324812</v>
      </c>
      <c r="Y132" s="44">
        <f ca="1">(IF(H132&gt;=Inputs!$E$16,1,IF(O132&lt;=Inputs!$C$46,Inputs!$D$46,IF(O132&lt;=Inputs!$C$47,Inputs!$D$47,Inputs!$D$48))))*((Inputs!$B$32+(T132-0.5)*2*Inputs!$B$53)/Inputs!$B$32)</f>
        <v>0.99531147335735992</v>
      </c>
      <c r="Z132" s="45">
        <f ca="1">ILP_A_CostFocused!$C$9*U132+ILP_A_CostFocused!$C$10*V132+ILP_A_CostFocused!$C$11*W132+ILP_A_CostFocused!$C$12*X132+ILP_A_CostFocused!$C$13*Y132</f>
        <v>13651.282352880859</v>
      </c>
      <c r="AA132" s="45">
        <f ca="1">ILP_A_CostFocused!$D$9*U132+ILP_A_CostFocused!$D$10*V132+ILP_A_CostFocused!$D$11*W132+ILP_A_CostFocused!$D$12*X132+ILP_A_CostFocused!$D$13*Y132</f>
        <v>14607.673891874807</v>
      </c>
      <c r="AB132" s="45">
        <f ca="1">ILP_A_CostFocused!$E$9*U132+ILP_A_CostFocused!$E$10*V132+ILP_A_CostFocused!$E$11*W132+ILP_A_CostFocused!$E$12*X132+ILP_A_CostFocused!$E$13*Y132</f>
        <v>12017.91801431937</v>
      </c>
      <c r="AC132" s="45">
        <f ca="1">Inputs!$B$6*$C132</f>
        <v>18000</v>
      </c>
      <c r="AD132" s="45">
        <f ca="1">Inputs!$B$7*$C132</f>
        <v>15000</v>
      </c>
      <c r="AE132" s="45">
        <f ca="1">Inputs!$B$8*$C132</f>
        <v>12000</v>
      </c>
      <c r="AF132" s="45">
        <f t="shared" ca="1" si="78"/>
        <v>4348.7176471191415</v>
      </c>
      <c r="AG132" s="45">
        <f t="shared" ca="1" si="79"/>
        <v>392.32610812519306</v>
      </c>
      <c r="AH132" s="45">
        <f t="shared" ca="1" si="80"/>
        <v>0</v>
      </c>
      <c r="AI132" s="45">
        <f t="shared" ca="1" si="81"/>
        <v>4741.0437552443345</v>
      </c>
      <c r="AJ132" s="45">
        <f ca="1">U132*(Inputs!$B$12-ILP_A_CostFocused!$F$9)+V132*(Inputs!$B$13-ILP_A_CostFocused!$F$10)+W132*(Inputs!$B$14-ILP_A_CostFocused!$F$11)+X132*(Inputs!$B$15-ILP_A_CostFocused!$F$12)+Y132*(Inputs!$B$16-ILP_A_CostFocused!$F$13)</f>
        <v>24825.96497661926</v>
      </c>
      <c r="AK132" s="45">
        <f t="shared" ca="1" si="82"/>
        <v>4741.0437552443345</v>
      </c>
      <c r="AL132" s="45">
        <f t="shared" ca="1" si="83"/>
        <v>0</v>
      </c>
      <c r="AM132" s="45">
        <f t="shared" ca="1" si="84"/>
        <v>0</v>
      </c>
      <c r="AN132" s="45">
        <f t="shared" ca="1" si="85"/>
        <v>0</v>
      </c>
      <c r="AO132" s="45">
        <f ca="1">MIN(AL132,Inputs!$B$36)</f>
        <v>0</v>
      </c>
      <c r="AP132" s="45">
        <f ca="1">MIN(AN132,Inputs!$B$36-AO132)</f>
        <v>0</v>
      </c>
      <c r="AQ132" s="45">
        <f ca="1">MIN(AM132,Inputs!$B$36-AO132-AP132)</f>
        <v>0</v>
      </c>
      <c r="AR132" s="45">
        <f t="shared" ca="1" si="86"/>
        <v>0</v>
      </c>
      <c r="AS132" s="45">
        <f t="shared" ca="1" si="87"/>
        <v>0</v>
      </c>
      <c r="AT132" s="45">
        <f t="shared" ca="1" si="88"/>
        <v>0</v>
      </c>
      <c r="AU132" s="45">
        <f t="shared" ca="1" si="89"/>
        <v>0</v>
      </c>
      <c r="AV132" s="46">
        <f ca="1">AU132*Inputs!$B$35</f>
        <v>0</v>
      </c>
      <c r="AW132" s="46">
        <f ca="1">AR132*Inputs!$C$6+AT132*Inputs!$C$7+AS132*Inputs!$C$8</f>
        <v>0</v>
      </c>
      <c r="AX132" s="46">
        <f t="shared" ca="1" si="90"/>
        <v>42514755.701350473</v>
      </c>
      <c r="AY132" s="46">
        <f ca="1">IF(J132&gt;1,($CD$4)*Inputs!$B$55*((Z132+AA132+AB132)/(SUM(ILP_A_CostFocused!$C$9:$E$13))),0)</f>
        <v>0</v>
      </c>
      <c r="AZ132" s="46">
        <f t="shared" ca="1" si="91"/>
        <v>0</v>
      </c>
      <c r="BA132" s="41">
        <f t="shared" ca="1" si="92"/>
        <v>0</v>
      </c>
      <c r="BB132" s="41">
        <f t="shared" ca="1" si="93"/>
        <v>1</v>
      </c>
      <c r="BC132" s="41">
        <f t="shared" ca="1" si="94"/>
        <v>1</v>
      </c>
      <c r="BD132" s="41">
        <f t="shared" ca="1" si="95"/>
        <v>1</v>
      </c>
    </row>
    <row r="133" spans="1:56" ht="15" customHeight="1" x14ac:dyDescent="0.3">
      <c r="A133" s="41">
        <v>126</v>
      </c>
      <c r="B133" s="42">
        <f t="shared" ca="1" si="77"/>
        <v>0.37445107025333391</v>
      </c>
      <c r="C133" s="43">
        <f ca="1">IF(B133&lt;=Inputs!$C$40,Inputs!$D$40,IF(B133&lt;=Inputs!$C$41,Inputs!$D$41,Inputs!$D$42))</f>
        <v>1</v>
      </c>
      <c r="D133" s="42">
        <f t="shared" ca="1" si="100"/>
        <v>0.61534496596554422</v>
      </c>
      <c r="E133" s="42">
        <f t="shared" ca="1" si="100"/>
        <v>0.1036631560672745</v>
      </c>
      <c r="F133" s="42">
        <f t="shared" ca="1" si="100"/>
        <v>5.0250005677157095E-3</v>
      </c>
      <c r="G133" s="42">
        <f t="shared" ca="1" si="100"/>
        <v>0.96498396158993249</v>
      </c>
      <c r="H133" s="42">
        <f t="shared" ca="1" si="100"/>
        <v>0.67038343834178116</v>
      </c>
      <c r="I133" s="42">
        <f t="shared" ca="1" si="100"/>
        <v>0.52980082917957405</v>
      </c>
      <c r="J133" s="43">
        <f ca="1">IF(I133&lt;Inputs!$B$54,1+Inputs!$B$55,1)</f>
        <v>1</v>
      </c>
      <c r="K133" s="42">
        <f t="shared" ca="1" si="101"/>
        <v>0.82598615841657852</v>
      </c>
      <c r="L133" s="42">
        <f t="shared" ca="1" si="101"/>
        <v>0.84782347217093346</v>
      </c>
      <c r="M133" s="42">
        <f t="shared" ca="1" si="101"/>
        <v>3.4226529296458308E-2</v>
      </c>
      <c r="N133" s="42">
        <f t="shared" ca="1" si="101"/>
        <v>0.38417256399550692</v>
      </c>
      <c r="O133" s="42">
        <f t="shared" ca="1" si="101"/>
        <v>0.97086740530407623</v>
      </c>
      <c r="P133" s="42">
        <f t="shared" ca="1" si="101"/>
        <v>4.7316629620091977E-2</v>
      </c>
      <c r="Q133" s="42">
        <f t="shared" ca="1" si="101"/>
        <v>0.8483204321966501</v>
      </c>
      <c r="R133" s="42">
        <f t="shared" ca="1" si="101"/>
        <v>0.81709707555204192</v>
      </c>
      <c r="S133" s="42">
        <f t="shared" ca="1" si="101"/>
        <v>0.48490279238210032</v>
      </c>
      <c r="T133" s="42">
        <f t="shared" ca="1" si="101"/>
        <v>6.2146205290930734E-2</v>
      </c>
      <c r="U133" s="44">
        <f ca="1">(IF(D133&gt;=Inputs!$E$12,1,IF(K133&lt;=Inputs!$C$46,Inputs!$D$46,IF(K133&lt;=Inputs!$C$47,Inputs!$D$47,Inputs!$D$48))))*((Inputs!$B$28+(P133-0.5)*2*Inputs!$B$53)/Inputs!$B$28)</f>
        <v>0.99541818451032482</v>
      </c>
      <c r="V133" s="44">
        <f ca="1">(IF(E133&gt;=Inputs!$E$13,1,IF(L133&lt;=Inputs!$C$46,Inputs!$D$46,IF(L133&lt;=Inputs!$C$47,Inputs!$D$47,Inputs!$D$48))))*((Inputs!$B$29+(Q133-0.5)*2*Inputs!$B$53)/Inputs!$B$29)</f>
        <v>0</v>
      </c>
      <c r="W133" s="44">
        <f ca="1">(IF(F133&gt;=Inputs!$E$14,1,IF(M133&lt;=Inputs!$C$46,Inputs!$D$46,IF(M133&lt;=Inputs!$C$47,Inputs!$D$47,Inputs!$D$48))))*((Inputs!$B$30+(R133-0.5)*2*Inputs!$B$53)/Inputs!$B$30)</f>
        <v>0.60191214316915798</v>
      </c>
      <c r="X133" s="44">
        <f ca="1">(IF(G133&gt;=Inputs!$E$15,1,IF(N133&lt;=Inputs!$C$46,Inputs!$D$46,IF(N133&lt;=Inputs!$C$47,Inputs!$D$47,Inputs!$D$48))))*((Inputs!$B$31+(S133-0.5)*2*Inputs!$B$53)/Inputs!$B$31)</f>
        <v>0.99984672885667114</v>
      </c>
      <c r="Y133" s="44">
        <f ca="1">(IF(H133&gt;=Inputs!$E$16,1,IF(O133&lt;=Inputs!$C$46,Inputs!$D$46,IF(O133&lt;=Inputs!$C$47,Inputs!$D$47,Inputs!$D$48))))*((Inputs!$B$32+(T133-0.5)*2*Inputs!$B$53)/Inputs!$B$32)</f>
        <v>0.99559503224638768</v>
      </c>
      <c r="Z133" s="45">
        <f ca="1">ILP_A_CostFocused!$C$9*U133+ILP_A_CostFocused!$C$10*V133+ILP_A_CostFocused!$C$11*W133+ILP_A_CostFocused!$C$12*X133+ILP_A_CostFocused!$C$13*Y133</f>
        <v>17877.758799889478</v>
      </c>
      <c r="AA133" s="45">
        <f ca="1">ILP_A_CostFocused!$D$9*U133+ILP_A_CostFocused!$D$10*V133+ILP_A_CostFocused!$D$11*W133+ILP_A_CostFocused!$D$12*X133+ILP_A_CostFocused!$D$13*Y133</f>
        <v>4017.3661364162112</v>
      </c>
      <c r="AB133" s="45">
        <f ca="1">ILP_A_CostFocused!$E$9*U133+ILP_A_CostFocused!$E$10*V133+ILP_A_CostFocused!$E$11*W133+ILP_A_CostFocused!$E$12*X133+ILP_A_CostFocused!$E$13*Y133</f>
        <v>7167.0109284743385</v>
      </c>
      <c r="AC133" s="45">
        <f ca="1">Inputs!$B$6*$C133</f>
        <v>18000</v>
      </c>
      <c r="AD133" s="45">
        <f ca="1">Inputs!$B$7*$C133</f>
        <v>15000</v>
      </c>
      <c r="AE133" s="45">
        <f ca="1">Inputs!$B$8*$C133</f>
        <v>12000</v>
      </c>
      <c r="AF133" s="45">
        <f t="shared" ca="1" si="78"/>
        <v>122.24120011052219</v>
      </c>
      <c r="AG133" s="45">
        <f t="shared" ca="1" si="79"/>
        <v>10982.633863583789</v>
      </c>
      <c r="AH133" s="45">
        <f t="shared" ca="1" si="80"/>
        <v>4832.9890715256615</v>
      </c>
      <c r="AI133" s="45">
        <f t="shared" ca="1" si="81"/>
        <v>15937.864135219974</v>
      </c>
      <c r="AJ133" s="45">
        <f ca="1">U133*(Inputs!$B$12-ILP_A_CostFocused!$F$9)+V133*(Inputs!$B$13-ILP_A_CostFocused!$F$10)+W133*(Inputs!$B$14-ILP_A_CostFocused!$F$11)+X133*(Inputs!$B$15-ILP_A_CostFocused!$F$12)+Y133*(Inputs!$B$16-ILP_A_CostFocused!$F$13)</f>
        <v>21621.499178560091</v>
      </c>
      <c r="AK133" s="45">
        <f t="shared" ca="1" si="82"/>
        <v>15937.864135219974</v>
      </c>
      <c r="AL133" s="45">
        <f t="shared" ca="1" si="83"/>
        <v>0</v>
      </c>
      <c r="AM133" s="45">
        <f t="shared" ca="1" si="84"/>
        <v>0</v>
      </c>
      <c r="AN133" s="45">
        <f t="shared" ca="1" si="85"/>
        <v>0</v>
      </c>
      <c r="AO133" s="45">
        <f ca="1">MIN(AL133,Inputs!$B$36)</f>
        <v>0</v>
      </c>
      <c r="AP133" s="45">
        <f ca="1">MIN(AN133,Inputs!$B$36-AO133)</f>
        <v>0</v>
      </c>
      <c r="AQ133" s="45">
        <f ca="1">MIN(AM133,Inputs!$B$36-AO133-AP133)</f>
        <v>0</v>
      </c>
      <c r="AR133" s="45">
        <f t="shared" ca="1" si="86"/>
        <v>0</v>
      </c>
      <c r="AS133" s="45">
        <f t="shared" ca="1" si="87"/>
        <v>0</v>
      </c>
      <c r="AT133" s="45">
        <f t="shared" ca="1" si="88"/>
        <v>0</v>
      </c>
      <c r="AU133" s="45">
        <f t="shared" ca="1" si="89"/>
        <v>0</v>
      </c>
      <c r="AV133" s="46">
        <f ca="1">AU133*Inputs!$B$35</f>
        <v>0</v>
      </c>
      <c r="AW133" s="46">
        <f ca="1">AR133*Inputs!$C$6+AT133*Inputs!$C$7+AS133*Inputs!$C$8</f>
        <v>0</v>
      </c>
      <c r="AX133" s="46">
        <f t="shared" ca="1" si="90"/>
        <v>30444929.523257796</v>
      </c>
      <c r="AY133" s="46">
        <f ca="1">IF(J133&gt;1,($CD$4)*Inputs!$B$55*((Z133+AA133+AB133)/(SUM(ILP_A_CostFocused!$C$9:$E$13))),0)</f>
        <v>0</v>
      </c>
      <c r="AZ133" s="46">
        <f t="shared" ca="1" si="91"/>
        <v>0</v>
      </c>
      <c r="BA133" s="41">
        <f t="shared" ca="1" si="92"/>
        <v>0</v>
      </c>
      <c r="BB133" s="41">
        <f t="shared" ca="1" si="93"/>
        <v>1</v>
      </c>
      <c r="BC133" s="41">
        <f t="shared" ca="1" si="94"/>
        <v>1</v>
      </c>
      <c r="BD133" s="41">
        <f t="shared" ca="1" si="95"/>
        <v>1</v>
      </c>
    </row>
    <row r="134" spans="1:56" ht="15" customHeight="1" x14ac:dyDescent="0.3">
      <c r="A134" s="41">
        <v>127</v>
      </c>
      <c r="B134" s="42">
        <f t="shared" ca="1" si="77"/>
        <v>0.10891975050878366</v>
      </c>
      <c r="C134" s="43">
        <f ca="1">IF(B134&lt;=Inputs!$C$40,Inputs!$D$40,IF(B134&lt;=Inputs!$C$41,Inputs!$D$41,Inputs!$D$42))</f>
        <v>0.9</v>
      </c>
      <c r="D134" s="42">
        <f t="shared" ca="1" si="100"/>
        <v>0.56668159697334231</v>
      </c>
      <c r="E134" s="42">
        <f t="shared" ca="1" si="100"/>
        <v>0.48136631680745656</v>
      </c>
      <c r="F134" s="42">
        <f t="shared" ca="1" si="100"/>
        <v>0.86720727099607564</v>
      </c>
      <c r="G134" s="42">
        <f t="shared" ca="1" si="100"/>
        <v>0.11690750014989471</v>
      </c>
      <c r="H134" s="42">
        <f t="shared" ca="1" si="100"/>
        <v>0.57335776064768651</v>
      </c>
      <c r="I134" s="42">
        <f t="shared" ca="1" si="100"/>
        <v>0.9951502185829012</v>
      </c>
      <c r="J134" s="43">
        <f ca="1">IF(I134&lt;Inputs!$B$54,1+Inputs!$B$55,1)</f>
        <v>1</v>
      </c>
      <c r="K134" s="42">
        <f t="shared" ca="1" si="101"/>
        <v>7.6219130278122216E-2</v>
      </c>
      <c r="L134" s="42">
        <f t="shared" ca="1" si="101"/>
        <v>0.34837071597041702</v>
      </c>
      <c r="M134" s="42">
        <f t="shared" ca="1" si="101"/>
        <v>0.99153485288981069</v>
      </c>
      <c r="N134" s="42">
        <f t="shared" ca="1" si="101"/>
        <v>0.12978987465166825</v>
      </c>
      <c r="O134" s="42">
        <f t="shared" ca="1" si="101"/>
        <v>0.10369960229241404</v>
      </c>
      <c r="P134" s="42">
        <f t="shared" ca="1" si="101"/>
        <v>0.20287746865283662</v>
      </c>
      <c r="Q134" s="42">
        <f t="shared" ca="1" si="101"/>
        <v>0.46974041527605404</v>
      </c>
      <c r="R134" s="42">
        <f t="shared" ca="1" si="101"/>
        <v>0.70623686607444514</v>
      </c>
      <c r="S134" s="42">
        <f t="shared" ca="1" si="101"/>
        <v>0.96497315135725004</v>
      </c>
      <c r="T134" s="42">
        <f t="shared" ca="1" si="101"/>
        <v>0.34923408067603601</v>
      </c>
      <c r="U134" s="44">
        <f ca="1">(IF(D134&gt;=Inputs!$E$12,1,IF(K134&lt;=Inputs!$C$46,Inputs!$D$46,IF(K134&lt;=Inputs!$C$47,Inputs!$D$47,Inputs!$D$48))))*((Inputs!$B$28+(P134-0.5)*2*Inputs!$B$53)/Inputs!$B$28)</f>
        <v>0.99699268692968457</v>
      </c>
      <c r="V134" s="44">
        <f ca="1">(IF(E134&gt;=Inputs!$E$13,1,IF(L134&lt;=Inputs!$C$46,Inputs!$D$46,IF(L134&lt;=Inputs!$C$47,Inputs!$D$47,Inputs!$D$48))))*((Inputs!$B$29+(Q134-0.5)*2*Inputs!$B$53)/Inputs!$B$29)</f>
        <v>0.99969496386366985</v>
      </c>
      <c r="W134" s="44">
        <f ca="1">(IF(F134&gt;=Inputs!$E$14,1,IF(M134&lt;=Inputs!$C$46,Inputs!$D$46,IF(M134&lt;=Inputs!$C$47,Inputs!$D$47,Inputs!$D$48))))*((Inputs!$B$30+(R134-0.5)*2*Inputs!$B$53)/Inputs!$B$30)</f>
        <v>1.0020727323223564</v>
      </c>
      <c r="X134" s="44">
        <f ca="1">(IF(G134&gt;=Inputs!$E$15,1,IF(N134&lt;=Inputs!$C$46,Inputs!$D$46,IF(N134&lt;=Inputs!$C$47,Inputs!$D$47,Inputs!$D$48))))*((Inputs!$B$31+(S134-0.5)*2*Inputs!$B$53)/Inputs!$B$31)</f>
        <v>0.60283232376461271</v>
      </c>
      <c r="Y134" s="44">
        <f ca="1">(IF(H134&gt;=Inputs!$E$16,1,IF(O134&lt;=Inputs!$C$46,Inputs!$D$46,IF(O134&lt;=Inputs!$C$47,Inputs!$D$47,Inputs!$D$48))))*((Inputs!$B$32+(T134-0.5)*2*Inputs!$B$53)/Inputs!$B$32)</f>
        <v>0.99848324024824986</v>
      </c>
      <c r="Z134" s="45">
        <f ca="1">ILP_A_CostFocused!$C$9*U134+ILP_A_CostFocused!$C$10*V134+ILP_A_CostFocused!$C$11*W134+ILP_A_CostFocused!$C$12*X134+ILP_A_CostFocused!$C$13*Y134</f>
        <v>13689.174242921737</v>
      </c>
      <c r="AA134" s="45">
        <f ca="1">ILP_A_CostFocused!$D$9*U134+ILP_A_CostFocused!$D$10*V134+ILP_A_CostFocused!$D$11*W134+ILP_A_CostFocused!$D$12*X134+ILP_A_CostFocused!$D$13*Y134</f>
        <v>14602.465851978268</v>
      </c>
      <c r="AB134" s="45">
        <f ca="1">ILP_A_CostFocused!$E$9*U134+ILP_A_CostFocused!$E$10*V134+ILP_A_CostFocused!$E$11*W134+ILP_A_CostFocused!$E$12*X134+ILP_A_CostFocused!$E$13*Y134</f>
        <v>11976.883172439344</v>
      </c>
      <c r="AC134" s="45">
        <f ca="1">Inputs!$B$6*$C134</f>
        <v>16200</v>
      </c>
      <c r="AD134" s="45">
        <f ca="1">Inputs!$B$7*$C134</f>
        <v>13500</v>
      </c>
      <c r="AE134" s="45">
        <f ca="1">Inputs!$B$8*$C134</f>
        <v>10800</v>
      </c>
      <c r="AF134" s="45">
        <f t="shared" ca="1" si="78"/>
        <v>2510.8257570782625</v>
      </c>
      <c r="AG134" s="45">
        <f t="shared" ca="1" si="79"/>
        <v>0</v>
      </c>
      <c r="AH134" s="45">
        <f t="shared" ca="1" si="80"/>
        <v>0</v>
      </c>
      <c r="AI134" s="45">
        <f t="shared" ca="1" si="81"/>
        <v>2510.8257570782625</v>
      </c>
      <c r="AJ134" s="45">
        <f ca="1">U134*(Inputs!$B$12-ILP_A_CostFocused!$F$9)+V134*(Inputs!$B$13-ILP_A_CostFocused!$F$10)+W134*(Inputs!$B$14-ILP_A_CostFocused!$F$11)+X134*(Inputs!$B$15-ILP_A_CostFocused!$F$12)+Y134*(Inputs!$B$16-ILP_A_CostFocused!$F$13)</f>
        <v>24917.271226716715</v>
      </c>
      <c r="AK134" s="45">
        <f t="shared" ca="1" si="82"/>
        <v>2510.8257570782625</v>
      </c>
      <c r="AL134" s="45">
        <f t="shared" ca="1" si="83"/>
        <v>0</v>
      </c>
      <c r="AM134" s="45">
        <f t="shared" ca="1" si="84"/>
        <v>0</v>
      </c>
      <c r="AN134" s="45">
        <f t="shared" ca="1" si="85"/>
        <v>0</v>
      </c>
      <c r="AO134" s="45">
        <f ca="1">MIN(AL134,Inputs!$B$36)</f>
        <v>0</v>
      </c>
      <c r="AP134" s="45">
        <f ca="1">MIN(AN134,Inputs!$B$36-AO134)</f>
        <v>0</v>
      </c>
      <c r="AQ134" s="45">
        <f ca="1">MIN(AM134,Inputs!$B$36-AO134-AP134)</f>
        <v>0</v>
      </c>
      <c r="AR134" s="45">
        <f t="shared" ca="1" si="86"/>
        <v>0</v>
      </c>
      <c r="AS134" s="45">
        <f t="shared" ca="1" si="87"/>
        <v>0</v>
      </c>
      <c r="AT134" s="45">
        <f t="shared" ca="1" si="88"/>
        <v>0</v>
      </c>
      <c r="AU134" s="45">
        <f t="shared" ca="1" si="89"/>
        <v>0</v>
      </c>
      <c r="AV134" s="46">
        <f ca="1">AU134*Inputs!$B$35</f>
        <v>0</v>
      </c>
      <c r="AW134" s="46">
        <f ca="1">AR134*Inputs!$C$6+AT134*Inputs!$C$7+AS134*Inputs!$C$8</f>
        <v>0</v>
      </c>
      <c r="AX134" s="46">
        <f t="shared" ca="1" si="90"/>
        <v>42503797.58050561</v>
      </c>
      <c r="AY134" s="46">
        <f ca="1">IF(J134&gt;1,($CD$4)*Inputs!$B$55*((Z134+AA134+AB134)/(SUM(ILP_A_CostFocused!$C$9:$E$13))),0)</f>
        <v>0</v>
      </c>
      <c r="AZ134" s="46">
        <f t="shared" ca="1" si="91"/>
        <v>0</v>
      </c>
      <c r="BA134" s="41">
        <f t="shared" ca="1" si="92"/>
        <v>0</v>
      </c>
      <c r="BB134" s="41">
        <f t="shared" ca="1" si="93"/>
        <v>1</v>
      </c>
      <c r="BC134" s="41">
        <f t="shared" ca="1" si="94"/>
        <v>1</v>
      </c>
      <c r="BD134" s="41">
        <f t="shared" ca="1" si="95"/>
        <v>1</v>
      </c>
    </row>
    <row r="135" spans="1:56" ht="15" customHeight="1" x14ac:dyDescent="0.3">
      <c r="A135" s="41">
        <v>128</v>
      </c>
      <c r="B135" s="42">
        <f t="shared" ca="1" si="77"/>
        <v>4.0834110077878294E-2</v>
      </c>
      <c r="C135" s="43">
        <f ca="1">IF(B135&lt;=Inputs!$C$40,Inputs!$D$40,IF(B135&lt;=Inputs!$C$41,Inputs!$D$41,Inputs!$D$42))</f>
        <v>0.9</v>
      </c>
      <c r="D135" s="42">
        <f t="shared" ca="1" si="100"/>
        <v>0.52847812651073267</v>
      </c>
      <c r="E135" s="42">
        <f t="shared" ca="1" si="100"/>
        <v>0.68751689969908025</v>
      </c>
      <c r="F135" s="42">
        <f t="shared" ca="1" si="100"/>
        <v>0.57257626366002701</v>
      </c>
      <c r="G135" s="42">
        <f t="shared" ca="1" si="100"/>
        <v>0.15441328035663071</v>
      </c>
      <c r="H135" s="42">
        <f t="shared" ca="1" si="100"/>
        <v>0.39503154662902751</v>
      </c>
      <c r="I135" s="42">
        <f t="shared" ca="1" si="100"/>
        <v>0.68169838076767009</v>
      </c>
      <c r="J135" s="43">
        <f ca="1">IF(I135&lt;Inputs!$B$54,1+Inputs!$B$55,1)</f>
        <v>1</v>
      </c>
      <c r="K135" s="42">
        <f t="shared" ca="1" si="101"/>
        <v>0.18340646162388963</v>
      </c>
      <c r="L135" s="42">
        <f t="shared" ca="1" si="101"/>
        <v>0.41740364505706595</v>
      </c>
      <c r="M135" s="42">
        <f t="shared" ca="1" si="101"/>
        <v>0.79297988265905128</v>
      </c>
      <c r="N135" s="42">
        <f t="shared" ca="1" si="101"/>
        <v>0.18542617552967067</v>
      </c>
      <c r="O135" s="42">
        <f t="shared" ca="1" si="101"/>
        <v>0.67341191991893523</v>
      </c>
      <c r="P135" s="42">
        <f t="shared" ca="1" si="101"/>
        <v>0.30895641828024534</v>
      </c>
      <c r="Q135" s="42">
        <f t="shared" ca="1" si="101"/>
        <v>0.69158442458628011</v>
      </c>
      <c r="R135" s="42">
        <f t="shared" ca="1" si="101"/>
        <v>0.45878079677643124</v>
      </c>
      <c r="S135" s="42">
        <f t="shared" ca="1" si="101"/>
        <v>0.46186884858930732</v>
      </c>
      <c r="T135" s="42">
        <f t="shared" ca="1" si="101"/>
        <v>0.55535254779138932</v>
      </c>
      <c r="U135" s="44">
        <f ca="1">(IF(D135&gt;=Inputs!$E$12,1,IF(K135&lt;=Inputs!$C$46,Inputs!$D$46,IF(K135&lt;=Inputs!$C$47,Inputs!$D$47,Inputs!$D$48))))*((Inputs!$B$28+(P135-0.5)*2*Inputs!$B$53)/Inputs!$B$28)</f>
        <v>0.9980663605089094</v>
      </c>
      <c r="V135" s="44">
        <f ca="1">(IF(E135&gt;=Inputs!$E$13,1,IF(L135&lt;=Inputs!$C$46,Inputs!$D$46,IF(L135&lt;=Inputs!$C$47,Inputs!$D$47,Inputs!$D$48))))*((Inputs!$B$29+(Q135-0.5)*2*Inputs!$B$53)/Inputs!$B$29)</f>
        <v>1.0019312946026842</v>
      </c>
      <c r="W135" s="44">
        <f ca="1">(IF(F135&gt;=Inputs!$E$14,1,IF(M135&lt;=Inputs!$C$46,Inputs!$D$46,IF(M135&lt;=Inputs!$C$47,Inputs!$D$47,Inputs!$D$48))))*((Inputs!$B$30+(R135-0.5)*2*Inputs!$B$53)/Inputs!$B$30)</f>
        <v>0.99958573665101946</v>
      </c>
      <c r="X135" s="44">
        <f ca="1">(IF(G135&gt;=Inputs!$E$15,1,IF(N135&lt;=Inputs!$C$46,Inputs!$D$46,IF(N135&lt;=Inputs!$C$47,Inputs!$D$47,Inputs!$D$48))))*((Inputs!$B$31+(S135-0.5)*2*Inputs!$B$53)/Inputs!$B$31)</f>
        <v>0.59976772902693998</v>
      </c>
      <c r="Y135" s="44">
        <f ca="1">(IF(H135&gt;=Inputs!$E$16,1,IF(O135&lt;=Inputs!$C$46,Inputs!$D$46,IF(O135&lt;=Inputs!$C$47,Inputs!$D$47,Inputs!$D$48))))*((Inputs!$B$32+(T135-0.5)*2*Inputs!$B$53)/Inputs!$B$32)</f>
        <v>1.0005568666779818</v>
      </c>
      <c r="Z135" s="45">
        <f ca="1">ILP_A_CostFocused!$C$9*U135+ILP_A_CostFocused!$C$10*V135+ILP_A_CostFocused!$C$11*W135+ILP_A_CostFocused!$C$12*X135+ILP_A_CostFocused!$C$13*Y135</f>
        <v>13663.909383355351</v>
      </c>
      <c r="AA135" s="45">
        <f ca="1">ILP_A_CostFocused!$D$9*U135+ILP_A_CostFocused!$D$10*V135+ILP_A_CostFocused!$D$11*W135+ILP_A_CostFocused!$D$12*X135+ILP_A_CostFocused!$D$13*Y135</f>
        <v>14607.081703553713</v>
      </c>
      <c r="AB135" s="45">
        <f ca="1">ILP_A_CostFocused!$E$9*U135+ILP_A_CostFocused!$E$10*V135+ILP_A_CostFocused!$E$11*W135+ILP_A_CostFocused!$E$12*X135+ILP_A_CostFocused!$E$13*Y135</f>
        <v>11995.348009757032</v>
      </c>
      <c r="AC135" s="45">
        <f ca="1">Inputs!$B$6*$C135</f>
        <v>16200</v>
      </c>
      <c r="AD135" s="45">
        <f ca="1">Inputs!$B$7*$C135</f>
        <v>13500</v>
      </c>
      <c r="AE135" s="45">
        <f ca="1">Inputs!$B$8*$C135</f>
        <v>10800</v>
      </c>
      <c r="AF135" s="45">
        <f t="shared" ca="1" si="78"/>
        <v>2536.0906166446493</v>
      </c>
      <c r="AG135" s="45">
        <f t="shared" ca="1" si="79"/>
        <v>0</v>
      </c>
      <c r="AH135" s="45">
        <f t="shared" ca="1" si="80"/>
        <v>0</v>
      </c>
      <c r="AI135" s="45">
        <f t="shared" ca="1" si="81"/>
        <v>2536.0906166446493</v>
      </c>
      <c r="AJ135" s="45">
        <f ca="1">U135*(Inputs!$B$12-ILP_A_CostFocused!$F$9)+V135*(Inputs!$B$13-ILP_A_CostFocused!$F$10)+W135*(Inputs!$B$14-ILP_A_CostFocused!$F$11)+X135*(Inputs!$B$15-ILP_A_CostFocused!$F$12)+Y135*(Inputs!$B$16-ILP_A_CostFocused!$F$13)</f>
        <v>24929.941120870291</v>
      </c>
      <c r="AK135" s="45">
        <f t="shared" ca="1" si="82"/>
        <v>2536.0906166446493</v>
      </c>
      <c r="AL135" s="45">
        <f t="shared" ca="1" si="83"/>
        <v>0</v>
      </c>
      <c r="AM135" s="45">
        <f t="shared" ca="1" si="84"/>
        <v>0</v>
      </c>
      <c r="AN135" s="45">
        <f t="shared" ca="1" si="85"/>
        <v>0</v>
      </c>
      <c r="AO135" s="45">
        <f ca="1">MIN(AL135,Inputs!$B$36)</f>
        <v>0</v>
      </c>
      <c r="AP135" s="45">
        <f ca="1">MIN(AN135,Inputs!$B$36-AO135)</f>
        <v>0</v>
      </c>
      <c r="AQ135" s="45">
        <f ca="1">MIN(AM135,Inputs!$B$36-AO135-AP135)</f>
        <v>0</v>
      </c>
      <c r="AR135" s="45">
        <f t="shared" ca="1" si="86"/>
        <v>0</v>
      </c>
      <c r="AS135" s="45">
        <f t="shared" ca="1" si="87"/>
        <v>0</v>
      </c>
      <c r="AT135" s="45">
        <f t="shared" ca="1" si="88"/>
        <v>0</v>
      </c>
      <c r="AU135" s="45">
        <f t="shared" ca="1" si="89"/>
        <v>0</v>
      </c>
      <c r="AV135" s="46">
        <f ca="1">AU135*Inputs!$B$35</f>
        <v>0</v>
      </c>
      <c r="AW135" s="46">
        <f ca="1">AR135*Inputs!$C$6+AT135*Inputs!$C$7+AS135*Inputs!$C$8</f>
        <v>0</v>
      </c>
      <c r="AX135" s="46">
        <f t="shared" ca="1" si="90"/>
        <v>42502654.681804553</v>
      </c>
      <c r="AY135" s="46">
        <f ca="1">IF(J135&gt;1,($CD$4)*Inputs!$B$55*((Z135+AA135+AB135)/(SUM(ILP_A_CostFocused!$C$9:$E$13))),0)</f>
        <v>0</v>
      </c>
      <c r="AZ135" s="46">
        <f t="shared" ca="1" si="91"/>
        <v>0</v>
      </c>
      <c r="BA135" s="41">
        <f t="shared" ca="1" si="92"/>
        <v>0</v>
      </c>
      <c r="BB135" s="41">
        <f t="shared" ca="1" si="93"/>
        <v>1</v>
      </c>
      <c r="BC135" s="41">
        <f t="shared" ca="1" si="94"/>
        <v>1</v>
      </c>
      <c r="BD135" s="41">
        <f t="shared" ca="1" si="95"/>
        <v>1</v>
      </c>
    </row>
    <row r="136" spans="1:56" ht="15" customHeight="1" x14ac:dyDescent="0.3">
      <c r="A136" s="41">
        <v>129</v>
      </c>
      <c r="B136" s="42">
        <f t="shared" ref="B136:B157" ca="1" si="102">RAND()</f>
        <v>0.70072190024166348</v>
      </c>
      <c r="C136" s="43">
        <f ca="1">IF(B136&lt;=Inputs!$C$40,Inputs!$D$40,IF(B136&lt;=Inputs!$C$41,Inputs!$D$41,Inputs!$D$42))</f>
        <v>1</v>
      </c>
      <c r="D136" s="42">
        <f t="shared" ca="1" si="100"/>
        <v>0.1795340300492807</v>
      </c>
      <c r="E136" s="42">
        <f t="shared" ca="1" si="100"/>
        <v>0.31592680012790231</v>
      </c>
      <c r="F136" s="42">
        <f t="shared" ca="1" si="100"/>
        <v>0.3251020202775885</v>
      </c>
      <c r="G136" s="42">
        <f t="shared" ca="1" si="100"/>
        <v>0.21977443756256898</v>
      </c>
      <c r="H136" s="42">
        <f t="shared" ca="1" si="100"/>
        <v>0.91957096153725748</v>
      </c>
      <c r="I136" s="42">
        <f t="shared" ca="1" si="100"/>
        <v>0.56686112610453376</v>
      </c>
      <c r="J136" s="43">
        <f ca="1">IF(I136&lt;Inputs!$B$54,1+Inputs!$B$55,1)</f>
        <v>1</v>
      </c>
      <c r="K136" s="42">
        <f t="shared" ca="1" si="101"/>
        <v>1.3716115107808902E-2</v>
      </c>
      <c r="L136" s="42">
        <f t="shared" ca="1" si="101"/>
        <v>0.68733824915931885</v>
      </c>
      <c r="M136" s="42">
        <f t="shared" ca="1" si="101"/>
        <v>0.79431725107702356</v>
      </c>
      <c r="N136" s="42">
        <f t="shared" ca="1" si="101"/>
        <v>0.49547906887749993</v>
      </c>
      <c r="O136" s="42">
        <f t="shared" ca="1" si="101"/>
        <v>0.43717141658614567</v>
      </c>
      <c r="P136" s="42">
        <f t="shared" ca="1" si="101"/>
        <v>0.91562406082807302</v>
      </c>
      <c r="Q136" s="42">
        <f t="shared" ca="1" si="101"/>
        <v>0.93088280429758397</v>
      </c>
      <c r="R136" s="42">
        <f t="shared" ca="1" si="101"/>
        <v>0.57657982197115298</v>
      </c>
      <c r="S136" s="42">
        <f t="shared" ca="1" si="101"/>
        <v>0.31093188824620799</v>
      </c>
      <c r="T136" s="42">
        <f t="shared" ca="1" si="101"/>
        <v>0.97765784653293686</v>
      </c>
      <c r="U136" s="44">
        <f ca="1">(IF(D136&gt;=Inputs!$E$12,1,IF(K136&lt;=Inputs!$C$46,Inputs!$D$46,IF(K136&lt;=Inputs!$C$47,Inputs!$D$47,Inputs!$D$48))))*((Inputs!$B$28+(P136-0.5)*2*Inputs!$B$53)/Inputs!$B$28)</f>
        <v>1.004206721263442</v>
      </c>
      <c r="V136" s="44">
        <f ca="1">(IF(E136&gt;=Inputs!$E$13,1,IF(L136&lt;=Inputs!$C$46,Inputs!$D$46,IF(L136&lt;=Inputs!$C$47,Inputs!$D$47,Inputs!$D$48))))*((Inputs!$B$29+(Q136-0.5)*2*Inputs!$B$53)/Inputs!$B$29)</f>
        <v>1.0043435766562256</v>
      </c>
      <c r="W136" s="44">
        <f ca="1">(IF(F136&gt;=Inputs!$E$14,1,IF(M136&lt;=Inputs!$C$46,Inputs!$D$46,IF(M136&lt;=Inputs!$C$47,Inputs!$D$47,Inputs!$D$48))))*((Inputs!$B$30+(R136-0.5)*2*Inputs!$B$53)/Inputs!$B$30)</f>
        <v>1.0007696464519715</v>
      </c>
      <c r="X136" s="44">
        <f ca="1">(IF(G136&gt;=Inputs!$E$15,1,IF(N136&lt;=Inputs!$C$46,Inputs!$D$46,IF(N136&lt;=Inputs!$C$47,Inputs!$D$47,Inputs!$D$48))))*((Inputs!$B$31+(S136-0.5)*2*Inputs!$B$53)/Inputs!$B$31)</f>
        <v>0.99808052678422554</v>
      </c>
      <c r="Y136" s="44">
        <f ca="1">(IF(H136&gt;=Inputs!$E$16,1,IF(O136&lt;=Inputs!$C$46,Inputs!$D$46,IF(O136&lt;=Inputs!$C$47,Inputs!$D$47,Inputs!$D$48))))*((Inputs!$B$32+(T136-0.5)*2*Inputs!$B$53)/Inputs!$B$32)</f>
        <v>1.0048054109309148</v>
      </c>
      <c r="Z136" s="45">
        <f ca="1">ILP_A_CostFocused!$C$9*U136+ILP_A_CostFocused!$C$10*V136+ILP_A_CostFocused!$C$11*W136+ILP_A_CostFocused!$C$12*X136+ILP_A_CostFocused!$C$13*Y136</f>
        <v>18009.570125640985</v>
      </c>
      <c r="AA136" s="45">
        <f ca="1">ILP_A_CostFocused!$D$9*U136+ILP_A_CostFocused!$D$10*V136+ILP_A_CostFocused!$D$11*W136+ILP_A_CostFocused!$D$12*X136+ILP_A_CostFocused!$D$13*Y136</f>
        <v>15040.967166556758</v>
      </c>
      <c r="AB136" s="45">
        <f ca="1">ILP_A_CostFocused!$E$9*U136+ILP_A_CostFocused!$E$10*V136+ILP_A_CostFocused!$E$11*W136+ILP_A_CostFocused!$E$12*X136+ILP_A_CostFocused!$E$13*Y136</f>
        <v>12051.137561046666</v>
      </c>
      <c r="AC136" s="45">
        <f ca="1">Inputs!$B$6*$C136</f>
        <v>18000</v>
      </c>
      <c r="AD136" s="45">
        <f ca="1">Inputs!$B$7*$C136</f>
        <v>15000</v>
      </c>
      <c r="AE136" s="45">
        <f ca="1">Inputs!$B$8*$C136</f>
        <v>12000</v>
      </c>
      <c r="AF136" s="45">
        <f t="shared" ref="AF136:AF157" ca="1" si="103">MAX(0,AC136-Z136)</f>
        <v>0</v>
      </c>
      <c r="AG136" s="45">
        <f t="shared" ref="AG136:AG157" ca="1" si="104">MAX(0,AD136-AA136)</f>
        <v>0</v>
      </c>
      <c r="AH136" s="45">
        <f t="shared" ref="AH136:AH157" ca="1" si="105">MAX(0,AE136-AB136)</f>
        <v>0</v>
      </c>
      <c r="AI136" s="45">
        <f t="shared" ref="AI136:AI157" ca="1" si="106">SUM(AF136:AH136)</f>
        <v>0</v>
      </c>
      <c r="AJ136" s="45">
        <f ca="1">U136*(Inputs!$B$12-ILP_A_CostFocused!$F$9)+V136*(Inputs!$B$13-ILP_A_CostFocused!$F$10)+W136*(Inputs!$B$14-ILP_A_CostFocused!$F$11)+X136*(Inputs!$B$15-ILP_A_CostFocused!$F$12)+Y136*(Inputs!$B$16-ILP_A_CostFocused!$F$13)</f>
        <v>25085.49564940788</v>
      </c>
      <c r="AK136" s="45">
        <f t="shared" ref="AK136:AK157" ca="1" si="107">MIN(AI136,MAX(0,AJ136))</f>
        <v>0</v>
      </c>
      <c r="AL136" s="45">
        <f t="shared" ref="AL136:AL157" ca="1" si="108">AF136*(1-(IF(AI136&gt;0,AK136/AI136,0)))</f>
        <v>0</v>
      </c>
      <c r="AM136" s="45">
        <f t="shared" ref="AM136:AM157" ca="1" si="109">AG136*(1-(IF(AI136&gt;0,AK136/AI136,0)))</f>
        <v>0</v>
      </c>
      <c r="AN136" s="45">
        <f t="shared" ref="AN136:AN157" ca="1" si="110">AH136*(1-(IF(AI136&gt;0,AK136/AI136,0)))</f>
        <v>0</v>
      </c>
      <c r="AO136" s="45">
        <f ca="1">MIN(AL136,Inputs!$B$36)</f>
        <v>0</v>
      </c>
      <c r="AP136" s="45">
        <f ca="1">MIN(AN136,Inputs!$B$36-AO136)</f>
        <v>0</v>
      </c>
      <c r="AQ136" s="45">
        <f ca="1">MIN(AM136,Inputs!$B$36-AO136-AP136)</f>
        <v>0</v>
      </c>
      <c r="AR136" s="45">
        <f t="shared" ref="AR136:AR157" ca="1" si="111">AL136-AO136</f>
        <v>0</v>
      </c>
      <c r="AS136" s="45">
        <f t="shared" ref="AS136:AS157" ca="1" si="112">AN136-AP136</f>
        <v>0</v>
      </c>
      <c r="AT136" s="45">
        <f t="shared" ref="AT136:AT157" ca="1" si="113">AM136-AQ136</f>
        <v>0</v>
      </c>
      <c r="AU136" s="45">
        <f t="shared" ref="AU136:AU157" ca="1" si="114">AO136+AP136+AQ136</f>
        <v>0</v>
      </c>
      <c r="AV136" s="46">
        <f ca="1">AU136*Inputs!$B$35</f>
        <v>0</v>
      </c>
      <c r="AW136" s="46">
        <f ca="1">AR136*Inputs!$C$6+AT136*Inputs!$C$7+AS136*Inputs!$C$8</f>
        <v>0</v>
      </c>
      <c r="AX136" s="46">
        <f t="shared" ref="AX136:AX157" ca="1" si="115">Z136*$CA$4+AA136*$CB$4+AB136*$CC$4</f>
        <v>47500934.704893492</v>
      </c>
      <c r="AY136" s="46">
        <f ca="1">IF(J136&gt;1,($CD$4)*Inputs!$B$55*((Z136+AA136+AB136)/(SUM(ILP_A_CostFocused!$C$9:$E$13))),0)</f>
        <v>0</v>
      </c>
      <c r="AZ136" s="46">
        <f t="shared" ref="AZ136:AZ157" ca="1" si="116">AV136+AW136</f>
        <v>0</v>
      </c>
      <c r="BA136" s="41">
        <f t="shared" ref="BA136:BA157" ca="1" si="117">IF(AR136+AT136+AS136&gt;0,1,0)</f>
        <v>0</v>
      </c>
      <c r="BB136" s="41">
        <f t="shared" ref="BB136:BB157" ca="1" si="118">IF(AR136=0,1,0)</f>
        <v>1</v>
      </c>
      <c r="BC136" s="41">
        <f t="shared" ref="BC136:BC157" ca="1" si="119">IF(AT136=0,1,0)</f>
        <v>1</v>
      </c>
      <c r="BD136" s="41">
        <f t="shared" ref="BD136:BD157" ca="1" si="120">IF(AS136=0,1,0)</f>
        <v>1</v>
      </c>
    </row>
    <row r="137" spans="1:56" ht="15" customHeight="1" x14ac:dyDescent="0.3">
      <c r="A137" s="41">
        <v>130</v>
      </c>
      <c r="B137" s="42">
        <f t="shared" ca="1" si="102"/>
        <v>0.68890685979451305</v>
      </c>
      <c r="C137" s="43">
        <f ca="1">IF(B137&lt;=Inputs!$C$40,Inputs!$D$40,IF(B137&lt;=Inputs!$C$41,Inputs!$D$41,Inputs!$D$42))</f>
        <v>1</v>
      </c>
      <c r="D137" s="42">
        <f t="shared" ca="1" si="100"/>
        <v>0.42742509692825459</v>
      </c>
      <c r="E137" s="42">
        <f t="shared" ca="1" si="100"/>
        <v>0.13684922234436347</v>
      </c>
      <c r="F137" s="42">
        <f t="shared" ca="1" si="100"/>
        <v>0.58411706378296746</v>
      </c>
      <c r="G137" s="42">
        <f t="shared" ca="1" si="100"/>
        <v>0.36989177617315849</v>
      </c>
      <c r="H137" s="42">
        <f t="shared" ca="1" si="100"/>
        <v>0.41343268370784125</v>
      </c>
      <c r="I137" s="42">
        <f t="shared" ca="1" si="100"/>
        <v>0.15842062567563187</v>
      </c>
      <c r="J137" s="43">
        <f ca="1">IF(I137&lt;Inputs!$B$54,1+Inputs!$B$55,1)</f>
        <v>1</v>
      </c>
      <c r="K137" s="42">
        <f t="shared" ca="1" si="101"/>
        <v>0.87839510210458904</v>
      </c>
      <c r="L137" s="42">
        <f t="shared" ca="1" si="101"/>
        <v>0.65481883433107935</v>
      </c>
      <c r="M137" s="42">
        <f t="shared" ca="1" si="101"/>
        <v>0.31642311797190248</v>
      </c>
      <c r="N137" s="42">
        <f t="shared" ca="1" si="101"/>
        <v>0.64095703386541392</v>
      </c>
      <c r="O137" s="42">
        <f t="shared" ca="1" si="101"/>
        <v>0.9947098201564446</v>
      </c>
      <c r="P137" s="42">
        <f t="shared" ca="1" si="101"/>
        <v>0.4907530745854588</v>
      </c>
      <c r="Q137" s="42">
        <f t="shared" ca="1" si="101"/>
        <v>0.73693867604045793</v>
      </c>
      <c r="R137" s="42">
        <f t="shared" ca="1" si="101"/>
        <v>0.61379109410848476</v>
      </c>
      <c r="S137" s="42">
        <f t="shared" ca="1" si="101"/>
        <v>0.57910777258562762</v>
      </c>
      <c r="T137" s="42">
        <f t="shared" ca="1" si="101"/>
        <v>0.23386615967563562</v>
      </c>
      <c r="U137" s="44">
        <f ca="1">(IF(D137&gt;=Inputs!$E$12,1,IF(K137&lt;=Inputs!$C$46,Inputs!$D$46,IF(K137&lt;=Inputs!$C$47,Inputs!$D$47,Inputs!$D$48))))*((Inputs!$B$28+(P137-0.5)*2*Inputs!$B$53)/Inputs!$B$28)</f>
        <v>0.9999064076375046</v>
      </c>
      <c r="V137" s="44">
        <f ca="1">(IF(E137&gt;=Inputs!$E$13,1,IF(L137&lt;=Inputs!$C$46,Inputs!$D$46,IF(L137&lt;=Inputs!$C$47,Inputs!$D$47,Inputs!$D$48))))*((Inputs!$B$29+(Q137-0.5)*2*Inputs!$B$53)/Inputs!$B$29)</f>
        <v>1.0023884947181498</v>
      </c>
      <c r="W137" s="44">
        <f ca="1">(IF(F137&gt;=Inputs!$E$14,1,IF(M137&lt;=Inputs!$C$46,Inputs!$D$46,IF(M137&lt;=Inputs!$C$47,Inputs!$D$47,Inputs!$D$48))))*((Inputs!$B$30+(R137-0.5)*2*Inputs!$B$53)/Inputs!$B$30)</f>
        <v>1.0011436290865174</v>
      </c>
      <c r="X137" s="44">
        <f ca="1">(IF(G137&gt;=Inputs!$E$15,1,IF(N137&lt;=Inputs!$C$46,Inputs!$D$46,IF(N137&lt;=Inputs!$C$47,Inputs!$D$47,Inputs!$D$48))))*((Inputs!$B$31+(S137-0.5)*2*Inputs!$B$53)/Inputs!$B$31)</f>
        <v>1.0008031245947779</v>
      </c>
      <c r="Y137" s="44">
        <f ca="1">(IF(H137&gt;=Inputs!$E$16,1,IF(O137&lt;=Inputs!$C$46,Inputs!$D$46,IF(O137&lt;=Inputs!$C$47,Inputs!$D$47,Inputs!$D$48))))*((Inputs!$B$32+(T137-0.5)*2*Inputs!$B$53)/Inputs!$B$32)</f>
        <v>0.99732259717983529</v>
      </c>
      <c r="Z137" s="45">
        <f ca="1">ILP_A_CostFocused!$C$9*U137+ILP_A_CostFocused!$C$10*V137+ILP_A_CostFocused!$C$11*W137+ILP_A_CostFocused!$C$12*X137+ILP_A_CostFocused!$C$13*Y137</f>
        <v>18008.218304276732</v>
      </c>
      <c r="AA137" s="45">
        <f ca="1">ILP_A_CostFocused!$D$9*U137+ILP_A_CostFocused!$D$10*V137+ILP_A_CostFocused!$D$11*W137+ILP_A_CostFocused!$D$12*X137+ILP_A_CostFocused!$D$13*Y137</f>
        <v>15028.01091240088</v>
      </c>
      <c r="AB137" s="45">
        <f ca="1">ILP_A_CostFocused!$E$9*U137+ILP_A_CostFocused!$E$10*V137+ILP_A_CostFocused!$E$11*W137+ILP_A_CostFocused!$E$12*X137+ILP_A_CostFocused!$E$13*Y137</f>
        <v>12010.790909637151</v>
      </c>
      <c r="AC137" s="45">
        <f ca="1">Inputs!$B$6*$C137</f>
        <v>18000</v>
      </c>
      <c r="AD137" s="45">
        <f ca="1">Inputs!$B$7*$C137</f>
        <v>15000</v>
      </c>
      <c r="AE137" s="45">
        <f ca="1">Inputs!$B$8*$C137</f>
        <v>12000</v>
      </c>
      <c r="AF137" s="45">
        <f t="shared" ca="1" si="103"/>
        <v>0</v>
      </c>
      <c r="AG137" s="45">
        <f t="shared" ca="1" si="104"/>
        <v>0</v>
      </c>
      <c r="AH137" s="45">
        <f t="shared" ca="1" si="105"/>
        <v>0</v>
      </c>
      <c r="AI137" s="45">
        <f t="shared" ca="1" si="106"/>
        <v>0</v>
      </c>
      <c r="AJ137" s="45">
        <f ca="1">U137*(Inputs!$B$12-ILP_A_CostFocused!$F$9)+V137*(Inputs!$B$13-ILP_A_CostFocused!$F$10)+W137*(Inputs!$B$14-ILP_A_CostFocused!$F$11)+X137*(Inputs!$B$15-ILP_A_CostFocused!$F$12)+Y137*(Inputs!$B$16-ILP_A_CostFocused!$F$13)</f>
        <v>24969.264952899</v>
      </c>
      <c r="AK137" s="45">
        <f t="shared" ca="1" si="107"/>
        <v>0</v>
      </c>
      <c r="AL137" s="45">
        <f t="shared" ca="1" si="108"/>
        <v>0</v>
      </c>
      <c r="AM137" s="45">
        <f t="shared" ca="1" si="109"/>
        <v>0</v>
      </c>
      <c r="AN137" s="45">
        <f t="shared" ca="1" si="110"/>
        <v>0</v>
      </c>
      <c r="AO137" s="45">
        <f ca="1">MIN(AL137,Inputs!$B$36)</f>
        <v>0</v>
      </c>
      <c r="AP137" s="45">
        <f ca="1">MIN(AN137,Inputs!$B$36-AO137)</f>
        <v>0</v>
      </c>
      <c r="AQ137" s="45">
        <f ca="1">MIN(AM137,Inputs!$B$36-AO137-AP137)</f>
        <v>0</v>
      </c>
      <c r="AR137" s="45">
        <f t="shared" ca="1" si="111"/>
        <v>0</v>
      </c>
      <c r="AS137" s="45">
        <f t="shared" ca="1" si="112"/>
        <v>0</v>
      </c>
      <c r="AT137" s="45">
        <f t="shared" ca="1" si="113"/>
        <v>0</v>
      </c>
      <c r="AU137" s="45">
        <f t="shared" ca="1" si="114"/>
        <v>0</v>
      </c>
      <c r="AV137" s="46">
        <f ca="1">AU137*Inputs!$B$35</f>
        <v>0</v>
      </c>
      <c r="AW137" s="46">
        <f ca="1">AR137*Inputs!$C$6+AT137*Inputs!$C$7+AS137*Inputs!$C$8</f>
        <v>0</v>
      </c>
      <c r="AX137" s="46">
        <f t="shared" ca="1" si="115"/>
        <v>47442096.077833071</v>
      </c>
      <c r="AY137" s="46">
        <f ca="1">IF(J137&gt;1,($CD$4)*Inputs!$B$55*((Z137+AA137+AB137)/(SUM(ILP_A_CostFocused!$C$9:$E$13))),0)</f>
        <v>0</v>
      </c>
      <c r="AZ137" s="46">
        <f t="shared" ca="1" si="116"/>
        <v>0</v>
      </c>
      <c r="BA137" s="41">
        <f t="shared" ca="1" si="117"/>
        <v>0</v>
      </c>
      <c r="BB137" s="41">
        <f t="shared" ca="1" si="118"/>
        <v>1</v>
      </c>
      <c r="BC137" s="41">
        <f t="shared" ca="1" si="119"/>
        <v>1</v>
      </c>
      <c r="BD137" s="41">
        <f t="shared" ca="1" si="120"/>
        <v>1</v>
      </c>
    </row>
    <row r="138" spans="1:56" ht="15" customHeight="1" x14ac:dyDescent="0.3">
      <c r="A138" s="41">
        <v>131</v>
      </c>
      <c r="B138" s="42">
        <f t="shared" ca="1" si="102"/>
        <v>0.35518901684232984</v>
      </c>
      <c r="C138" s="43">
        <f ca="1">IF(B138&lt;=Inputs!$C$40,Inputs!$D$40,IF(B138&lt;=Inputs!$C$41,Inputs!$D$41,Inputs!$D$42))</f>
        <v>1</v>
      </c>
      <c r="D138" s="42">
        <f t="shared" ref="D138:I147" ca="1" si="121">RAND()</f>
        <v>0.92024322489757282</v>
      </c>
      <c r="E138" s="42">
        <f t="shared" ca="1" si="121"/>
        <v>0.89949458627938161</v>
      </c>
      <c r="F138" s="42">
        <f t="shared" ca="1" si="121"/>
        <v>0.25985124679587113</v>
      </c>
      <c r="G138" s="42">
        <f t="shared" ca="1" si="121"/>
        <v>0.2569829494958169</v>
      </c>
      <c r="H138" s="42">
        <f t="shared" ca="1" si="121"/>
        <v>0.11825578972608852</v>
      </c>
      <c r="I138" s="42">
        <f t="shared" ca="1" si="121"/>
        <v>0.95448204844498041</v>
      </c>
      <c r="J138" s="43">
        <f ca="1">IF(I138&lt;Inputs!$B$54,1+Inputs!$B$55,1)</f>
        <v>1</v>
      </c>
      <c r="K138" s="42">
        <f t="shared" ref="K138:T147" ca="1" si="122">RAND()</f>
        <v>2.6244498593917309E-2</v>
      </c>
      <c r="L138" s="42">
        <f t="shared" ca="1" si="122"/>
        <v>0.13091923735670974</v>
      </c>
      <c r="M138" s="42">
        <f t="shared" ca="1" si="122"/>
        <v>7.5777163003639902E-2</v>
      </c>
      <c r="N138" s="42">
        <f t="shared" ca="1" si="122"/>
        <v>0.91114933490874128</v>
      </c>
      <c r="O138" s="42">
        <f t="shared" ca="1" si="122"/>
        <v>0.38838607653877899</v>
      </c>
      <c r="P138" s="42">
        <f t="shared" ca="1" si="122"/>
        <v>0.2619911490758412</v>
      </c>
      <c r="Q138" s="42">
        <f t="shared" ca="1" si="122"/>
        <v>0.80858689767615732</v>
      </c>
      <c r="R138" s="42">
        <f t="shared" ca="1" si="122"/>
        <v>0.42853647580180176</v>
      </c>
      <c r="S138" s="42">
        <f t="shared" ca="1" si="122"/>
        <v>0.54307430633563292</v>
      </c>
      <c r="T138" s="42">
        <f t="shared" ca="1" si="122"/>
        <v>0.11267357161965563</v>
      </c>
      <c r="U138" s="44">
        <f ca="1">(IF(D138&gt;=Inputs!$E$12,1,IF(K138&lt;=Inputs!$C$46,Inputs!$D$46,IF(K138&lt;=Inputs!$C$47,Inputs!$D$47,Inputs!$D$48))))*((Inputs!$B$28+(P138-0.5)*2*Inputs!$B$53)/Inputs!$B$28)</f>
        <v>0.99759100353315633</v>
      </c>
      <c r="V138" s="44">
        <f ca="1">(IF(E138&gt;=Inputs!$E$13,1,IF(L138&lt;=Inputs!$C$46,Inputs!$D$46,IF(L138&lt;=Inputs!$C$47,Inputs!$D$47,Inputs!$D$48))))*((Inputs!$B$29+(Q138-0.5)*2*Inputs!$B$53)/Inputs!$B$29)</f>
        <v>1.0031107550168967</v>
      </c>
      <c r="W138" s="44">
        <f ca="1">(IF(F138&gt;=Inputs!$E$14,1,IF(M138&lt;=Inputs!$C$46,Inputs!$D$46,IF(M138&lt;=Inputs!$C$47,Inputs!$D$47,Inputs!$D$48))))*((Inputs!$B$30+(R138-0.5)*2*Inputs!$B$53)/Inputs!$B$30)</f>
        <v>0.99928177362614878</v>
      </c>
      <c r="X138" s="44">
        <f ca="1">(IF(G138&gt;=Inputs!$E$15,1,IF(N138&lt;=Inputs!$C$46,Inputs!$D$46,IF(N138&lt;=Inputs!$C$47,Inputs!$D$47,Inputs!$D$48))))*((Inputs!$B$31+(S138-0.5)*2*Inputs!$B$53)/Inputs!$B$31)</f>
        <v>1.0004373026023923</v>
      </c>
      <c r="Y138" s="44">
        <f ca="1">(IF(H138&gt;=Inputs!$E$16,1,IF(O138&lt;=Inputs!$C$46,Inputs!$D$46,IF(O138&lt;=Inputs!$C$47,Inputs!$D$47,Inputs!$D$48))))*((Inputs!$B$32+(T138-0.5)*2*Inputs!$B$53)/Inputs!$B$32)</f>
        <v>0.99610335585130438</v>
      </c>
      <c r="Z138" s="45">
        <f ca="1">ILP_A_CostFocused!$C$9*U138+ILP_A_CostFocused!$C$10*V138+ILP_A_CostFocused!$C$11*W138+ILP_A_CostFocused!$C$12*X138+ILP_A_CostFocused!$C$13*Y138</f>
        <v>17987.863831675131</v>
      </c>
      <c r="AA138" s="45">
        <f ca="1">ILP_A_CostFocused!$D$9*U138+ILP_A_CostFocused!$D$10*V138+ILP_A_CostFocused!$D$11*W138+ILP_A_CostFocused!$D$12*X138+ILP_A_CostFocused!$D$13*Y138</f>
        <v>15024.86607646473</v>
      </c>
      <c r="AB138" s="45">
        <f ca="1">ILP_A_CostFocused!$E$9*U138+ILP_A_CostFocused!$E$10*V138+ILP_A_CostFocused!$E$11*W138+ILP_A_CostFocused!$E$12*X138+ILP_A_CostFocused!$E$13*Y138</f>
        <v>11997.58684951983</v>
      </c>
      <c r="AC138" s="45">
        <f ca="1">Inputs!$B$6*$C138</f>
        <v>18000</v>
      </c>
      <c r="AD138" s="45">
        <f ca="1">Inputs!$B$7*$C138</f>
        <v>15000</v>
      </c>
      <c r="AE138" s="45">
        <f ca="1">Inputs!$B$8*$C138</f>
        <v>12000</v>
      </c>
      <c r="AF138" s="45">
        <f t="shared" ca="1" si="103"/>
        <v>12.136168324868777</v>
      </c>
      <c r="AG138" s="45">
        <f t="shared" ca="1" si="104"/>
        <v>0</v>
      </c>
      <c r="AH138" s="45">
        <f t="shared" ca="1" si="105"/>
        <v>2.4131504801698611</v>
      </c>
      <c r="AI138" s="45">
        <f t="shared" ca="1" si="106"/>
        <v>14.549318805038638</v>
      </c>
      <c r="AJ138" s="45">
        <f ca="1">U138*(Inputs!$B$12-ILP_A_CostFocused!$F$9)+V138*(Inputs!$B$13-ILP_A_CostFocused!$F$10)+W138*(Inputs!$B$14-ILP_A_CostFocused!$F$11)+X138*(Inputs!$B$15-ILP_A_CostFocused!$F$12)+Y138*(Inputs!$B$16-ILP_A_CostFocused!$F$13)</f>
        <v>24932.15089524557</v>
      </c>
      <c r="AK138" s="45">
        <f t="shared" ca="1" si="107"/>
        <v>14.549318805038638</v>
      </c>
      <c r="AL138" s="45">
        <f t="shared" ca="1" si="108"/>
        <v>0</v>
      </c>
      <c r="AM138" s="45">
        <f t="shared" ca="1" si="109"/>
        <v>0</v>
      </c>
      <c r="AN138" s="45">
        <f t="shared" ca="1" si="110"/>
        <v>0</v>
      </c>
      <c r="AO138" s="45">
        <f ca="1">MIN(AL138,Inputs!$B$36)</f>
        <v>0</v>
      </c>
      <c r="AP138" s="45">
        <f ca="1">MIN(AN138,Inputs!$B$36-AO138)</f>
        <v>0</v>
      </c>
      <c r="AQ138" s="45">
        <f ca="1">MIN(AM138,Inputs!$B$36-AO138-AP138)</f>
        <v>0</v>
      </c>
      <c r="AR138" s="45">
        <f t="shared" ca="1" si="111"/>
        <v>0</v>
      </c>
      <c r="AS138" s="45">
        <f t="shared" ca="1" si="112"/>
        <v>0</v>
      </c>
      <c r="AT138" s="45">
        <f t="shared" ca="1" si="113"/>
        <v>0</v>
      </c>
      <c r="AU138" s="45">
        <f t="shared" ca="1" si="114"/>
        <v>0</v>
      </c>
      <c r="AV138" s="46">
        <f ca="1">AU138*Inputs!$B$35</f>
        <v>0</v>
      </c>
      <c r="AW138" s="46">
        <f ca="1">AR138*Inputs!$C$6+AT138*Inputs!$C$7+AS138*Inputs!$C$8</f>
        <v>0</v>
      </c>
      <c r="AX138" s="46">
        <f t="shared" ca="1" si="115"/>
        <v>47403465.281979904</v>
      </c>
      <c r="AY138" s="46">
        <f ca="1">IF(J138&gt;1,($CD$4)*Inputs!$B$55*((Z138+AA138+AB138)/(SUM(ILP_A_CostFocused!$C$9:$E$13))),0)</f>
        <v>0</v>
      </c>
      <c r="AZ138" s="46">
        <f t="shared" ca="1" si="116"/>
        <v>0</v>
      </c>
      <c r="BA138" s="41">
        <f t="shared" ca="1" si="117"/>
        <v>0</v>
      </c>
      <c r="BB138" s="41">
        <f t="shared" ca="1" si="118"/>
        <v>1</v>
      </c>
      <c r="BC138" s="41">
        <f t="shared" ca="1" si="119"/>
        <v>1</v>
      </c>
      <c r="BD138" s="41">
        <f t="shared" ca="1" si="120"/>
        <v>1</v>
      </c>
    </row>
    <row r="139" spans="1:56" ht="15" customHeight="1" x14ac:dyDescent="0.3">
      <c r="A139" s="41">
        <v>132</v>
      </c>
      <c r="B139" s="42">
        <f t="shared" ca="1" si="102"/>
        <v>0.23439580658260017</v>
      </c>
      <c r="C139" s="43">
        <f ca="1">IF(B139&lt;=Inputs!$C$40,Inputs!$D$40,IF(B139&lt;=Inputs!$C$41,Inputs!$D$41,Inputs!$D$42))</f>
        <v>1</v>
      </c>
      <c r="D139" s="42">
        <f t="shared" ca="1" si="121"/>
        <v>0.65946381121406294</v>
      </c>
      <c r="E139" s="42">
        <f t="shared" ca="1" si="121"/>
        <v>0.5830018256419216</v>
      </c>
      <c r="F139" s="42">
        <f t="shared" ca="1" si="121"/>
        <v>0.64990848671610313</v>
      </c>
      <c r="G139" s="42">
        <f t="shared" ca="1" si="121"/>
        <v>0.59407311196126245</v>
      </c>
      <c r="H139" s="42">
        <f t="shared" ca="1" si="121"/>
        <v>0.11623653935062328</v>
      </c>
      <c r="I139" s="42">
        <f t="shared" ca="1" si="121"/>
        <v>0.10811157587930542</v>
      </c>
      <c r="J139" s="43">
        <f ca="1">IF(I139&lt;Inputs!$B$54,1+Inputs!$B$55,1)</f>
        <v>1</v>
      </c>
      <c r="K139" s="42">
        <f t="shared" ca="1" si="122"/>
        <v>0.29992398565542444</v>
      </c>
      <c r="L139" s="42">
        <f t="shared" ca="1" si="122"/>
        <v>0.39778662108057994</v>
      </c>
      <c r="M139" s="42">
        <f t="shared" ca="1" si="122"/>
        <v>0.19330958132224985</v>
      </c>
      <c r="N139" s="42">
        <f t="shared" ca="1" si="122"/>
        <v>9.959938027127313E-2</v>
      </c>
      <c r="O139" s="42">
        <f t="shared" ca="1" si="122"/>
        <v>0.31524885919884493</v>
      </c>
      <c r="P139" s="42">
        <f t="shared" ca="1" si="122"/>
        <v>5.8010280672288195E-3</v>
      </c>
      <c r="Q139" s="42">
        <f t="shared" ca="1" si="122"/>
        <v>0.21018611976285129</v>
      </c>
      <c r="R139" s="42">
        <f t="shared" ca="1" si="122"/>
        <v>0.25586843261402414</v>
      </c>
      <c r="S139" s="42">
        <f t="shared" ca="1" si="122"/>
        <v>0.38928757188970675</v>
      </c>
      <c r="T139" s="42">
        <f t="shared" ca="1" si="122"/>
        <v>0.40633932805332207</v>
      </c>
      <c r="U139" s="44">
        <f ca="1">(IF(D139&gt;=Inputs!$E$12,1,IF(K139&lt;=Inputs!$C$46,Inputs!$D$46,IF(K139&lt;=Inputs!$C$47,Inputs!$D$47,Inputs!$D$48))))*((Inputs!$B$28+(P139-0.5)*2*Inputs!$B$53)/Inputs!$B$28)</f>
        <v>0.99499798611404078</v>
      </c>
      <c r="V139" s="44">
        <f ca="1">(IF(E139&gt;=Inputs!$E$13,1,IF(L139&lt;=Inputs!$C$46,Inputs!$D$46,IF(L139&lt;=Inputs!$C$47,Inputs!$D$47,Inputs!$D$48))))*((Inputs!$B$29+(Q139-0.5)*2*Inputs!$B$53)/Inputs!$B$29)</f>
        <v>0.99707848911051267</v>
      </c>
      <c r="W139" s="44">
        <f ca="1">(IF(F139&gt;=Inputs!$E$14,1,IF(M139&lt;=Inputs!$C$46,Inputs!$D$46,IF(M139&lt;=Inputs!$C$47,Inputs!$D$47,Inputs!$D$48))))*((Inputs!$B$30+(R139-0.5)*2*Inputs!$B$53)/Inputs!$B$30)</f>
        <v>0.9975464164081812</v>
      </c>
      <c r="X139" s="44">
        <f ca="1">(IF(G139&gt;=Inputs!$E$15,1,IF(N139&lt;=Inputs!$C$46,Inputs!$D$46,IF(N139&lt;=Inputs!$C$47,Inputs!$D$47,Inputs!$D$48))))*((Inputs!$B$31+(S139-0.5)*2*Inputs!$B$53)/Inputs!$B$31)</f>
        <v>0.99887601595827114</v>
      </c>
      <c r="Y139" s="44">
        <f ca="1">(IF(H139&gt;=Inputs!$E$16,1,IF(O139&lt;=Inputs!$C$46,Inputs!$D$46,IF(O139&lt;=Inputs!$C$47,Inputs!$D$47,Inputs!$D$48))))*((Inputs!$B$32+(T139-0.5)*2*Inputs!$B$53)/Inputs!$B$32)</f>
        <v>0.99905773971884626</v>
      </c>
      <c r="Z139" s="45">
        <f ca="1">ILP_A_CostFocused!$C$9*U139+ILP_A_CostFocused!$C$10*V139+ILP_A_CostFocused!$C$11*W139+ILP_A_CostFocused!$C$12*X139+ILP_A_CostFocused!$C$13*Y139</f>
        <v>17952.029556634112</v>
      </c>
      <c r="AA139" s="45">
        <f ca="1">ILP_A_CostFocused!$D$9*U139+ILP_A_CostFocused!$D$10*V139+ILP_A_CostFocused!$D$11*W139+ILP_A_CostFocused!$D$12*X139+ILP_A_CostFocused!$D$13*Y139</f>
        <v>14960.341091984794</v>
      </c>
      <c r="AB139" s="45">
        <f ca="1">ILP_A_CostFocused!$E$9*U139+ILP_A_CostFocused!$E$10*V139+ILP_A_CostFocused!$E$11*W139+ILP_A_CostFocused!$E$12*X139+ILP_A_CostFocused!$E$13*Y139</f>
        <v>11949.962247751555</v>
      </c>
      <c r="AC139" s="45">
        <f ca="1">Inputs!$B$6*$C139</f>
        <v>18000</v>
      </c>
      <c r="AD139" s="45">
        <f ca="1">Inputs!$B$7*$C139</f>
        <v>15000</v>
      </c>
      <c r="AE139" s="45">
        <f ca="1">Inputs!$B$8*$C139</f>
        <v>12000</v>
      </c>
      <c r="AF139" s="45">
        <f t="shared" ca="1" si="103"/>
        <v>47.970443365888059</v>
      </c>
      <c r="AG139" s="45">
        <f t="shared" ca="1" si="104"/>
        <v>39.65890801520618</v>
      </c>
      <c r="AH139" s="45">
        <f t="shared" ca="1" si="105"/>
        <v>50.037752248445031</v>
      </c>
      <c r="AI139" s="45">
        <f t="shared" ca="1" si="106"/>
        <v>137.66710362953927</v>
      </c>
      <c r="AJ139" s="45">
        <f ca="1">U139*(Inputs!$B$12-ILP_A_CostFocused!$F$9)+V139*(Inputs!$B$13-ILP_A_CostFocused!$F$10)+W139*(Inputs!$B$14-ILP_A_CostFocused!$F$11)+X139*(Inputs!$B$15-ILP_A_CostFocused!$F$12)+Y139*(Inputs!$B$16-ILP_A_CostFocused!$F$13)</f>
        <v>24957.215429589676</v>
      </c>
      <c r="AK139" s="45">
        <f t="shared" ca="1" si="107"/>
        <v>137.66710362953927</v>
      </c>
      <c r="AL139" s="45">
        <f t="shared" ca="1" si="108"/>
        <v>0</v>
      </c>
      <c r="AM139" s="45">
        <f t="shared" ca="1" si="109"/>
        <v>0</v>
      </c>
      <c r="AN139" s="45">
        <f t="shared" ca="1" si="110"/>
        <v>0</v>
      </c>
      <c r="AO139" s="45">
        <f ca="1">MIN(AL139,Inputs!$B$36)</f>
        <v>0</v>
      </c>
      <c r="AP139" s="45">
        <f ca="1">MIN(AN139,Inputs!$B$36-AO139)</f>
        <v>0</v>
      </c>
      <c r="AQ139" s="45">
        <f ca="1">MIN(AM139,Inputs!$B$36-AO139-AP139)</f>
        <v>0</v>
      </c>
      <c r="AR139" s="45">
        <f t="shared" ca="1" si="111"/>
        <v>0</v>
      </c>
      <c r="AS139" s="45">
        <f t="shared" ca="1" si="112"/>
        <v>0</v>
      </c>
      <c r="AT139" s="45">
        <f t="shared" ca="1" si="113"/>
        <v>0</v>
      </c>
      <c r="AU139" s="45">
        <f t="shared" ca="1" si="114"/>
        <v>0</v>
      </c>
      <c r="AV139" s="46">
        <f ca="1">AU139*Inputs!$B$35</f>
        <v>0</v>
      </c>
      <c r="AW139" s="46">
        <f ca="1">AR139*Inputs!$C$6+AT139*Inputs!$C$7+AS139*Inputs!$C$8</f>
        <v>0</v>
      </c>
      <c r="AX139" s="46">
        <f t="shared" ca="1" si="115"/>
        <v>47246820.676929817</v>
      </c>
      <c r="AY139" s="46">
        <f ca="1">IF(J139&gt;1,($CD$4)*Inputs!$B$55*((Z139+AA139+AB139)/(SUM(ILP_A_CostFocused!$C$9:$E$13))),0)</f>
        <v>0</v>
      </c>
      <c r="AZ139" s="46">
        <f t="shared" ca="1" si="116"/>
        <v>0</v>
      </c>
      <c r="BA139" s="41">
        <f t="shared" ca="1" si="117"/>
        <v>0</v>
      </c>
      <c r="BB139" s="41">
        <f t="shared" ca="1" si="118"/>
        <v>1</v>
      </c>
      <c r="BC139" s="41">
        <f t="shared" ca="1" si="119"/>
        <v>1</v>
      </c>
      <c r="BD139" s="41">
        <f t="shared" ca="1" si="120"/>
        <v>1</v>
      </c>
    </row>
    <row r="140" spans="1:56" ht="15" customHeight="1" x14ac:dyDescent="0.3">
      <c r="A140" s="41">
        <v>133</v>
      </c>
      <c r="B140" s="42">
        <f t="shared" ca="1" si="102"/>
        <v>0.85318383368950457</v>
      </c>
      <c r="C140" s="43">
        <f ca="1">IF(B140&lt;=Inputs!$C$40,Inputs!$D$40,IF(B140&lt;=Inputs!$C$41,Inputs!$D$41,Inputs!$D$42))</f>
        <v>1.1499999999999999</v>
      </c>
      <c r="D140" s="42">
        <f t="shared" ca="1" si="121"/>
        <v>0.8293492713750682</v>
      </c>
      <c r="E140" s="42">
        <f t="shared" ca="1" si="121"/>
        <v>0.75813739202087338</v>
      </c>
      <c r="F140" s="42">
        <f t="shared" ca="1" si="121"/>
        <v>0.26599361985634651</v>
      </c>
      <c r="G140" s="42">
        <f t="shared" ca="1" si="121"/>
        <v>0.46550036285447649</v>
      </c>
      <c r="H140" s="42">
        <f t="shared" ca="1" si="121"/>
        <v>0.55075506163808718</v>
      </c>
      <c r="I140" s="42">
        <f t="shared" ca="1" si="121"/>
        <v>0.38307028929403253</v>
      </c>
      <c r="J140" s="43">
        <f ca="1">IF(I140&lt;Inputs!$B$54,1+Inputs!$B$55,1)</f>
        <v>1</v>
      </c>
      <c r="K140" s="42">
        <f t="shared" ca="1" si="122"/>
        <v>0.40243785988881875</v>
      </c>
      <c r="L140" s="42">
        <f t="shared" ca="1" si="122"/>
        <v>0.60673409993410843</v>
      </c>
      <c r="M140" s="42">
        <f t="shared" ca="1" si="122"/>
        <v>0.87138328856059744</v>
      </c>
      <c r="N140" s="42">
        <f t="shared" ca="1" si="122"/>
        <v>0.69880360583210444</v>
      </c>
      <c r="O140" s="42">
        <f t="shared" ca="1" si="122"/>
        <v>0.8363551834654307</v>
      </c>
      <c r="P140" s="42">
        <f t="shared" ca="1" si="122"/>
        <v>0.19366858109678942</v>
      </c>
      <c r="Q140" s="42">
        <f t="shared" ca="1" si="122"/>
        <v>0.88741405707064114</v>
      </c>
      <c r="R140" s="42">
        <f t="shared" ca="1" si="122"/>
        <v>0.19722761029696767</v>
      </c>
      <c r="S140" s="42">
        <f t="shared" ca="1" si="122"/>
        <v>0.3550189230029539</v>
      </c>
      <c r="T140" s="42">
        <f t="shared" ca="1" si="122"/>
        <v>0.67649722558852898</v>
      </c>
      <c r="U140" s="44">
        <f ca="1">(IF(D140&gt;=Inputs!$E$12,1,IF(K140&lt;=Inputs!$C$46,Inputs!$D$46,IF(K140&lt;=Inputs!$C$47,Inputs!$D$47,Inputs!$D$48))))*((Inputs!$B$28+(P140-0.5)*2*Inputs!$B$53)/Inputs!$B$28)</f>
        <v>0.99689947956575709</v>
      </c>
      <c r="V140" s="44">
        <f ca="1">(IF(E140&gt;=Inputs!$E$13,1,IF(L140&lt;=Inputs!$C$46,Inputs!$D$46,IF(L140&lt;=Inputs!$C$47,Inputs!$D$47,Inputs!$D$48))))*((Inputs!$B$29+(Q140-0.5)*2*Inputs!$B$53)/Inputs!$B$29)</f>
        <v>1.0039053836398251</v>
      </c>
      <c r="W140" s="44">
        <f ca="1">(IF(F140&gt;=Inputs!$E$14,1,IF(M140&lt;=Inputs!$C$46,Inputs!$D$46,IF(M140&lt;=Inputs!$C$47,Inputs!$D$47,Inputs!$D$48))))*((Inputs!$B$30+(R140-0.5)*2*Inputs!$B$53)/Inputs!$B$30)</f>
        <v>0.99695706141001983</v>
      </c>
      <c r="X140" s="44">
        <f ca="1">(IF(G140&gt;=Inputs!$E$15,1,IF(N140&lt;=Inputs!$C$46,Inputs!$D$46,IF(N140&lt;=Inputs!$C$47,Inputs!$D$47,Inputs!$D$48))))*((Inputs!$B$31+(S140-0.5)*2*Inputs!$B$53)/Inputs!$B$31)</f>
        <v>0.99852811089343108</v>
      </c>
      <c r="Y140" s="44">
        <f ca="1">(IF(H140&gt;=Inputs!$E$16,1,IF(O140&lt;=Inputs!$C$46,Inputs!$D$46,IF(O140&lt;=Inputs!$C$47,Inputs!$D$47,Inputs!$D$48))))*((Inputs!$B$32+(T140-0.5)*2*Inputs!$B$53)/Inputs!$B$32)</f>
        <v>1.001775626011957</v>
      </c>
      <c r="Z140" s="45">
        <f ca="1">ILP_A_CostFocused!$C$9*U140+ILP_A_CostFocused!$C$10*V140+ILP_A_CostFocused!$C$11*W140+ILP_A_CostFocused!$C$12*X140+ILP_A_CostFocused!$C$13*Y140</f>
        <v>17962.396370081024</v>
      </c>
      <c r="AA140" s="45">
        <f ca="1">ILP_A_CostFocused!$D$9*U140+ILP_A_CostFocused!$D$10*V140+ILP_A_CostFocused!$D$11*W140+ILP_A_CostFocused!$D$12*X140+ILP_A_CostFocused!$D$13*Y140</f>
        <v>15018.493291691624</v>
      </c>
      <c r="AB140" s="45">
        <f ca="1">ILP_A_CostFocused!$E$9*U140+ILP_A_CostFocused!$E$10*V140+ILP_A_CostFocused!$E$11*W140+ILP_A_CostFocused!$E$12*X140+ILP_A_CostFocused!$E$13*Y140</f>
        <v>11996.422094344611</v>
      </c>
      <c r="AC140" s="45">
        <f ca="1">Inputs!$B$6*$C140</f>
        <v>20700</v>
      </c>
      <c r="AD140" s="45">
        <f ca="1">Inputs!$B$7*$C140</f>
        <v>17250</v>
      </c>
      <c r="AE140" s="45">
        <f ca="1">Inputs!$B$8*$C140</f>
        <v>13799.999999999998</v>
      </c>
      <c r="AF140" s="45">
        <f t="shared" ca="1" si="103"/>
        <v>2737.6036299189764</v>
      </c>
      <c r="AG140" s="45">
        <f t="shared" ca="1" si="104"/>
        <v>2231.5067083083759</v>
      </c>
      <c r="AH140" s="45">
        <f t="shared" ca="1" si="105"/>
        <v>1803.5779056553874</v>
      </c>
      <c r="AI140" s="45">
        <f t="shared" ca="1" si="106"/>
        <v>6772.6882438827397</v>
      </c>
      <c r="AJ140" s="45">
        <f ca="1">U140*(Inputs!$B$12-ILP_A_CostFocused!$F$9)+V140*(Inputs!$B$13-ILP_A_CostFocused!$F$10)+W140*(Inputs!$B$14-ILP_A_CostFocused!$F$11)+X140*(Inputs!$B$15-ILP_A_CostFocused!$F$12)+Y140*(Inputs!$B$16-ILP_A_CostFocused!$F$13)</f>
        <v>24997.168807123191</v>
      </c>
      <c r="AK140" s="45">
        <f t="shared" ca="1" si="107"/>
        <v>6772.6882438827397</v>
      </c>
      <c r="AL140" s="45">
        <f t="shared" ca="1" si="108"/>
        <v>0</v>
      </c>
      <c r="AM140" s="45">
        <f t="shared" ca="1" si="109"/>
        <v>0</v>
      </c>
      <c r="AN140" s="45">
        <f t="shared" ca="1" si="110"/>
        <v>0</v>
      </c>
      <c r="AO140" s="45">
        <f ca="1">MIN(AL140,Inputs!$B$36)</f>
        <v>0</v>
      </c>
      <c r="AP140" s="45">
        <f ca="1">MIN(AN140,Inputs!$B$36-AO140)</f>
        <v>0</v>
      </c>
      <c r="AQ140" s="45">
        <f ca="1">MIN(AM140,Inputs!$B$36-AO140-AP140)</f>
        <v>0</v>
      </c>
      <c r="AR140" s="45">
        <f t="shared" ca="1" si="111"/>
        <v>0</v>
      </c>
      <c r="AS140" s="45">
        <f t="shared" ca="1" si="112"/>
        <v>0</v>
      </c>
      <c r="AT140" s="45">
        <f t="shared" ca="1" si="113"/>
        <v>0</v>
      </c>
      <c r="AU140" s="45">
        <f t="shared" ca="1" si="114"/>
        <v>0</v>
      </c>
      <c r="AV140" s="46">
        <f ca="1">AU140*Inputs!$B$35</f>
        <v>0</v>
      </c>
      <c r="AW140" s="46">
        <f ca="1">AR140*Inputs!$C$6+AT140*Inputs!$C$7+AS140*Inputs!$C$8</f>
        <v>0</v>
      </c>
      <c r="AX140" s="46">
        <f t="shared" ca="1" si="115"/>
        <v>47369226.905236304</v>
      </c>
      <c r="AY140" s="46">
        <f ca="1">IF(J140&gt;1,($CD$4)*Inputs!$B$55*((Z140+AA140+AB140)/(SUM(ILP_A_CostFocused!$C$9:$E$13))),0)</f>
        <v>0</v>
      </c>
      <c r="AZ140" s="46">
        <f t="shared" ca="1" si="116"/>
        <v>0</v>
      </c>
      <c r="BA140" s="41">
        <f t="shared" ca="1" si="117"/>
        <v>0</v>
      </c>
      <c r="BB140" s="41">
        <f t="shared" ca="1" si="118"/>
        <v>1</v>
      </c>
      <c r="BC140" s="41">
        <f t="shared" ca="1" si="119"/>
        <v>1</v>
      </c>
      <c r="BD140" s="41">
        <f t="shared" ca="1" si="120"/>
        <v>1</v>
      </c>
    </row>
    <row r="141" spans="1:56" ht="15" customHeight="1" x14ac:dyDescent="0.3">
      <c r="A141" s="41">
        <v>134</v>
      </c>
      <c r="B141" s="42">
        <f t="shared" ca="1" si="102"/>
        <v>0.20393691056059604</v>
      </c>
      <c r="C141" s="43">
        <f ca="1">IF(B141&lt;=Inputs!$C$40,Inputs!$D$40,IF(B141&lt;=Inputs!$C$41,Inputs!$D$41,Inputs!$D$42))</f>
        <v>1</v>
      </c>
      <c r="D141" s="42">
        <f t="shared" ca="1" si="121"/>
        <v>0.44867985835767743</v>
      </c>
      <c r="E141" s="42">
        <f t="shared" ca="1" si="121"/>
        <v>1.1734985273310961E-2</v>
      </c>
      <c r="F141" s="42">
        <f t="shared" ca="1" si="121"/>
        <v>0.81987892287004027</v>
      </c>
      <c r="G141" s="42">
        <f t="shared" ca="1" si="121"/>
        <v>0.89467107720404671</v>
      </c>
      <c r="H141" s="42">
        <f t="shared" ca="1" si="121"/>
        <v>0.8255059493528899</v>
      </c>
      <c r="I141" s="42">
        <f t="shared" ca="1" si="121"/>
        <v>0.61272766711822102</v>
      </c>
      <c r="J141" s="43">
        <f ca="1">IF(I141&lt;Inputs!$B$54,1+Inputs!$B$55,1)</f>
        <v>1</v>
      </c>
      <c r="K141" s="42">
        <f t="shared" ca="1" si="122"/>
        <v>4.6789346923183706E-2</v>
      </c>
      <c r="L141" s="42">
        <f t="shared" ca="1" si="122"/>
        <v>0.45456312596445703</v>
      </c>
      <c r="M141" s="42">
        <f t="shared" ca="1" si="122"/>
        <v>0.61574294950644359</v>
      </c>
      <c r="N141" s="42">
        <f t="shared" ca="1" si="122"/>
        <v>8.9836490687998705E-2</v>
      </c>
      <c r="O141" s="42">
        <f t="shared" ca="1" si="122"/>
        <v>0.61455289705391136</v>
      </c>
      <c r="P141" s="42">
        <f t="shared" ca="1" si="122"/>
        <v>0.31368265738618251</v>
      </c>
      <c r="Q141" s="42">
        <f t="shared" ca="1" si="122"/>
        <v>0.6906445048674269</v>
      </c>
      <c r="R141" s="42">
        <f t="shared" ca="1" si="122"/>
        <v>0.97728793547734805</v>
      </c>
      <c r="S141" s="42">
        <f t="shared" ca="1" si="122"/>
        <v>0.41507367035614695</v>
      </c>
      <c r="T141" s="42">
        <f t="shared" ca="1" si="122"/>
        <v>0.28212360607752118</v>
      </c>
      <c r="U141" s="44">
        <f ca="1">(IF(D141&gt;=Inputs!$E$12,1,IF(K141&lt;=Inputs!$C$46,Inputs!$D$46,IF(K141&lt;=Inputs!$C$47,Inputs!$D$47,Inputs!$D$48))))*((Inputs!$B$28+(P141-0.5)*2*Inputs!$B$53)/Inputs!$B$28)</f>
        <v>0.99811419693710712</v>
      </c>
      <c r="V141" s="44">
        <f ca="1">(IF(E141&gt;=Inputs!$E$13,1,IF(L141&lt;=Inputs!$C$46,Inputs!$D$46,IF(L141&lt;=Inputs!$C$47,Inputs!$D$47,Inputs!$D$48))))*((Inputs!$B$29+(Q141-0.5)*2*Inputs!$B$53)/Inputs!$B$29)</f>
        <v>0.3005765458816555</v>
      </c>
      <c r="W141" s="44">
        <f ca="1">(IF(F141&gt;=Inputs!$E$14,1,IF(M141&lt;=Inputs!$C$46,Inputs!$D$46,IF(M141&lt;=Inputs!$C$47,Inputs!$D$47,Inputs!$D$48))))*((Inputs!$B$30+(R141-0.5)*2*Inputs!$B$53)/Inputs!$B$30)</f>
        <v>1.004796863673139</v>
      </c>
      <c r="X141" s="44">
        <f ca="1">(IF(G141&gt;=Inputs!$E$15,1,IF(N141&lt;=Inputs!$C$46,Inputs!$D$46,IF(N141&lt;=Inputs!$C$47,Inputs!$D$47,Inputs!$D$48))))*((Inputs!$B$31+(S141-0.5)*2*Inputs!$B$53)/Inputs!$B$31)</f>
        <v>0.99913780375996086</v>
      </c>
      <c r="Y141" s="44">
        <f ca="1">(IF(H141&gt;=Inputs!$E$16,1,IF(O141&lt;=Inputs!$C$46,Inputs!$D$46,IF(O141&lt;=Inputs!$C$47,Inputs!$D$47,Inputs!$D$48))))*((Inputs!$B$32+(T141-0.5)*2*Inputs!$B$53)/Inputs!$B$32)</f>
        <v>0.99780808456818437</v>
      </c>
      <c r="Z141" s="45">
        <f ca="1">ILP_A_CostFocused!$C$9*U141+ILP_A_CostFocused!$C$10*V141+ILP_A_CostFocused!$C$11*W141+ILP_A_CostFocused!$C$12*X141+ILP_A_CostFocused!$C$13*Y141</f>
        <v>17915.727185261869</v>
      </c>
      <c r="AA141" s="45">
        <f ca="1">ILP_A_CostFocused!$D$9*U141+ILP_A_CostFocused!$D$10*V141+ILP_A_CostFocused!$D$11*W141+ILP_A_CostFocused!$D$12*X141+ILP_A_CostFocused!$D$13*Y141</f>
        <v>8728.1978538622934</v>
      </c>
      <c r="AB141" s="45">
        <f ca="1">ILP_A_CostFocused!$E$9*U141+ILP_A_CostFocused!$E$10*V141+ILP_A_CostFocused!$E$11*W141+ILP_A_CostFocused!$E$12*X141+ILP_A_CostFocused!$E$13*Y141</f>
        <v>8629.1896381791175</v>
      </c>
      <c r="AC141" s="45">
        <f ca="1">Inputs!$B$6*$C141</f>
        <v>18000</v>
      </c>
      <c r="AD141" s="45">
        <f ca="1">Inputs!$B$7*$C141</f>
        <v>15000</v>
      </c>
      <c r="AE141" s="45">
        <f ca="1">Inputs!$B$8*$C141</f>
        <v>12000</v>
      </c>
      <c r="AF141" s="45">
        <f t="shared" ca="1" si="103"/>
        <v>84.272814738131274</v>
      </c>
      <c r="AG141" s="45">
        <f t="shared" ca="1" si="104"/>
        <v>6271.8021461377066</v>
      </c>
      <c r="AH141" s="45">
        <f t="shared" ca="1" si="105"/>
        <v>3370.8103618208825</v>
      </c>
      <c r="AI141" s="45">
        <f t="shared" ca="1" si="106"/>
        <v>9726.8853226967203</v>
      </c>
      <c r="AJ141" s="45">
        <f ca="1">U141*(Inputs!$B$12-ILP_A_CostFocused!$F$9)+V141*(Inputs!$B$13-ILP_A_CostFocused!$F$10)+W141*(Inputs!$B$14-ILP_A_CostFocused!$F$11)+X141*(Inputs!$B$15-ILP_A_CostFocused!$F$12)+Y141*(Inputs!$B$16-ILP_A_CostFocused!$F$13)</f>
        <v>24923.918257426718</v>
      </c>
      <c r="AK141" s="45">
        <f t="shared" ca="1" si="107"/>
        <v>9726.8853226967203</v>
      </c>
      <c r="AL141" s="45">
        <f t="shared" ca="1" si="108"/>
        <v>0</v>
      </c>
      <c r="AM141" s="45">
        <f t="shared" ca="1" si="109"/>
        <v>0</v>
      </c>
      <c r="AN141" s="45">
        <f t="shared" ca="1" si="110"/>
        <v>0</v>
      </c>
      <c r="AO141" s="45">
        <f ca="1">MIN(AL141,Inputs!$B$36)</f>
        <v>0</v>
      </c>
      <c r="AP141" s="45">
        <f ca="1">MIN(AN141,Inputs!$B$36-AO141)</f>
        <v>0</v>
      </c>
      <c r="AQ141" s="45">
        <f ca="1">MIN(AM141,Inputs!$B$36-AO141-AP141)</f>
        <v>0</v>
      </c>
      <c r="AR141" s="45">
        <f t="shared" ca="1" si="111"/>
        <v>0</v>
      </c>
      <c r="AS141" s="45">
        <f t="shared" ca="1" si="112"/>
        <v>0</v>
      </c>
      <c r="AT141" s="45">
        <f t="shared" ca="1" si="113"/>
        <v>0</v>
      </c>
      <c r="AU141" s="45">
        <f t="shared" ca="1" si="114"/>
        <v>0</v>
      </c>
      <c r="AV141" s="46">
        <f ca="1">AU141*Inputs!$B$35</f>
        <v>0</v>
      </c>
      <c r="AW141" s="46">
        <f ca="1">AR141*Inputs!$C$6+AT141*Inputs!$C$7+AS141*Inputs!$C$8</f>
        <v>0</v>
      </c>
      <c r="AX141" s="46">
        <f t="shared" ca="1" si="115"/>
        <v>37036399.534381777</v>
      </c>
      <c r="AY141" s="46">
        <f ca="1">IF(J141&gt;1,($CD$4)*Inputs!$B$55*((Z141+AA141+AB141)/(SUM(ILP_A_CostFocused!$C$9:$E$13))),0)</f>
        <v>0</v>
      </c>
      <c r="AZ141" s="46">
        <f t="shared" ca="1" si="116"/>
        <v>0</v>
      </c>
      <c r="BA141" s="41">
        <f t="shared" ca="1" si="117"/>
        <v>0</v>
      </c>
      <c r="BB141" s="41">
        <f t="shared" ca="1" si="118"/>
        <v>1</v>
      </c>
      <c r="BC141" s="41">
        <f t="shared" ca="1" si="119"/>
        <v>1</v>
      </c>
      <c r="BD141" s="41">
        <f t="shared" ca="1" si="120"/>
        <v>1</v>
      </c>
    </row>
    <row r="142" spans="1:56" ht="15" customHeight="1" x14ac:dyDescent="0.3">
      <c r="A142" s="41">
        <v>135</v>
      </c>
      <c r="B142" s="42">
        <f t="shared" ca="1" si="102"/>
        <v>0.65560422850704314</v>
      </c>
      <c r="C142" s="43">
        <f ca="1">IF(B142&lt;=Inputs!$C$40,Inputs!$D$40,IF(B142&lt;=Inputs!$C$41,Inputs!$D$41,Inputs!$D$42))</f>
        <v>1</v>
      </c>
      <c r="D142" s="42">
        <f t="shared" ca="1" si="121"/>
        <v>0.65181386780779993</v>
      </c>
      <c r="E142" s="42">
        <f t="shared" ca="1" si="121"/>
        <v>0.16905814020154675</v>
      </c>
      <c r="F142" s="42">
        <f t="shared" ca="1" si="121"/>
        <v>4.0385987993963202E-2</v>
      </c>
      <c r="G142" s="42">
        <f t="shared" ca="1" si="121"/>
        <v>0.41600332556232444</v>
      </c>
      <c r="H142" s="42">
        <f t="shared" ca="1" si="121"/>
        <v>9.3043832267398985E-2</v>
      </c>
      <c r="I142" s="42">
        <f t="shared" ca="1" si="121"/>
        <v>0.25980465980055856</v>
      </c>
      <c r="J142" s="43">
        <f ca="1">IF(I142&lt;Inputs!$B$54,1+Inputs!$B$55,1)</f>
        <v>1</v>
      </c>
      <c r="K142" s="42">
        <f t="shared" ca="1" si="122"/>
        <v>0.78353003162551393</v>
      </c>
      <c r="L142" s="42">
        <f t="shared" ca="1" si="122"/>
        <v>0.81457547737841396</v>
      </c>
      <c r="M142" s="42">
        <f t="shared" ca="1" si="122"/>
        <v>0.49294409322952848</v>
      </c>
      <c r="N142" s="42">
        <f t="shared" ca="1" si="122"/>
        <v>0.19813864186766406</v>
      </c>
      <c r="O142" s="42">
        <f t="shared" ca="1" si="122"/>
        <v>0.71112346191212639</v>
      </c>
      <c r="P142" s="42">
        <f t="shared" ca="1" si="122"/>
        <v>0.41378995589985212</v>
      </c>
      <c r="Q142" s="42">
        <f t="shared" ca="1" si="122"/>
        <v>0.70748558390679905</v>
      </c>
      <c r="R142" s="42">
        <f t="shared" ca="1" si="122"/>
        <v>0.99229436265663662</v>
      </c>
      <c r="S142" s="42">
        <f t="shared" ca="1" si="122"/>
        <v>0.5626643634199574</v>
      </c>
      <c r="T142" s="42">
        <f t="shared" ca="1" si="122"/>
        <v>0.22494325211965427</v>
      </c>
      <c r="U142" s="44">
        <f ca="1">(IF(D142&gt;=Inputs!$E$12,1,IF(K142&lt;=Inputs!$C$46,Inputs!$D$46,IF(K142&lt;=Inputs!$C$47,Inputs!$D$47,Inputs!$D$48))))*((Inputs!$B$28+(P142-0.5)*2*Inputs!$B$53)/Inputs!$B$28)</f>
        <v>0.99912742870343985</v>
      </c>
      <c r="V142" s="44">
        <f ca="1">(IF(E142&gt;=Inputs!$E$13,1,IF(L142&lt;=Inputs!$C$46,Inputs!$D$46,IF(L142&lt;=Inputs!$C$47,Inputs!$D$47,Inputs!$D$48))))*((Inputs!$B$29+(Q142-0.5)*2*Inputs!$B$53)/Inputs!$B$29)</f>
        <v>1.0020915885474475</v>
      </c>
      <c r="W142" s="44">
        <f ca="1">(IF(F142&gt;=Inputs!$E$14,1,IF(M142&lt;=Inputs!$C$46,Inputs!$D$46,IF(M142&lt;=Inputs!$C$47,Inputs!$D$47,Inputs!$D$48))))*((Inputs!$B$30+(R142-0.5)*2*Inputs!$B$53)/Inputs!$B$30)</f>
        <v>1.00494768203675</v>
      </c>
      <c r="X142" s="44">
        <f ca="1">(IF(G142&gt;=Inputs!$E$15,1,IF(N142&lt;=Inputs!$C$46,Inputs!$D$46,IF(N142&lt;=Inputs!$C$47,Inputs!$D$47,Inputs!$D$48))))*((Inputs!$B$31+(S142-0.5)*2*Inputs!$B$53)/Inputs!$B$31)</f>
        <v>1.0006361864306594</v>
      </c>
      <c r="Y142" s="44">
        <f ca="1">(IF(H142&gt;=Inputs!$E$16,1,IF(O142&lt;=Inputs!$C$46,Inputs!$D$46,IF(O142&lt;=Inputs!$C$47,Inputs!$D$47,Inputs!$D$48))))*((Inputs!$B$32+(T142-0.5)*2*Inputs!$B$53)/Inputs!$B$32)</f>
        <v>0.9972328294981857</v>
      </c>
      <c r="Z142" s="45">
        <f ca="1">ILP_A_CostFocused!$C$9*U142+ILP_A_CostFocused!$C$10*V142+ILP_A_CostFocused!$C$11*W142+ILP_A_CostFocused!$C$12*X142+ILP_A_CostFocused!$C$13*Y142</f>
        <v>18000.849146182161</v>
      </c>
      <c r="AA142" s="45">
        <f ca="1">ILP_A_CostFocused!$D$9*U142+ILP_A_CostFocused!$D$10*V142+ILP_A_CostFocused!$D$11*W142+ILP_A_CostFocused!$D$12*X142+ILP_A_CostFocused!$D$13*Y142</f>
        <v>15044.112663629314</v>
      </c>
      <c r="AB142" s="45">
        <f ca="1">ILP_A_CostFocused!$E$9*U142+ILP_A_CostFocused!$E$10*V142+ILP_A_CostFocused!$E$11*W142+ILP_A_CostFocused!$E$12*X142+ILP_A_CostFocused!$E$13*Y142</f>
        <v>12003.757111692514</v>
      </c>
      <c r="AC142" s="45">
        <f ca="1">Inputs!$B$6*$C142</f>
        <v>18000</v>
      </c>
      <c r="AD142" s="45">
        <f ca="1">Inputs!$B$7*$C142</f>
        <v>15000</v>
      </c>
      <c r="AE142" s="45">
        <f ca="1">Inputs!$B$8*$C142</f>
        <v>12000</v>
      </c>
      <c r="AF142" s="45">
        <f t="shared" ca="1" si="103"/>
        <v>0</v>
      </c>
      <c r="AG142" s="45">
        <f t="shared" ca="1" si="104"/>
        <v>0</v>
      </c>
      <c r="AH142" s="45">
        <f t="shared" ca="1" si="105"/>
        <v>0</v>
      </c>
      <c r="AI142" s="45">
        <f t="shared" ca="1" si="106"/>
        <v>0</v>
      </c>
      <c r="AJ142" s="45">
        <f ca="1">U142*(Inputs!$B$12-ILP_A_CostFocused!$F$9)+V142*(Inputs!$B$13-ILP_A_CostFocused!$F$10)+W142*(Inputs!$B$14-ILP_A_CostFocused!$F$11)+X142*(Inputs!$B$15-ILP_A_CostFocused!$F$12)+Y142*(Inputs!$B$16-ILP_A_CostFocused!$F$13)</f>
        <v>24997.048723533757</v>
      </c>
      <c r="AK142" s="45">
        <f t="shared" ca="1" si="107"/>
        <v>0</v>
      </c>
      <c r="AL142" s="45">
        <f t="shared" ca="1" si="108"/>
        <v>0</v>
      </c>
      <c r="AM142" s="45">
        <f t="shared" ca="1" si="109"/>
        <v>0</v>
      </c>
      <c r="AN142" s="45">
        <f t="shared" ca="1" si="110"/>
        <v>0</v>
      </c>
      <c r="AO142" s="45">
        <f ca="1">MIN(AL142,Inputs!$B$36)</f>
        <v>0</v>
      </c>
      <c r="AP142" s="45">
        <f ca="1">MIN(AN142,Inputs!$B$36-AO142)</f>
        <v>0</v>
      </c>
      <c r="AQ142" s="45">
        <f ca="1">MIN(AM142,Inputs!$B$36-AO142-AP142)</f>
        <v>0</v>
      </c>
      <c r="AR142" s="45">
        <f t="shared" ca="1" si="111"/>
        <v>0</v>
      </c>
      <c r="AS142" s="45">
        <f t="shared" ca="1" si="112"/>
        <v>0</v>
      </c>
      <c r="AT142" s="45">
        <f t="shared" ca="1" si="113"/>
        <v>0</v>
      </c>
      <c r="AU142" s="45">
        <f t="shared" ca="1" si="114"/>
        <v>0</v>
      </c>
      <c r="AV142" s="46">
        <f ca="1">AU142*Inputs!$B$35</f>
        <v>0</v>
      </c>
      <c r="AW142" s="46">
        <f ca="1">AR142*Inputs!$C$6+AT142*Inputs!$C$7+AS142*Inputs!$C$8</f>
        <v>0</v>
      </c>
      <c r="AX142" s="46">
        <f t="shared" ca="1" si="115"/>
        <v>47443836.534103602</v>
      </c>
      <c r="AY142" s="46">
        <f ca="1">IF(J142&gt;1,($CD$4)*Inputs!$B$55*((Z142+AA142+AB142)/(SUM(ILP_A_CostFocused!$C$9:$E$13))),0)</f>
        <v>0</v>
      </c>
      <c r="AZ142" s="46">
        <f t="shared" ca="1" si="116"/>
        <v>0</v>
      </c>
      <c r="BA142" s="41">
        <f t="shared" ca="1" si="117"/>
        <v>0</v>
      </c>
      <c r="BB142" s="41">
        <f t="shared" ca="1" si="118"/>
        <v>1</v>
      </c>
      <c r="BC142" s="41">
        <f t="shared" ca="1" si="119"/>
        <v>1</v>
      </c>
      <c r="BD142" s="41">
        <f t="shared" ca="1" si="120"/>
        <v>1</v>
      </c>
    </row>
    <row r="143" spans="1:56" ht="15" customHeight="1" x14ac:dyDescent="0.3">
      <c r="A143" s="41">
        <v>136</v>
      </c>
      <c r="B143" s="42">
        <f t="shared" ca="1" si="102"/>
        <v>0.4269197935610507</v>
      </c>
      <c r="C143" s="43">
        <f ca="1">IF(B143&lt;=Inputs!$C$40,Inputs!$D$40,IF(B143&lt;=Inputs!$C$41,Inputs!$D$41,Inputs!$D$42))</f>
        <v>1</v>
      </c>
      <c r="D143" s="42">
        <f t="shared" ca="1" si="121"/>
        <v>0.95728243419886128</v>
      </c>
      <c r="E143" s="42">
        <f t="shared" ca="1" si="121"/>
        <v>0.7934032265456098</v>
      </c>
      <c r="F143" s="42">
        <f t="shared" ca="1" si="121"/>
        <v>0.30204444218793458</v>
      </c>
      <c r="G143" s="42">
        <f t="shared" ca="1" si="121"/>
        <v>0.32187469694228243</v>
      </c>
      <c r="H143" s="42">
        <f t="shared" ca="1" si="121"/>
        <v>0.65767524059368188</v>
      </c>
      <c r="I143" s="42">
        <f t="shared" ca="1" si="121"/>
        <v>0.66267213730280272</v>
      </c>
      <c r="J143" s="43">
        <f ca="1">IF(I143&lt;Inputs!$B$54,1+Inputs!$B$55,1)</f>
        <v>1</v>
      </c>
      <c r="K143" s="42">
        <f t="shared" ca="1" si="122"/>
        <v>0.92531713386759995</v>
      </c>
      <c r="L143" s="42">
        <f t="shared" ca="1" si="122"/>
        <v>0.13974546261276077</v>
      </c>
      <c r="M143" s="42">
        <f t="shared" ca="1" si="122"/>
        <v>0.78919897347856638</v>
      </c>
      <c r="N143" s="42">
        <f t="shared" ca="1" si="122"/>
        <v>0.41925696325048112</v>
      </c>
      <c r="O143" s="42">
        <f t="shared" ca="1" si="122"/>
        <v>0.91151764219215659</v>
      </c>
      <c r="P143" s="42">
        <f t="shared" ca="1" si="122"/>
        <v>2.5941939548214554E-2</v>
      </c>
      <c r="Q143" s="42">
        <f t="shared" ca="1" si="122"/>
        <v>0.94874395451407223</v>
      </c>
      <c r="R143" s="42">
        <f t="shared" ca="1" si="122"/>
        <v>0.98960232997586128</v>
      </c>
      <c r="S143" s="42">
        <f t="shared" ca="1" si="122"/>
        <v>1.0889788535411893E-2</v>
      </c>
      <c r="T143" s="42">
        <f t="shared" ca="1" si="122"/>
        <v>0.58254853703436771</v>
      </c>
      <c r="U143" s="44">
        <f ca="1">(IF(D143&gt;=Inputs!$E$12,1,IF(K143&lt;=Inputs!$C$46,Inputs!$D$46,IF(K143&lt;=Inputs!$C$47,Inputs!$D$47,Inputs!$D$48))))*((Inputs!$B$28+(P143-0.5)*2*Inputs!$B$53)/Inputs!$B$28)</f>
        <v>0.99520184149340296</v>
      </c>
      <c r="V143" s="44">
        <f ca="1">(IF(E143&gt;=Inputs!$E$13,1,IF(L143&lt;=Inputs!$C$46,Inputs!$D$46,IF(L143&lt;=Inputs!$C$47,Inputs!$D$47,Inputs!$D$48))))*((Inputs!$B$29+(Q143-0.5)*2*Inputs!$B$53)/Inputs!$B$29)</f>
        <v>1.0045236285737307</v>
      </c>
      <c r="W143" s="44">
        <f ca="1">(IF(F143&gt;=Inputs!$E$14,1,IF(M143&lt;=Inputs!$C$46,Inputs!$D$46,IF(M143&lt;=Inputs!$C$47,Inputs!$D$47,Inputs!$D$48))))*((Inputs!$B$30+(R143-0.5)*2*Inputs!$B$53)/Inputs!$B$30)</f>
        <v>1.0049206264319182</v>
      </c>
      <c r="X143" s="44">
        <f ca="1">(IF(G143&gt;=Inputs!$E$15,1,IF(N143&lt;=Inputs!$C$46,Inputs!$D$46,IF(N143&lt;=Inputs!$C$47,Inputs!$D$47,Inputs!$D$48))))*((Inputs!$B$31+(S143-0.5)*2*Inputs!$B$53)/Inputs!$B$31)</f>
        <v>0.99503441409680626</v>
      </c>
      <c r="Y143" s="44">
        <f ca="1">(IF(H143&gt;=Inputs!$E$16,1,IF(O143&lt;=Inputs!$C$46,Inputs!$D$46,IF(O143&lt;=Inputs!$C$47,Inputs!$D$47,Inputs!$D$48))))*((Inputs!$B$32+(T143-0.5)*2*Inputs!$B$53)/Inputs!$B$32)</f>
        <v>1.0008304681794202</v>
      </c>
      <c r="Z143" s="45">
        <f ca="1">ILP_A_CostFocused!$C$9*U143+ILP_A_CostFocused!$C$10*V143+ILP_A_CostFocused!$C$11*W143+ILP_A_CostFocused!$C$12*X143+ILP_A_CostFocused!$C$13*Y143</f>
        <v>17912.645248261077</v>
      </c>
      <c r="AA143" s="45">
        <f ca="1">ILP_A_CostFocused!$D$9*U143+ILP_A_CostFocused!$D$10*V143+ILP_A_CostFocused!$D$11*W143+ILP_A_CostFocused!$D$12*X143+ILP_A_CostFocused!$D$13*Y143</f>
        <v>15060.15247917327</v>
      </c>
      <c r="AB143" s="45">
        <f ca="1">ILP_A_CostFocused!$E$9*U143+ILP_A_CostFocused!$E$10*V143+ILP_A_CostFocused!$E$11*W143+ILP_A_CostFocused!$E$12*X143+ILP_A_CostFocused!$E$13*Y143</f>
        <v>11987.166675906408</v>
      </c>
      <c r="AC143" s="45">
        <f ca="1">Inputs!$B$6*$C143</f>
        <v>18000</v>
      </c>
      <c r="AD143" s="45">
        <f ca="1">Inputs!$B$7*$C143</f>
        <v>15000</v>
      </c>
      <c r="AE143" s="45">
        <f ca="1">Inputs!$B$8*$C143</f>
        <v>12000</v>
      </c>
      <c r="AF143" s="45">
        <f t="shared" ca="1" si="103"/>
        <v>87.354751738923369</v>
      </c>
      <c r="AG143" s="45">
        <f t="shared" ca="1" si="104"/>
        <v>0</v>
      </c>
      <c r="AH143" s="45">
        <f t="shared" ca="1" si="105"/>
        <v>12.833324093591727</v>
      </c>
      <c r="AI143" s="45">
        <f t="shared" ca="1" si="106"/>
        <v>100.1880758325151</v>
      </c>
      <c r="AJ143" s="45">
        <f ca="1">U143*(Inputs!$B$12-ILP_A_CostFocused!$F$9)+V143*(Inputs!$B$13-ILP_A_CostFocused!$F$10)+W143*(Inputs!$B$14-ILP_A_CostFocused!$F$11)+X143*(Inputs!$B$15-ILP_A_CostFocused!$F$12)+Y143*(Inputs!$B$16-ILP_A_CostFocused!$F$13)</f>
        <v>25043.433996053835</v>
      </c>
      <c r="AK143" s="45">
        <f t="shared" ca="1" si="107"/>
        <v>100.1880758325151</v>
      </c>
      <c r="AL143" s="45">
        <f t="shared" ca="1" si="108"/>
        <v>0</v>
      </c>
      <c r="AM143" s="45">
        <f t="shared" ca="1" si="109"/>
        <v>0</v>
      </c>
      <c r="AN143" s="45">
        <f t="shared" ca="1" si="110"/>
        <v>0</v>
      </c>
      <c r="AO143" s="45">
        <f ca="1">MIN(AL143,Inputs!$B$36)</f>
        <v>0</v>
      </c>
      <c r="AP143" s="45">
        <f ca="1">MIN(AN143,Inputs!$B$36-AO143)</f>
        <v>0</v>
      </c>
      <c r="AQ143" s="45">
        <f ca="1">MIN(AM143,Inputs!$B$36-AO143-AP143)</f>
        <v>0</v>
      </c>
      <c r="AR143" s="45">
        <f t="shared" ca="1" si="111"/>
        <v>0</v>
      </c>
      <c r="AS143" s="45">
        <f t="shared" ca="1" si="112"/>
        <v>0</v>
      </c>
      <c r="AT143" s="45">
        <f t="shared" ca="1" si="113"/>
        <v>0</v>
      </c>
      <c r="AU143" s="45">
        <f t="shared" ca="1" si="114"/>
        <v>0</v>
      </c>
      <c r="AV143" s="46">
        <f ca="1">AU143*Inputs!$B$35</f>
        <v>0</v>
      </c>
      <c r="AW143" s="46">
        <f ca="1">AR143*Inputs!$C$6+AT143*Inputs!$C$7+AS143*Inputs!$C$8</f>
        <v>0</v>
      </c>
      <c r="AX143" s="46">
        <f t="shared" ca="1" si="115"/>
        <v>47351798.811740205</v>
      </c>
      <c r="AY143" s="46">
        <f ca="1">IF(J143&gt;1,($CD$4)*Inputs!$B$55*((Z143+AA143+AB143)/(SUM(ILP_A_CostFocused!$C$9:$E$13))),0)</f>
        <v>0</v>
      </c>
      <c r="AZ143" s="46">
        <f t="shared" ca="1" si="116"/>
        <v>0</v>
      </c>
      <c r="BA143" s="41">
        <f t="shared" ca="1" si="117"/>
        <v>0</v>
      </c>
      <c r="BB143" s="41">
        <f t="shared" ca="1" si="118"/>
        <v>1</v>
      </c>
      <c r="BC143" s="41">
        <f t="shared" ca="1" si="119"/>
        <v>1</v>
      </c>
      <c r="BD143" s="41">
        <f t="shared" ca="1" si="120"/>
        <v>1</v>
      </c>
    </row>
    <row r="144" spans="1:56" ht="15" customHeight="1" x14ac:dyDescent="0.3">
      <c r="A144" s="41">
        <v>137</v>
      </c>
      <c r="B144" s="42">
        <f t="shared" ca="1" si="102"/>
        <v>0.61445135623251912</v>
      </c>
      <c r="C144" s="43">
        <f ca="1">IF(B144&lt;=Inputs!$C$40,Inputs!$D$40,IF(B144&lt;=Inputs!$C$41,Inputs!$D$41,Inputs!$D$42))</f>
        <v>1</v>
      </c>
      <c r="D144" s="42">
        <f t="shared" ca="1" si="121"/>
        <v>3.3612093380254282E-2</v>
      </c>
      <c r="E144" s="42">
        <f t="shared" ca="1" si="121"/>
        <v>0.5309345984572772</v>
      </c>
      <c r="F144" s="42">
        <f t="shared" ca="1" si="121"/>
        <v>0.82983145774677924</v>
      </c>
      <c r="G144" s="42">
        <f t="shared" ca="1" si="121"/>
        <v>0.54028165794105354</v>
      </c>
      <c r="H144" s="42">
        <f t="shared" ca="1" si="121"/>
        <v>0.40912130334988606</v>
      </c>
      <c r="I144" s="42">
        <f t="shared" ca="1" si="121"/>
        <v>0.10768518726259879</v>
      </c>
      <c r="J144" s="43">
        <f ca="1">IF(I144&lt;Inputs!$B$54,1+Inputs!$B$55,1)</f>
        <v>1</v>
      </c>
      <c r="K144" s="42">
        <f t="shared" ca="1" si="122"/>
        <v>0.71500498204206853</v>
      </c>
      <c r="L144" s="42">
        <f t="shared" ca="1" si="122"/>
        <v>0.95779465967400979</v>
      </c>
      <c r="M144" s="42">
        <f t="shared" ca="1" si="122"/>
        <v>0.42193062201849763</v>
      </c>
      <c r="N144" s="42">
        <f t="shared" ca="1" si="122"/>
        <v>0.30530870562974055</v>
      </c>
      <c r="O144" s="42">
        <f t="shared" ca="1" si="122"/>
        <v>0.18180755658824943</v>
      </c>
      <c r="P144" s="42">
        <f t="shared" ca="1" si="122"/>
        <v>0.5715101812172716</v>
      </c>
      <c r="Q144" s="42">
        <f t="shared" ca="1" si="122"/>
        <v>0.38257696571340361</v>
      </c>
      <c r="R144" s="42">
        <f t="shared" ca="1" si="122"/>
        <v>0.42370427370618391</v>
      </c>
      <c r="S144" s="42">
        <f t="shared" ca="1" si="122"/>
        <v>0.3921041418662734</v>
      </c>
      <c r="T144" s="42">
        <f t="shared" ca="1" si="122"/>
        <v>0.55625778772576406</v>
      </c>
      <c r="U144" s="44">
        <f ca="1">(IF(D144&gt;=Inputs!$E$12,1,IF(K144&lt;=Inputs!$C$46,Inputs!$D$46,IF(K144&lt;=Inputs!$C$47,Inputs!$D$47,Inputs!$D$48))))*((Inputs!$B$28+(P144-0.5)*2*Inputs!$B$53)/Inputs!$B$28)</f>
        <v>0.30021713617778517</v>
      </c>
      <c r="V144" s="44">
        <f ca="1">(IF(E144&gt;=Inputs!$E$13,1,IF(L144&lt;=Inputs!$C$46,Inputs!$D$46,IF(L144&lt;=Inputs!$C$47,Inputs!$D$47,Inputs!$D$48))))*((Inputs!$B$29+(Q144-0.5)*2*Inputs!$B$53)/Inputs!$B$29)</f>
        <v>0.9988163000575947</v>
      </c>
      <c r="W144" s="44">
        <f ca="1">(IF(F144&gt;=Inputs!$E$14,1,IF(M144&lt;=Inputs!$C$46,Inputs!$D$46,IF(M144&lt;=Inputs!$C$47,Inputs!$D$47,Inputs!$D$48))))*((Inputs!$B$30+(R144-0.5)*2*Inputs!$B$53)/Inputs!$B$30)</f>
        <v>0.99923320878096666</v>
      </c>
      <c r="X144" s="44">
        <f ca="1">(IF(G144&gt;=Inputs!$E$15,1,IF(N144&lt;=Inputs!$C$46,Inputs!$D$46,IF(N144&lt;=Inputs!$C$47,Inputs!$D$47,Inputs!$D$48))))*((Inputs!$B$31+(S144-0.5)*2*Inputs!$B$53)/Inputs!$B$31)</f>
        <v>0.9989046105773226</v>
      </c>
      <c r="Y144" s="44">
        <f ca="1">(IF(H144&gt;=Inputs!$E$16,1,IF(O144&lt;=Inputs!$C$46,Inputs!$D$46,IF(O144&lt;=Inputs!$C$47,Inputs!$D$47,Inputs!$D$48))))*((Inputs!$B$32+(T144-0.5)*2*Inputs!$B$53)/Inputs!$B$32)</f>
        <v>1.0005659737195751</v>
      </c>
      <c r="Z144" s="45">
        <f ca="1">ILP_A_CostFocused!$C$9*U144+ILP_A_CostFocused!$C$10*V144+ILP_A_CostFocused!$C$11*W144+ILP_A_CostFocused!$C$12*X144+ILP_A_CostFocused!$C$13*Y144</f>
        <v>13011.209901136561</v>
      </c>
      <c r="AA144" s="45">
        <f ca="1">ILP_A_CostFocused!$D$9*U144+ILP_A_CostFocused!$D$10*V144+ILP_A_CostFocused!$D$11*W144+ILP_A_CostFocused!$D$12*X144+ILP_A_CostFocused!$D$13*Y144</f>
        <v>14984.410783036436</v>
      </c>
      <c r="AB144" s="45">
        <f ca="1">ILP_A_CostFocused!$E$9*U144+ILP_A_CostFocused!$E$10*V144+ILP_A_CostFocused!$E$11*W144+ILP_A_CostFocused!$E$12*X144+ILP_A_CostFocused!$E$13*Y144</f>
        <v>6955.8816207565069</v>
      </c>
      <c r="AC144" s="45">
        <f ca="1">Inputs!$B$6*$C144</f>
        <v>18000</v>
      </c>
      <c r="AD144" s="45">
        <f ca="1">Inputs!$B$7*$C144</f>
        <v>15000</v>
      </c>
      <c r="AE144" s="45">
        <f ca="1">Inputs!$B$8*$C144</f>
        <v>12000</v>
      </c>
      <c r="AF144" s="45">
        <f t="shared" ca="1" si="103"/>
        <v>4988.7900988634392</v>
      </c>
      <c r="AG144" s="45">
        <f t="shared" ca="1" si="104"/>
        <v>15.589216963564468</v>
      </c>
      <c r="AH144" s="45">
        <f t="shared" ca="1" si="105"/>
        <v>5044.1183792434931</v>
      </c>
      <c r="AI144" s="45">
        <f t="shared" ca="1" si="106"/>
        <v>10048.497695070497</v>
      </c>
      <c r="AJ144" s="45">
        <f ca="1">U144*(Inputs!$B$12-ILP_A_CostFocused!$F$9)+V144*(Inputs!$B$13-ILP_A_CostFocused!$F$10)+W144*(Inputs!$B$14-ILP_A_CostFocused!$F$11)+X144*(Inputs!$B$15-ILP_A_CostFocused!$F$12)+Y144*(Inputs!$B$16-ILP_A_CostFocused!$F$13)</f>
        <v>23820.776721595452</v>
      </c>
      <c r="AK144" s="45">
        <f t="shared" ca="1" si="107"/>
        <v>10048.497695070497</v>
      </c>
      <c r="AL144" s="45">
        <f t="shared" ca="1" si="108"/>
        <v>0</v>
      </c>
      <c r="AM144" s="45">
        <f t="shared" ca="1" si="109"/>
        <v>0</v>
      </c>
      <c r="AN144" s="45">
        <f t="shared" ca="1" si="110"/>
        <v>0</v>
      </c>
      <c r="AO144" s="45">
        <f ca="1">MIN(AL144,Inputs!$B$36)</f>
        <v>0</v>
      </c>
      <c r="AP144" s="45">
        <f ca="1">MIN(AN144,Inputs!$B$36-AO144)</f>
        <v>0</v>
      </c>
      <c r="AQ144" s="45">
        <f ca="1">MIN(AM144,Inputs!$B$36-AO144-AP144)</f>
        <v>0</v>
      </c>
      <c r="AR144" s="45">
        <f t="shared" ca="1" si="111"/>
        <v>0</v>
      </c>
      <c r="AS144" s="45">
        <f t="shared" ca="1" si="112"/>
        <v>0</v>
      </c>
      <c r="AT144" s="45">
        <f t="shared" ca="1" si="113"/>
        <v>0</v>
      </c>
      <c r="AU144" s="45">
        <f t="shared" ca="1" si="114"/>
        <v>0</v>
      </c>
      <c r="AV144" s="46">
        <f ca="1">AU144*Inputs!$B$35</f>
        <v>0</v>
      </c>
      <c r="AW144" s="46">
        <f ca="1">AR144*Inputs!$C$6+AT144*Inputs!$C$7+AS144*Inputs!$C$8</f>
        <v>0</v>
      </c>
      <c r="AX144" s="46">
        <f t="shared" ca="1" si="115"/>
        <v>36758076.100722276</v>
      </c>
      <c r="AY144" s="46">
        <f ca="1">IF(J144&gt;1,($CD$4)*Inputs!$B$55*((Z144+AA144+AB144)/(SUM(ILP_A_CostFocused!$C$9:$E$13))),0)</f>
        <v>0</v>
      </c>
      <c r="AZ144" s="46">
        <f t="shared" ca="1" si="116"/>
        <v>0</v>
      </c>
      <c r="BA144" s="41">
        <f t="shared" ca="1" si="117"/>
        <v>0</v>
      </c>
      <c r="BB144" s="41">
        <f t="shared" ca="1" si="118"/>
        <v>1</v>
      </c>
      <c r="BC144" s="41">
        <f t="shared" ca="1" si="119"/>
        <v>1</v>
      </c>
      <c r="BD144" s="41">
        <f t="shared" ca="1" si="120"/>
        <v>1</v>
      </c>
    </row>
    <row r="145" spans="1:56" ht="15" customHeight="1" x14ac:dyDescent="0.3">
      <c r="A145" s="41">
        <v>138</v>
      </c>
      <c r="B145" s="42">
        <f t="shared" ca="1" si="102"/>
        <v>0.43781596084334495</v>
      </c>
      <c r="C145" s="43">
        <f ca="1">IF(B145&lt;=Inputs!$C$40,Inputs!$D$40,IF(B145&lt;=Inputs!$C$41,Inputs!$D$41,Inputs!$D$42))</f>
        <v>1</v>
      </c>
      <c r="D145" s="42">
        <f t="shared" ca="1" si="121"/>
        <v>0.67518517814962786</v>
      </c>
      <c r="E145" s="42">
        <f t="shared" ca="1" si="121"/>
        <v>0.17643222868974962</v>
      </c>
      <c r="F145" s="42">
        <f t="shared" ca="1" si="121"/>
        <v>0.50806306761501319</v>
      </c>
      <c r="G145" s="42">
        <f t="shared" ca="1" si="121"/>
        <v>0.1711153474075755</v>
      </c>
      <c r="H145" s="42">
        <f t="shared" ca="1" si="121"/>
        <v>0.24755175081696978</v>
      </c>
      <c r="I145" s="42">
        <f t="shared" ca="1" si="121"/>
        <v>0.22186586849870094</v>
      </c>
      <c r="J145" s="43">
        <f ca="1">IF(I145&lt;Inputs!$B$54,1+Inputs!$B$55,1)</f>
        <v>1</v>
      </c>
      <c r="K145" s="42">
        <f t="shared" ca="1" si="122"/>
        <v>0.56112768804726321</v>
      </c>
      <c r="L145" s="42">
        <f t="shared" ca="1" si="122"/>
        <v>0.68753835140769826</v>
      </c>
      <c r="M145" s="42">
        <f t="shared" ca="1" si="122"/>
        <v>0.28371578799700603</v>
      </c>
      <c r="N145" s="42">
        <f t="shared" ca="1" si="122"/>
        <v>0.28673804190809082</v>
      </c>
      <c r="O145" s="42">
        <f t="shared" ca="1" si="122"/>
        <v>9.3249458536989516E-2</v>
      </c>
      <c r="P145" s="42">
        <f t="shared" ca="1" si="122"/>
        <v>0.72679861916106914</v>
      </c>
      <c r="Q145" s="42">
        <f t="shared" ca="1" si="122"/>
        <v>0.13442222819826655</v>
      </c>
      <c r="R145" s="42">
        <f t="shared" ca="1" si="122"/>
        <v>0.77356058766957325</v>
      </c>
      <c r="S145" s="42">
        <f t="shared" ca="1" si="122"/>
        <v>0.98442257932156763</v>
      </c>
      <c r="T145" s="42">
        <f t="shared" ca="1" si="122"/>
        <v>0.20610602540125689</v>
      </c>
      <c r="U145" s="44">
        <f ca="1">(IF(D145&gt;=Inputs!$E$12,1,IF(K145&lt;=Inputs!$C$46,Inputs!$D$46,IF(K145&lt;=Inputs!$C$47,Inputs!$D$47,Inputs!$D$48))))*((Inputs!$B$28+(P145-0.5)*2*Inputs!$B$53)/Inputs!$B$28)</f>
        <v>1.002295532582602</v>
      </c>
      <c r="V145" s="44">
        <f ca="1">(IF(E145&gt;=Inputs!$E$13,1,IF(L145&lt;=Inputs!$C$46,Inputs!$D$46,IF(L145&lt;=Inputs!$C$47,Inputs!$D$47,Inputs!$D$48))))*((Inputs!$B$29+(Q145-0.5)*2*Inputs!$B$53)/Inputs!$B$29)</f>
        <v>0.99631474020361166</v>
      </c>
      <c r="W145" s="44">
        <f ca="1">(IF(F145&gt;=Inputs!$E$14,1,IF(M145&lt;=Inputs!$C$46,Inputs!$D$46,IF(M145&lt;=Inputs!$C$47,Inputs!$D$47,Inputs!$D$48))))*((Inputs!$B$30+(R145-0.5)*2*Inputs!$B$53)/Inputs!$B$30)</f>
        <v>1.0027493526398952</v>
      </c>
      <c r="X145" s="44">
        <f ca="1">(IF(G145&gt;=Inputs!$E$15,1,IF(N145&lt;=Inputs!$C$46,Inputs!$D$46,IF(N145&lt;=Inputs!$C$47,Inputs!$D$47,Inputs!$D$48))))*((Inputs!$B$31+(S145-0.5)*2*Inputs!$B$53)/Inputs!$B$31)</f>
        <v>0.6029507974374918</v>
      </c>
      <c r="Y145" s="44">
        <f ca="1">(IF(H145&gt;=Inputs!$E$16,1,IF(O145&lt;=Inputs!$C$46,Inputs!$D$46,IF(O145&lt;=Inputs!$C$47,Inputs!$D$47,Inputs!$D$48))))*((Inputs!$B$32+(T145-0.5)*2*Inputs!$B$53)/Inputs!$B$32)</f>
        <v>0.99704332017506292</v>
      </c>
      <c r="Z145" s="45">
        <f ca="1">ILP_A_CostFocused!$C$9*U145+ILP_A_CostFocused!$C$10*V145+ILP_A_CostFocused!$C$11*W145+ILP_A_CostFocused!$C$12*X145+ILP_A_CostFocused!$C$13*Y145</f>
        <v>13727.870137190295</v>
      </c>
      <c r="AA145" s="45">
        <f ca="1">ILP_A_CostFocused!$D$9*U145+ILP_A_CostFocused!$D$10*V145+ILP_A_CostFocused!$D$11*W145+ILP_A_CostFocused!$D$12*X145+ILP_A_CostFocused!$D$13*Y145</f>
        <v>14575.534251365425</v>
      </c>
      <c r="AB145" s="45">
        <f ca="1">ILP_A_CostFocused!$E$9*U145+ILP_A_CostFocused!$E$10*V145+ILP_A_CostFocused!$E$11*W145+ILP_A_CostFocused!$E$12*X145+ILP_A_CostFocused!$E$13*Y145</f>
        <v>11998.838587572071</v>
      </c>
      <c r="AC145" s="45">
        <f ca="1">Inputs!$B$6*$C145</f>
        <v>18000</v>
      </c>
      <c r="AD145" s="45">
        <f ca="1">Inputs!$B$7*$C145</f>
        <v>15000</v>
      </c>
      <c r="AE145" s="45">
        <f ca="1">Inputs!$B$8*$C145</f>
        <v>12000</v>
      </c>
      <c r="AF145" s="45">
        <f t="shared" ca="1" si="103"/>
        <v>4272.1298628097047</v>
      </c>
      <c r="AG145" s="45">
        <f t="shared" ca="1" si="104"/>
        <v>424.46574863457499</v>
      </c>
      <c r="AH145" s="45">
        <f t="shared" ca="1" si="105"/>
        <v>1.1614124279294629</v>
      </c>
      <c r="AI145" s="45">
        <f t="shared" ca="1" si="106"/>
        <v>4697.7570238722092</v>
      </c>
      <c r="AJ145" s="45">
        <f ca="1">U145*(Inputs!$B$12-ILP_A_CostFocused!$F$9)+V145*(Inputs!$B$13-ILP_A_CostFocused!$F$10)+W145*(Inputs!$B$14-ILP_A_CostFocused!$F$11)+X145*(Inputs!$B$15-ILP_A_CostFocused!$F$12)+Y145*(Inputs!$B$16-ILP_A_CostFocused!$F$13)</f>
        <v>24909.692864238888</v>
      </c>
      <c r="AK145" s="45">
        <f t="shared" ca="1" si="107"/>
        <v>4697.7570238722092</v>
      </c>
      <c r="AL145" s="45">
        <f t="shared" ca="1" si="108"/>
        <v>0</v>
      </c>
      <c r="AM145" s="45">
        <f t="shared" ca="1" si="109"/>
        <v>0</v>
      </c>
      <c r="AN145" s="45">
        <f t="shared" ca="1" si="110"/>
        <v>0</v>
      </c>
      <c r="AO145" s="45">
        <f ca="1">MIN(AL145,Inputs!$B$36)</f>
        <v>0</v>
      </c>
      <c r="AP145" s="45">
        <f ca="1">MIN(AN145,Inputs!$B$36-AO145)</f>
        <v>0</v>
      </c>
      <c r="AQ145" s="45">
        <f ca="1">MIN(AM145,Inputs!$B$36-AO145-AP145)</f>
        <v>0</v>
      </c>
      <c r="AR145" s="45">
        <f t="shared" ca="1" si="111"/>
        <v>0</v>
      </c>
      <c r="AS145" s="45">
        <f t="shared" ca="1" si="112"/>
        <v>0</v>
      </c>
      <c r="AT145" s="45">
        <f t="shared" ca="1" si="113"/>
        <v>0</v>
      </c>
      <c r="AU145" s="45">
        <f t="shared" ca="1" si="114"/>
        <v>0</v>
      </c>
      <c r="AV145" s="46">
        <f ca="1">AU145*Inputs!$B$35</f>
        <v>0</v>
      </c>
      <c r="AW145" s="46">
        <f ca="1">AR145*Inputs!$C$6+AT145*Inputs!$C$7+AS145*Inputs!$C$8</f>
        <v>0</v>
      </c>
      <c r="AX145" s="46">
        <f t="shared" ca="1" si="115"/>
        <v>42539134.55202353</v>
      </c>
      <c r="AY145" s="46">
        <f ca="1">IF(J145&gt;1,($CD$4)*Inputs!$B$55*((Z145+AA145+AB145)/(SUM(ILP_A_CostFocused!$C$9:$E$13))),0)</f>
        <v>0</v>
      </c>
      <c r="AZ145" s="46">
        <f t="shared" ca="1" si="116"/>
        <v>0</v>
      </c>
      <c r="BA145" s="41">
        <f t="shared" ca="1" si="117"/>
        <v>0</v>
      </c>
      <c r="BB145" s="41">
        <f t="shared" ca="1" si="118"/>
        <v>1</v>
      </c>
      <c r="BC145" s="41">
        <f t="shared" ca="1" si="119"/>
        <v>1</v>
      </c>
      <c r="BD145" s="41">
        <f t="shared" ca="1" si="120"/>
        <v>1</v>
      </c>
    </row>
    <row r="146" spans="1:56" ht="15" customHeight="1" x14ac:dyDescent="0.3">
      <c r="A146" s="41">
        <v>139</v>
      </c>
      <c r="B146" s="42">
        <f t="shared" ca="1" si="102"/>
        <v>0.5185057250591526</v>
      </c>
      <c r="C146" s="43">
        <f ca="1">IF(B146&lt;=Inputs!$C$40,Inputs!$D$40,IF(B146&lt;=Inputs!$C$41,Inputs!$D$41,Inputs!$D$42))</f>
        <v>1</v>
      </c>
      <c r="D146" s="42">
        <f t="shared" ca="1" si="121"/>
        <v>0.90788778819736271</v>
      </c>
      <c r="E146" s="42">
        <f t="shared" ca="1" si="121"/>
        <v>0.92878751623881639</v>
      </c>
      <c r="F146" s="42">
        <f t="shared" ca="1" si="121"/>
        <v>0.43747279845501397</v>
      </c>
      <c r="G146" s="42">
        <f t="shared" ca="1" si="121"/>
        <v>0.30770238856191512</v>
      </c>
      <c r="H146" s="42">
        <f t="shared" ca="1" si="121"/>
        <v>0.8573108718479584</v>
      </c>
      <c r="I146" s="42">
        <f t="shared" ca="1" si="121"/>
        <v>0.68036797848935504</v>
      </c>
      <c r="J146" s="43">
        <f ca="1">IF(I146&lt;Inputs!$B$54,1+Inputs!$B$55,1)</f>
        <v>1</v>
      </c>
      <c r="K146" s="42">
        <f t="shared" ca="1" si="122"/>
        <v>0.57388393207372668</v>
      </c>
      <c r="L146" s="42">
        <f t="shared" ca="1" si="122"/>
        <v>0.11598560608300168</v>
      </c>
      <c r="M146" s="42">
        <f t="shared" ca="1" si="122"/>
        <v>0.57167858227907498</v>
      </c>
      <c r="N146" s="42">
        <f t="shared" ca="1" si="122"/>
        <v>0.92018773619432248</v>
      </c>
      <c r="O146" s="42">
        <f t="shared" ca="1" si="122"/>
        <v>1.9758390060200304E-2</v>
      </c>
      <c r="P146" s="42">
        <f t="shared" ca="1" si="122"/>
        <v>0.73356119605138492</v>
      </c>
      <c r="Q146" s="42">
        <f t="shared" ca="1" si="122"/>
        <v>0.42202313353999699</v>
      </c>
      <c r="R146" s="42">
        <f t="shared" ca="1" si="122"/>
        <v>0.54014904886145776</v>
      </c>
      <c r="S146" s="42">
        <f t="shared" ca="1" si="122"/>
        <v>0.10676045790849886</v>
      </c>
      <c r="T146" s="42">
        <f t="shared" ca="1" si="122"/>
        <v>0.34968978956620156</v>
      </c>
      <c r="U146" s="44">
        <f ca="1">(IF(D146&gt;=Inputs!$E$12,1,IF(K146&lt;=Inputs!$C$46,Inputs!$D$46,IF(K146&lt;=Inputs!$C$47,Inputs!$D$47,Inputs!$D$48))))*((Inputs!$B$28+(P146-0.5)*2*Inputs!$B$53)/Inputs!$B$28)</f>
        <v>1.0023639797171193</v>
      </c>
      <c r="V146" s="44">
        <f ca="1">(IF(E146&gt;=Inputs!$E$13,1,IF(L146&lt;=Inputs!$C$46,Inputs!$D$46,IF(L146&lt;=Inputs!$C$47,Inputs!$D$47,Inputs!$D$48))))*((Inputs!$B$29+(Q146-0.5)*2*Inputs!$B$53)/Inputs!$B$29)</f>
        <v>0.99921394287842735</v>
      </c>
      <c r="W146" s="44">
        <f ca="1">(IF(F146&gt;=Inputs!$E$14,1,IF(M146&lt;=Inputs!$C$46,Inputs!$D$46,IF(M146&lt;=Inputs!$C$47,Inputs!$D$47,Inputs!$D$48))))*((Inputs!$B$30+(R146-0.5)*2*Inputs!$B$53)/Inputs!$B$30)</f>
        <v>1.0004035080287583</v>
      </c>
      <c r="X146" s="44">
        <f ca="1">(IF(G146&gt;=Inputs!$E$15,1,IF(N146&lt;=Inputs!$C$46,Inputs!$D$46,IF(N146&lt;=Inputs!$C$47,Inputs!$D$47,Inputs!$D$48))))*((Inputs!$B$31+(S146-0.5)*2*Inputs!$B$53)/Inputs!$B$31)</f>
        <v>0.99600772038485785</v>
      </c>
      <c r="Y146" s="44">
        <f ca="1">(IF(H146&gt;=Inputs!$E$16,1,IF(O146&lt;=Inputs!$C$46,Inputs!$D$46,IF(O146&lt;=Inputs!$C$47,Inputs!$D$47,Inputs!$D$48))))*((Inputs!$B$32+(T146-0.5)*2*Inputs!$B$53)/Inputs!$B$32)</f>
        <v>0.99848782484473042</v>
      </c>
      <c r="Z146" s="45">
        <f ca="1">ILP_A_CostFocused!$C$9*U146+ILP_A_CostFocused!$C$10*V146+ILP_A_CostFocused!$C$11*W146+ILP_A_CostFocused!$C$12*X146+ILP_A_CostFocused!$C$13*Y146</f>
        <v>17973.626830877918</v>
      </c>
      <c r="AA146" s="45">
        <f ca="1">ILP_A_CostFocused!$D$9*U146+ILP_A_CostFocused!$D$10*V146+ILP_A_CostFocused!$D$11*W146+ILP_A_CostFocused!$D$12*X146+ILP_A_CostFocused!$D$13*Y146</f>
        <v>14990.862830681615</v>
      </c>
      <c r="AB146" s="45">
        <f ca="1">ILP_A_CostFocused!$E$9*U146+ILP_A_CostFocused!$E$10*V146+ILP_A_CostFocused!$E$11*W146+ILP_A_CostFocused!$E$12*X146+ILP_A_CostFocused!$E$13*Y146</f>
        <v>12013.247579779711</v>
      </c>
      <c r="AC146" s="45">
        <f ca="1">Inputs!$B$6*$C146</f>
        <v>18000</v>
      </c>
      <c r="AD146" s="45">
        <f ca="1">Inputs!$B$7*$C146</f>
        <v>15000</v>
      </c>
      <c r="AE146" s="45">
        <f ca="1">Inputs!$B$8*$C146</f>
        <v>12000</v>
      </c>
      <c r="AF146" s="45">
        <f t="shared" ca="1" si="103"/>
        <v>26.37316912208189</v>
      </c>
      <c r="AG146" s="45">
        <f t="shared" ca="1" si="104"/>
        <v>9.1371693183846219</v>
      </c>
      <c r="AH146" s="45">
        <f t="shared" ca="1" si="105"/>
        <v>0</v>
      </c>
      <c r="AI146" s="45">
        <f t="shared" ca="1" si="106"/>
        <v>35.510338440466512</v>
      </c>
      <c r="AJ146" s="45">
        <f ca="1">U146*(Inputs!$B$12-ILP_A_CostFocused!$F$9)+V146*(Inputs!$B$13-ILP_A_CostFocused!$F$10)+W146*(Inputs!$B$14-ILP_A_CostFocused!$F$11)+X146*(Inputs!$B$15-ILP_A_CostFocused!$F$12)+Y146*(Inputs!$B$16-ILP_A_CostFocused!$F$13)</f>
        <v>24983.737256095752</v>
      </c>
      <c r="AK146" s="45">
        <f t="shared" ca="1" si="107"/>
        <v>35.510338440466512</v>
      </c>
      <c r="AL146" s="45">
        <f t="shared" ca="1" si="108"/>
        <v>0</v>
      </c>
      <c r="AM146" s="45">
        <f t="shared" ca="1" si="109"/>
        <v>0</v>
      </c>
      <c r="AN146" s="45">
        <f t="shared" ca="1" si="110"/>
        <v>0</v>
      </c>
      <c r="AO146" s="45">
        <f ca="1">MIN(AL146,Inputs!$B$36)</f>
        <v>0</v>
      </c>
      <c r="AP146" s="45">
        <f ca="1">MIN(AN146,Inputs!$B$36-AO146)</f>
        <v>0</v>
      </c>
      <c r="AQ146" s="45">
        <f ca="1">MIN(AM146,Inputs!$B$36-AO146-AP146)</f>
        <v>0</v>
      </c>
      <c r="AR146" s="45">
        <f t="shared" ca="1" si="111"/>
        <v>0</v>
      </c>
      <c r="AS146" s="45">
        <f t="shared" ca="1" si="112"/>
        <v>0</v>
      </c>
      <c r="AT146" s="45">
        <f t="shared" ca="1" si="113"/>
        <v>0</v>
      </c>
      <c r="AU146" s="45">
        <f t="shared" ca="1" si="114"/>
        <v>0</v>
      </c>
      <c r="AV146" s="46">
        <f ca="1">AU146*Inputs!$B$35</f>
        <v>0</v>
      </c>
      <c r="AW146" s="46">
        <f ca="1">AR146*Inputs!$C$6+AT146*Inputs!$C$7+AS146*Inputs!$C$8</f>
        <v>0</v>
      </c>
      <c r="AX146" s="46">
        <f t="shared" ca="1" si="115"/>
        <v>47369942.706656411</v>
      </c>
      <c r="AY146" s="46">
        <f ca="1">IF(J146&gt;1,($CD$4)*Inputs!$B$55*((Z146+AA146+AB146)/(SUM(ILP_A_CostFocused!$C$9:$E$13))),0)</f>
        <v>0</v>
      </c>
      <c r="AZ146" s="46">
        <f t="shared" ca="1" si="116"/>
        <v>0</v>
      </c>
      <c r="BA146" s="41">
        <f t="shared" ca="1" si="117"/>
        <v>0</v>
      </c>
      <c r="BB146" s="41">
        <f t="shared" ca="1" si="118"/>
        <v>1</v>
      </c>
      <c r="BC146" s="41">
        <f t="shared" ca="1" si="119"/>
        <v>1</v>
      </c>
      <c r="BD146" s="41">
        <f t="shared" ca="1" si="120"/>
        <v>1</v>
      </c>
    </row>
    <row r="147" spans="1:56" ht="15" customHeight="1" x14ac:dyDescent="0.3">
      <c r="A147" s="41">
        <v>140</v>
      </c>
      <c r="B147" s="42">
        <f t="shared" ca="1" si="102"/>
        <v>0.72828928061294051</v>
      </c>
      <c r="C147" s="43">
        <f ca="1">IF(B147&lt;=Inputs!$C$40,Inputs!$D$40,IF(B147&lt;=Inputs!$C$41,Inputs!$D$41,Inputs!$D$42))</f>
        <v>1</v>
      </c>
      <c r="D147" s="42">
        <f t="shared" ca="1" si="121"/>
        <v>0.71298268335684212</v>
      </c>
      <c r="E147" s="42">
        <f t="shared" ca="1" si="121"/>
        <v>0.88794115469727786</v>
      </c>
      <c r="F147" s="42">
        <f t="shared" ca="1" si="121"/>
        <v>0.1784893870580454</v>
      </c>
      <c r="G147" s="42">
        <f t="shared" ca="1" si="121"/>
        <v>0.93136888486488689</v>
      </c>
      <c r="H147" s="42">
        <f t="shared" ca="1" si="121"/>
        <v>0.5896175436570128</v>
      </c>
      <c r="I147" s="42">
        <f t="shared" ca="1" si="121"/>
        <v>0.26357234609507141</v>
      </c>
      <c r="J147" s="43">
        <f ca="1">IF(I147&lt;Inputs!$B$54,1+Inputs!$B$55,1)</f>
        <v>1</v>
      </c>
      <c r="K147" s="42">
        <f t="shared" ca="1" si="122"/>
        <v>0.27339199517690604</v>
      </c>
      <c r="L147" s="42">
        <f t="shared" ca="1" si="122"/>
        <v>6.955515841502935E-2</v>
      </c>
      <c r="M147" s="42">
        <f t="shared" ca="1" si="122"/>
        <v>0.66776607156066581</v>
      </c>
      <c r="N147" s="42">
        <f t="shared" ca="1" si="122"/>
        <v>0.60989216740911456</v>
      </c>
      <c r="O147" s="42">
        <f t="shared" ca="1" si="122"/>
        <v>0.61390386538424402</v>
      </c>
      <c r="P147" s="42">
        <f t="shared" ca="1" si="122"/>
        <v>0.34594312970811381</v>
      </c>
      <c r="Q147" s="42">
        <f t="shared" ca="1" si="122"/>
        <v>0.66677267719279487</v>
      </c>
      <c r="R147" s="42">
        <f t="shared" ca="1" si="122"/>
        <v>0.85296856567381618</v>
      </c>
      <c r="S147" s="42">
        <f t="shared" ca="1" si="122"/>
        <v>0.72064093178168609</v>
      </c>
      <c r="T147" s="42">
        <f t="shared" ca="1" si="122"/>
        <v>0.37738858325737135</v>
      </c>
      <c r="U147" s="44">
        <f ca="1">(IF(D147&gt;=Inputs!$E$12,1,IF(K147&lt;=Inputs!$C$46,Inputs!$D$46,IF(K147&lt;=Inputs!$C$47,Inputs!$D$47,Inputs!$D$48))))*((Inputs!$B$28+(P147-0.5)*2*Inputs!$B$53)/Inputs!$B$28)</f>
        <v>0.998440719936317</v>
      </c>
      <c r="V147" s="44">
        <f ca="1">(IF(E147&gt;=Inputs!$E$13,1,IF(L147&lt;=Inputs!$C$46,Inputs!$D$46,IF(L147&lt;=Inputs!$C$47,Inputs!$D$47,Inputs!$D$48))))*((Inputs!$B$29+(Q147-0.5)*2*Inputs!$B$53)/Inputs!$B$29)</f>
        <v>1.0016811761813791</v>
      </c>
      <c r="W147" s="44">
        <f ca="1">(IF(F147&gt;=Inputs!$E$14,1,IF(M147&lt;=Inputs!$C$46,Inputs!$D$46,IF(M147&lt;=Inputs!$C$47,Inputs!$D$47,Inputs!$D$48))))*((Inputs!$B$30+(R147-0.5)*2*Inputs!$B$53)/Inputs!$B$30)</f>
        <v>1.0035474227705912</v>
      </c>
      <c r="X147" s="44">
        <f ca="1">(IF(G147&gt;=Inputs!$E$15,1,IF(N147&lt;=Inputs!$C$46,Inputs!$D$46,IF(N147&lt;=Inputs!$C$47,Inputs!$D$47,Inputs!$D$48))))*((Inputs!$B$31+(S147-0.5)*2*Inputs!$B$53)/Inputs!$B$31)</f>
        <v>1.0022400094597126</v>
      </c>
      <c r="Y147" s="44">
        <f ca="1">(IF(H147&gt;=Inputs!$E$16,1,IF(O147&lt;=Inputs!$C$46,Inputs!$D$46,IF(O147&lt;=Inputs!$C$47,Inputs!$D$47,Inputs!$D$48))))*((Inputs!$B$32+(T147-0.5)*2*Inputs!$B$53)/Inputs!$B$32)</f>
        <v>0.99876648474101992</v>
      </c>
      <c r="Z147" s="45">
        <f ca="1">ILP_A_CostFocused!$C$9*U147+ILP_A_CostFocused!$C$10*V147+ILP_A_CostFocused!$C$11*W147+ILP_A_CostFocused!$C$12*X147+ILP_A_CostFocused!$C$13*Y147</f>
        <v>18013.250445855942</v>
      </c>
      <c r="AA147" s="45">
        <f ca="1">ILP_A_CostFocused!$D$9*U147+ILP_A_CostFocused!$D$10*V147+ILP_A_CostFocused!$D$11*W147+ILP_A_CostFocused!$D$12*X147+ILP_A_CostFocused!$D$13*Y147</f>
        <v>15035.081560678864</v>
      </c>
      <c r="AB147" s="45">
        <f ca="1">ILP_A_CostFocused!$E$9*U147+ILP_A_CostFocused!$E$10*V147+ILP_A_CostFocused!$E$11*W147+ILP_A_CostFocused!$E$12*X147+ILP_A_CostFocused!$E$13*Y147</f>
        <v>11996.842829212103</v>
      </c>
      <c r="AC147" s="45">
        <f ca="1">Inputs!$B$6*$C147</f>
        <v>18000</v>
      </c>
      <c r="AD147" s="45">
        <f ca="1">Inputs!$B$7*$C147</f>
        <v>15000</v>
      </c>
      <c r="AE147" s="45">
        <f ca="1">Inputs!$B$8*$C147</f>
        <v>12000</v>
      </c>
      <c r="AF147" s="45">
        <f t="shared" ca="1" si="103"/>
        <v>0</v>
      </c>
      <c r="AG147" s="45">
        <f t="shared" ca="1" si="104"/>
        <v>0</v>
      </c>
      <c r="AH147" s="45">
        <f t="shared" ca="1" si="105"/>
        <v>3.1571707878974848</v>
      </c>
      <c r="AI147" s="45">
        <f t="shared" ca="1" si="106"/>
        <v>3.1571707878974848</v>
      </c>
      <c r="AJ147" s="45">
        <f ca="1">U147*(Inputs!$B$12-ILP_A_CostFocused!$F$9)+V147*(Inputs!$B$13-ILP_A_CostFocused!$F$10)+W147*(Inputs!$B$14-ILP_A_CostFocused!$F$11)+X147*(Inputs!$B$15-ILP_A_CostFocused!$F$12)+Y147*(Inputs!$B$16-ILP_A_CostFocused!$F$13)</f>
        <v>25007.907030423004</v>
      </c>
      <c r="AK147" s="45">
        <f t="shared" ca="1" si="107"/>
        <v>3.1571707878974848</v>
      </c>
      <c r="AL147" s="45">
        <f t="shared" ca="1" si="108"/>
        <v>0</v>
      </c>
      <c r="AM147" s="45">
        <f t="shared" ca="1" si="109"/>
        <v>0</v>
      </c>
      <c r="AN147" s="45">
        <f t="shared" ca="1" si="110"/>
        <v>0</v>
      </c>
      <c r="AO147" s="45">
        <f ca="1">MIN(AL147,Inputs!$B$36)</f>
        <v>0</v>
      </c>
      <c r="AP147" s="45">
        <f ca="1">MIN(AN147,Inputs!$B$36-AO147)</f>
        <v>0</v>
      </c>
      <c r="AQ147" s="45">
        <f ca="1">MIN(AM147,Inputs!$B$36-AO147-AP147)</f>
        <v>0</v>
      </c>
      <c r="AR147" s="45">
        <f t="shared" ca="1" si="111"/>
        <v>0</v>
      </c>
      <c r="AS147" s="45">
        <f t="shared" ca="1" si="112"/>
        <v>0</v>
      </c>
      <c r="AT147" s="45">
        <f t="shared" ca="1" si="113"/>
        <v>0</v>
      </c>
      <c r="AU147" s="45">
        <f t="shared" ca="1" si="114"/>
        <v>0</v>
      </c>
      <c r="AV147" s="46">
        <f ca="1">AU147*Inputs!$B$35</f>
        <v>0</v>
      </c>
      <c r="AW147" s="46">
        <f ca="1">AR147*Inputs!$C$6+AT147*Inputs!$C$7+AS147*Inputs!$C$8</f>
        <v>0</v>
      </c>
      <c r="AX147" s="46">
        <f t="shared" ca="1" si="115"/>
        <v>47439599.064838104</v>
      </c>
      <c r="AY147" s="46">
        <f ca="1">IF(J147&gt;1,($CD$4)*Inputs!$B$55*((Z147+AA147+AB147)/(SUM(ILP_A_CostFocused!$C$9:$E$13))),0)</f>
        <v>0</v>
      </c>
      <c r="AZ147" s="46">
        <f t="shared" ca="1" si="116"/>
        <v>0</v>
      </c>
      <c r="BA147" s="41">
        <f t="shared" ca="1" si="117"/>
        <v>0</v>
      </c>
      <c r="BB147" s="41">
        <f t="shared" ca="1" si="118"/>
        <v>1</v>
      </c>
      <c r="BC147" s="41">
        <f t="shared" ca="1" si="119"/>
        <v>1</v>
      </c>
      <c r="BD147" s="41">
        <f t="shared" ca="1" si="120"/>
        <v>1</v>
      </c>
    </row>
    <row r="148" spans="1:56" ht="15" customHeight="1" x14ac:dyDescent="0.3">
      <c r="A148" s="41">
        <v>141</v>
      </c>
      <c r="B148" s="42">
        <f t="shared" ca="1" si="102"/>
        <v>0.2088191240128271</v>
      </c>
      <c r="C148" s="43">
        <f ca="1">IF(B148&lt;=Inputs!$C$40,Inputs!$D$40,IF(B148&lt;=Inputs!$C$41,Inputs!$D$41,Inputs!$D$42))</f>
        <v>1</v>
      </c>
      <c r="D148" s="42">
        <f t="shared" ref="D148:I157" ca="1" si="123">RAND()</f>
        <v>0.43169734262958526</v>
      </c>
      <c r="E148" s="42">
        <f t="shared" ca="1" si="123"/>
        <v>0.62914734275078887</v>
      </c>
      <c r="F148" s="42">
        <f t="shared" ca="1" si="123"/>
        <v>6.3256686615443147E-2</v>
      </c>
      <c r="G148" s="42">
        <f t="shared" ca="1" si="123"/>
        <v>0.10685839641079187</v>
      </c>
      <c r="H148" s="42">
        <f t="shared" ca="1" si="123"/>
        <v>0.94222298954148764</v>
      </c>
      <c r="I148" s="42">
        <f t="shared" ca="1" si="123"/>
        <v>0.75238555280990971</v>
      </c>
      <c r="J148" s="43">
        <f ca="1">IF(I148&lt;Inputs!$B$54,1+Inputs!$B$55,1)</f>
        <v>1</v>
      </c>
      <c r="K148" s="42">
        <f t="shared" ref="K148:T157" ca="1" si="124">RAND()</f>
        <v>0.66716883912640779</v>
      </c>
      <c r="L148" s="42">
        <f t="shared" ca="1" si="124"/>
        <v>0.76287506951290363</v>
      </c>
      <c r="M148" s="42">
        <f t="shared" ca="1" si="124"/>
        <v>0.86787486638556977</v>
      </c>
      <c r="N148" s="42">
        <f t="shared" ca="1" si="124"/>
        <v>0.98403894073659248</v>
      </c>
      <c r="O148" s="42">
        <f t="shared" ca="1" si="124"/>
        <v>0.7569404287913537</v>
      </c>
      <c r="P148" s="42">
        <f t="shared" ca="1" si="124"/>
        <v>0.99142701477399231</v>
      </c>
      <c r="Q148" s="42">
        <f t="shared" ca="1" si="124"/>
        <v>0.59309914221392701</v>
      </c>
      <c r="R148" s="42">
        <f t="shared" ca="1" si="124"/>
        <v>0.18606211474178991</v>
      </c>
      <c r="S148" s="42">
        <f t="shared" ca="1" si="124"/>
        <v>0.24431055602732121</v>
      </c>
      <c r="T148" s="42">
        <f t="shared" ca="1" si="124"/>
        <v>0.27087936621911735</v>
      </c>
      <c r="U148" s="44">
        <f ca="1">(IF(D148&gt;=Inputs!$E$12,1,IF(K148&lt;=Inputs!$C$46,Inputs!$D$46,IF(K148&lt;=Inputs!$C$47,Inputs!$D$47,Inputs!$D$48))))*((Inputs!$B$28+(P148-0.5)*2*Inputs!$B$53)/Inputs!$B$28)</f>
        <v>1.0049739576394128</v>
      </c>
      <c r="V148" s="44">
        <f ca="1">(IF(E148&gt;=Inputs!$E$13,1,IF(L148&lt;=Inputs!$C$46,Inputs!$D$46,IF(L148&lt;=Inputs!$C$47,Inputs!$D$47,Inputs!$D$48))))*((Inputs!$B$29+(Q148-0.5)*2*Inputs!$B$53)/Inputs!$B$29)</f>
        <v>1.000938499417479</v>
      </c>
      <c r="W148" s="44">
        <f ca="1">(IF(F148&gt;=Inputs!$E$14,1,IF(M148&lt;=Inputs!$C$46,Inputs!$D$46,IF(M148&lt;=Inputs!$C$47,Inputs!$D$47,Inputs!$D$48))))*((Inputs!$B$30+(R148-0.5)*2*Inputs!$B$53)/Inputs!$B$30)</f>
        <v>0.99684484537428941</v>
      </c>
      <c r="X148" s="44">
        <f ca="1">(IF(G148&gt;=Inputs!$E$15,1,IF(N148&lt;=Inputs!$C$46,Inputs!$D$46,IF(N148&lt;=Inputs!$C$47,Inputs!$D$47,Inputs!$D$48))))*((Inputs!$B$31+(S148-0.5)*2*Inputs!$B$53)/Inputs!$B$31)</f>
        <v>0</v>
      </c>
      <c r="Y148" s="44">
        <f ca="1">(IF(H148&gt;=Inputs!$E$16,1,IF(O148&lt;=Inputs!$C$46,Inputs!$D$46,IF(O148&lt;=Inputs!$C$47,Inputs!$D$47,Inputs!$D$48))))*((Inputs!$B$32+(T148-0.5)*2*Inputs!$B$53)/Inputs!$B$32)</f>
        <v>0.99769496344284825</v>
      </c>
      <c r="Z148" s="45">
        <f ca="1">ILP_A_CostFocused!$C$9*U148+ILP_A_CostFocused!$C$10*V148+ILP_A_CostFocused!$C$11*W148+ILP_A_CostFocused!$C$12*X148+ILP_A_CostFocused!$C$13*Y148</f>
        <v>7235.4573746802416</v>
      </c>
      <c r="AA148" s="45">
        <f ca="1">ILP_A_CostFocused!$D$9*U148+ILP_A_CostFocused!$D$10*V148+ILP_A_CostFocused!$D$11*W148+ILP_A_CostFocused!$D$12*X148+ILP_A_CostFocused!$D$13*Y148</f>
        <v>13972.733824721272</v>
      </c>
      <c r="AB148" s="45">
        <f ca="1">ILP_A_CostFocused!$E$9*U148+ILP_A_CostFocused!$E$10*V148+ILP_A_CostFocused!$E$11*W148+ILP_A_CostFocused!$E$12*X148+ILP_A_CostFocused!$E$13*Y148</f>
        <v>12040.31729220767</v>
      </c>
      <c r="AC148" s="45">
        <f ca="1">Inputs!$B$6*$C148</f>
        <v>18000</v>
      </c>
      <c r="AD148" s="45">
        <f ca="1">Inputs!$B$7*$C148</f>
        <v>15000</v>
      </c>
      <c r="AE148" s="45">
        <f ca="1">Inputs!$B$8*$C148</f>
        <v>12000</v>
      </c>
      <c r="AF148" s="45">
        <f t="shared" ca="1" si="103"/>
        <v>10764.542625319758</v>
      </c>
      <c r="AG148" s="45">
        <f t="shared" ca="1" si="104"/>
        <v>1027.266175278728</v>
      </c>
      <c r="AH148" s="45">
        <f t="shared" ca="1" si="105"/>
        <v>0</v>
      </c>
      <c r="AI148" s="45">
        <f t="shared" ca="1" si="106"/>
        <v>11791.808800598486</v>
      </c>
      <c r="AJ148" s="45">
        <f ca="1">U148*(Inputs!$B$12-ILP_A_CostFocused!$F$9)+V148*(Inputs!$B$13-ILP_A_CostFocused!$F$10)+W148*(Inputs!$B$14-ILP_A_CostFocused!$F$11)+X148*(Inputs!$B$15-ILP_A_CostFocused!$F$12)+Y148*(Inputs!$B$16-ILP_A_CostFocused!$F$13)</f>
        <v>24768.621263974612</v>
      </c>
      <c r="AK148" s="45">
        <f t="shared" ca="1" si="107"/>
        <v>11791.808800598486</v>
      </c>
      <c r="AL148" s="45">
        <f t="shared" ca="1" si="108"/>
        <v>0</v>
      </c>
      <c r="AM148" s="45">
        <f t="shared" ca="1" si="109"/>
        <v>0</v>
      </c>
      <c r="AN148" s="45">
        <f t="shared" ca="1" si="110"/>
        <v>0</v>
      </c>
      <c r="AO148" s="45">
        <f ca="1">MIN(AL148,Inputs!$B$36)</f>
        <v>0</v>
      </c>
      <c r="AP148" s="45">
        <f ca="1">MIN(AN148,Inputs!$B$36-AO148)</f>
        <v>0</v>
      </c>
      <c r="AQ148" s="45">
        <f ca="1">MIN(AM148,Inputs!$B$36-AO148-AP148)</f>
        <v>0</v>
      </c>
      <c r="AR148" s="45">
        <f t="shared" ca="1" si="111"/>
        <v>0</v>
      </c>
      <c r="AS148" s="45">
        <f t="shared" ca="1" si="112"/>
        <v>0</v>
      </c>
      <c r="AT148" s="45">
        <f t="shared" ca="1" si="113"/>
        <v>0</v>
      </c>
      <c r="AU148" s="45">
        <f t="shared" ca="1" si="114"/>
        <v>0</v>
      </c>
      <c r="AV148" s="46">
        <f ca="1">AU148*Inputs!$B$35</f>
        <v>0</v>
      </c>
      <c r="AW148" s="46">
        <f ca="1">AR148*Inputs!$C$6+AT148*Inputs!$C$7+AS148*Inputs!$C$8</f>
        <v>0</v>
      </c>
      <c r="AX148" s="46">
        <f t="shared" ca="1" si="115"/>
        <v>35255064.878918186</v>
      </c>
      <c r="AY148" s="46">
        <f ca="1">IF(J148&gt;1,($CD$4)*Inputs!$B$55*((Z148+AA148+AB148)/(SUM(ILP_A_CostFocused!$C$9:$E$13))),0)</f>
        <v>0</v>
      </c>
      <c r="AZ148" s="46">
        <f t="shared" ca="1" si="116"/>
        <v>0</v>
      </c>
      <c r="BA148" s="41">
        <f t="shared" ca="1" si="117"/>
        <v>0</v>
      </c>
      <c r="BB148" s="41">
        <f t="shared" ca="1" si="118"/>
        <v>1</v>
      </c>
      <c r="BC148" s="41">
        <f t="shared" ca="1" si="119"/>
        <v>1</v>
      </c>
      <c r="BD148" s="41">
        <f t="shared" ca="1" si="120"/>
        <v>1</v>
      </c>
    </row>
    <row r="149" spans="1:56" ht="15" customHeight="1" x14ac:dyDescent="0.3">
      <c r="A149" s="41">
        <v>142</v>
      </c>
      <c r="B149" s="42">
        <f t="shared" ca="1" si="102"/>
        <v>0.54267973046387286</v>
      </c>
      <c r="C149" s="43">
        <f ca="1">IF(B149&lt;=Inputs!$C$40,Inputs!$D$40,IF(B149&lt;=Inputs!$C$41,Inputs!$D$41,Inputs!$D$42))</f>
        <v>1</v>
      </c>
      <c r="D149" s="42">
        <f t="shared" ca="1" si="123"/>
        <v>0.25569136888026867</v>
      </c>
      <c r="E149" s="42">
        <f t="shared" ca="1" si="123"/>
        <v>0.77177475920948269</v>
      </c>
      <c r="F149" s="42">
        <f t="shared" ca="1" si="123"/>
        <v>0.15581199511968447</v>
      </c>
      <c r="G149" s="42">
        <f t="shared" ca="1" si="123"/>
        <v>0.41013177019388902</v>
      </c>
      <c r="H149" s="42">
        <f t="shared" ca="1" si="123"/>
        <v>0.91529670330480895</v>
      </c>
      <c r="I149" s="42">
        <f t="shared" ca="1" si="123"/>
        <v>0.14498705845973336</v>
      </c>
      <c r="J149" s="43">
        <f ca="1">IF(I149&lt;Inputs!$B$54,1+Inputs!$B$55,1)</f>
        <v>1</v>
      </c>
      <c r="K149" s="42">
        <f t="shared" ca="1" si="124"/>
        <v>0.76145946813283427</v>
      </c>
      <c r="L149" s="42">
        <f t="shared" ca="1" si="124"/>
        <v>0.51797497338573717</v>
      </c>
      <c r="M149" s="42">
        <f t="shared" ca="1" si="124"/>
        <v>0.21646361741031395</v>
      </c>
      <c r="N149" s="42">
        <f t="shared" ca="1" si="124"/>
        <v>0.80620644240729999</v>
      </c>
      <c r="O149" s="42">
        <f t="shared" ca="1" si="124"/>
        <v>0.55699554189414668</v>
      </c>
      <c r="P149" s="42">
        <f t="shared" ca="1" si="124"/>
        <v>0.19394742948351895</v>
      </c>
      <c r="Q149" s="42">
        <f t="shared" ca="1" si="124"/>
        <v>0.23463613854126375</v>
      </c>
      <c r="R149" s="42">
        <f t="shared" ca="1" si="124"/>
        <v>0.64407457738718998</v>
      </c>
      <c r="S149" s="42">
        <f t="shared" ca="1" si="124"/>
        <v>0.67277615707716709</v>
      </c>
      <c r="T149" s="42">
        <f t="shared" ca="1" si="124"/>
        <v>0.44368680150202877</v>
      </c>
      <c r="U149" s="44">
        <f ca="1">(IF(D149&gt;=Inputs!$E$12,1,IF(K149&lt;=Inputs!$C$46,Inputs!$D$46,IF(K149&lt;=Inputs!$C$47,Inputs!$D$47,Inputs!$D$48))))*((Inputs!$B$28+(P149-0.5)*2*Inputs!$B$53)/Inputs!$B$28)</f>
        <v>0.99690230191784934</v>
      </c>
      <c r="V149" s="44">
        <f ca="1">(IF(E149&gt;=Inputs!$E$13,1,IF(L149&lt;=Inputs!$C$46,Inputs!$D$46,IF(L149&lt;=Inputs!$C$47,Inputs!$D$47,Inputs!$D$48))))*((Inputs!$B$29+(Q149-0.5)*2*Inputs!$B$53)/Inputs!$B$29)</f>
        <v>0.9973249610740047</v>
      </c>
      <c r="W149" s="44">
        <f ca="1">(IF(F149&gt;=Inputs!$E$14,1,IF(M149&lt;=Inputs!$C$46,Inputs!$D$46,IF(M149&lt;=Inputs!$C$47,Inputs!$D$47,Inputs!$D$48))))*((Inputs!$B$30+(R149-0.5)*2*Inputs!$B$53)/Inputs!$B$30)</f>
        <v>1.0014479857023837</v>
      </c>
      <c r="X149" s="44">
        <f ca="1">(IF(G149&gt;=Inputs!$E$15,1,IF(N149&lt;=Inputs!$C$46,Inputs!$D$46,IF(N149&lt;=Inputs!$C$47,Inputs!$D$47,Inputs!$D$48))))*((Inputs!$B$31+(S149-0.5)*2*Inputs!$B$53)/Inputs!$B$31)</f>
        <v>1.0017540726606819</v>
      </c>
      <c r="Y149" s="44">
        <f ca="1">(IF(H149&gt;=Inputs!$E$16,1,IF(O149&lt;=Inputs!$C$46,Inputs!$D$46,IF(O149&lt;=Inputs!$C$47,Inputs!$D$47,Inputs!$D$48))))*((Inputs!$B$32+(T149-0.5)*2*Inputs!$B$53)/Inputs!$B$32)</f>
        <v>0.99943346882798823</v>
      </c>
      <c r="Z149" s="45">
        <f ca="1">ILP_A_CostFocused!$C$9*U149+ILP_A_CostFocused!$C$10*V149+ILP_A_CostFocused!$C$11*W149+ILP_A_CostFocused!$C$12*X149+ILP_A_CostFocused!$C$13*Y149</f>
        <v>17996.677752549622</v>
      </c>
      <c r="AA149" s="45">
        <f ca="1">ILP_A_CostFocused!$D$9*U149+ILP_A_CostFocused!$D$10*V149+ILP_A_CostFocused!$D$11*W149+ILP_A_CostFocused!$D$12*X149+ILP_A_CostFocused!$D$13*Y149</f>
        <v>14984.924772577808</v>
      </c>
      <c r="AB149" s="45">
        <f ca="1">ILP_A_CostFocused!$E$9*U149+ILP_A_CostFocused!$E$10*V149+ILP_A_CostFocused!$E$11*W149+ILP_A_CostFocused!$E$12*X149+ILP_A_CostFocused!$E$13*Y149</f>
        <v>11964.856386963738</v>
      </c>
      <c r="AC149" s="45">
        <f ca="1">Inputs!$B$6*$C149</f>
        <v>18000</v>
      </c>
      <c r="AD149" s="45">
        <f ca="1">Inputs!$B$7*$C149</f>
        <v>15000</v>
      </c>
      <c r="AE149" s="45">
        <f ca="1">Inputs!$B$8*$C149</f>
        <v>12000</v>
      </c>
      <c r="AF149" s="45">
        <f t="shared" ca="1" si="103"/>
        <v>3.3222474503781996</v>
      </c>
      <c r="AG149" s="45">
        <f t="shared" ca="1" si="104"/>
        <v>15.075227422192256</v>
      </c>
      <c r="AH149" s="45">
        <f t="shared" ca="1" si="105"/>
        <v>35.14361303626174</v>
      </c>
      <c r="AI149" s="45">
        <f t="shared" ca="1" si="106"/>
        <v>53.541087908832196</v>
      </c>
      <c r="AJ149" s="45">
        <f ca="1">U149*(Inputs!$B$12-ILP_A_CostFocused!$F$9)+V149*(Inputs!$B$13-ILP_A_CostFocused!$F$10)+W149*(Inputs!$B$14-ILP_A_CostFocused!$F$11)+X149*(Inputs!$B$15-ILP_A_CostFocused!$F$12)+Y149*(Inputs!$B$16-ILP_A_CostFocused!$F$13)</f>
        <v>24997.902092109482</v>
      </c>
      <c r="AK149" s="45">
        <f t="shared" ca="1" si="107"/>
        <v>53.541087908832196</v>
      </c>
      <c r="AL149" s="45">
        <f t="shared" ca="1" si="108"/>
        <v>0</v>
      </c>
      <c r="AM149" s="45">
        <f t="shared" ca="1" si="109"/>
        <v>0</v>
      </c>
      <c r="AN149" s="45">
        <f t="shared" ca="1" si="110"/>
        <v>0</v>
      </c>
      <c r="AO149" s="45">
        <f ca="1">MIN(AL149,Inputs!$B$36)</f>
        <v>0</v>
      </c>
      <c r="AP149" s="45">
        <f ca="1">MIN(AN149,Inputs!$B$36-AO149)</f>
        <v>0</v>
      </c>
      <c r="AQ149" s="45">
        <f ca="1">MIN(AM149,Inputs!$B$36-AO149-AP149)</f>
        <v>0</v>
      </c>
      <c r="AR149" s="45">
        <f t="shared" ca="1" si="111"/>
        <v>0</v>
      </c>
      <c r="AS149" s="45">
        <f t="shared" ca="1" si="112"/>
        <v>0</v>
      </c>
      <c r="AT149" s="45">
        <f t="shared" ca="1" si="113"/>
        <v>0</v>
      </c>
      <c r="AU149" s="45">
        <f t="shared" ca="1" si="114"/>
        <v>0</v>
      </c>
      <c r="AV149" s="46">
        <f ca="1">AU149*Inputs!$B$35</f>
        <v>0</v>
      </c>
      <c r="AW149" s="46">
        <f ca="1">AR149*Inputs!$C$6+AT149*Inputs!$C$7+AS149*Inputs!$C$8</f>
        <v>0</v>
      </c>
      <c r="AX149" s="46">
        <f t="shared" ca="1" si="115"/>
        <v>47334930.112427495</v>
      </c>
      <c r="AY149" s="46">
        <f ca="1">IF(J149&gt;1,($CD$4)*Inputs!$B$55*((Z149+AA149+AB149)/(SUM(ILP_A_CostFocused!$C$9:$E$13))),0)</f>
        <v>0</v>
      </c>
      <c r="AZ149" s="46">
        <f t="shared" ca="1" si="116"/>
        <v>0</v>
      </c>
      <c r="BA149" s="41">
        <f t="shared" ca="1" si="117"/>
        <v>0</v>
      </c>
      <c r="BB149" s="41">
        <f t="shared" ca="1" si="118"/>
        <v>1</v>
      </c>
      <c r="BC149" s="41">
        <f t="shared" ca="1" si="119"/>
        <v>1</v>
      </c>
      <c r="BD149" s="41">
        <f t="shared" ca="1" si="120"/>
        <v>1</v>
      </c>
    </row>
    <row r="150" spans="1:56" ht="15" customHeight="1" x14ac:dyDescent="0.3">
      <c r="A150" s="41">
        <v>143</v>
      </c>
      <c r="B150" s="42">
        <f t="shared" ca="1" si="102"/>
        <v>0.9893791113388799</v>
      </c>
      <c r="C150" s="43">
        <f ca="1">IF(B150&lt;=Inputs!$C$40,Inputs!$D$40,IF(B150&lt;=Inputs!$C$41,Inputs!$D$41,Inputs!$D$42))</f>
        <v>1.1499999999999999</v>
      </c>
      <c r="D150" s="42">
        <f t="shared" ca="1" si="123"/>
        <v>0.12760942464310276</v>
      </c>
      <c r="E150" s="42">
        <f t="shared" ca="1" si="123"/>
        <v>0.70887169954838569</v>
      </c>
      <c r="F150" s="42">
        <f t="shared" ca="1" si="123"/>
        <v>0.1382042920666271</v>
      </c>
      <c r="G150" s="42">
        <f t="shared" ca="1" si="123"/>
        <v>3.530814523904513E-2</v>
      </c>
      <c r="H150" s="42">
        <f t="shared" ca="1" si="123"/>
        <v>0.25130397070126309</v>
      </c>
      <c r="I150" s="42">
        <f t="shared" ca="1" si="123"/>
        <v>0.89282229833505022</v>
      </c>
      <c r="J150" s="43">
        <f ca="1">IF(I150&lt;Inputs!$B$54,1+Inputs!$B$55,1)</f>
        <v>1</v>
      </c>
      <c r="K150" s="42">
        <f t="shared" ca="1" si="124"/>
        <v>0.34809360079233354</v>
      </c>
      <c r="L150" s="42">
        <f t="shared" ca="1" si="124"/>
        <v>0.72797260561497745</v>
      </c>
      <c r="M150" s="42">
        <f t="shared" ca="1" si="124"/>
        <v>0.83062373050367566</v>
      </c>
      <c r="N150" s="42">
        <f t="shared" ca="1" si="124"/>
        <v>6.9464444463042008E-2</v>
      </c>
      <c r="O150" s="42">
        <f t="shared" ca="1" si="124"/>
        <v>0.11727804940051145</v>
      </c>
      <c r="P150" s="42">
        <f t="shared" ca="1" si="124"/>
        <v>0.33607429625183727</v>
      </c>
      <c r="Q150" s="42">
        <f t="shared" ca="1" si="124"/>
        <v>0.45382475164577096</v>
      </c>
      <c r="R150" s="42">
        <f t="shared" ca="1" si="124"/>
        <v>0.13406969856570616</v>
      </c>
      <c r="S150" s="42">
        <f t="shared" ca="1" si="124"/>
        <v>0.6270499359967413</v>
      </c>
      <c r="T150" s="42">
        <f t="shared" ca="1" si="124"/>
        <v>0.13155744140398618</v>
      </c>
      <c r="U150" s="44">
        <f ca="1">(IF(D150&gt;=Inputs!$E$12,1,IF(K150&lt;=Inputs!$C$46,Inputs!$D$46,IF(K150&lt;=Inputs!$C$47,Inputs!$D$47,Inputs!$D$48))))*((Inputs!$B$28+(P150-0.5)*2*Inputs!$B$53)/Inputs!$B$28)</f>
        <v>0.99834083295801457</v>
      </c>
      <c r="V150" s="44">
        <f ca="1">(IF(E150&gt;=Inputs!$E$13,1,IF(L150&lt;=Inputs!$C$46,Inputs!$D$46,IF(L150&lt;=Inputs!$C$47,Inputs!$D$47,Inputs!$D$48))))*((Inputs!$B$29+(Q150-0.5)*2*Inputs!$B$53)/Inputs!$B$29)</f>
        <v>0.99953452370610651</v>
      </c>
      <c r="W150" s="44">
        <f ca="1">(IF(F150&gt;=Inputs!$E$14,1,IF(M150&lt;=Inputs!$C$46,Inputs!$D$46,IF(M150&lt;=Inputs!$C$47,Inputs!$D$47,Inputs!$D$48))))*((Inputs!$B$30+(R150-0.5)*2*Inputs!$B$53)/Inputs!$B$30)</f>
        <v>0.99632230852829862</v>
      </c>
      <c r="X150" s="44">
        <f ca="1">(IF(G150&gt;=Inputs!$E$15,1,IF(N150&lt;=Inputs!$C$46,Inputs!$D$46,IF(N150&lt;=Inputs!$C$47,Inputs!$D$47,Inputs!$D$48))))*((Inputs!$B$31+(S150-0.5)*2*Inputs!$B$53)/Inputs!$B$31)</f>
        <v>0.60077390823957411</v>
      </c>
      <c r="Y150" s="44">
        <f ca="1">(IF(H150&gt;=Inputs!$E$16,1,IF(O150&lt;=Inputs!$C$46,Inputs!$D$46,IF(O150&lt;=Inputs!$C$47,Inputs!$D$47,Inputs!$D$48))))*((Inputs!$B$32+(T150-0.5)*2*Inputs!$B$53)/Inputs!$B$32)</f>
        <v>0.99629333442056323</v>
      </c>
      <c r="Z150" s="45">
        <f ca="1">ILP_A_CostFocused!$C$9*U150+ILP_A_CostFocused!$C$10*V150+ILP_A_CostFocused!$C$11*W150+ILP_A_CostFocused!$C$12*X150+ILP_A_CostFocused!$C$13*Y150</f>
        <v>13676.517251070938</v>
      </c>
      <c r="AA150" s="45">
        <f ca="1">ILP_A_CostFocused!$D$9*U150+ILP_A_CostFocused!$D$10*V150+ILP_A_CostFocused!$D$11*W150+ILP_A_CostFocused!$D$12*X150+ILP_A_CostFocused!$D$13*Y150</f>
        <v>14570.285196230252</v>
      </c>
      <c r="AB150" s="45">
        <f ca="1">ILP_A_CostFocused!$E$9*U150+ILP_A_CostFocused!$E$10*V150+ILP_A_CostFocused!$E$11*W150+ILP_A_CostFocused!$E$12*X150+ILP_A_CostFocused!$E$13*Y150</f>
        <v>11985.819711087017</v>
      </c>
      <c r="AC150" s="45">
        <f ca="1">Inputs!$B$6*$C150</f>
        <v>20700</v>
      </c>
      <c r="AD150" s="45">
        <f ca="1">Inputs!$B$7*$C150</f>
        <v>17250</v>
      </c>
      <c r="AE150" s="45">
        <f ca="1">Inputs!$B$8*$C150</f>
        <v>13799.999999999998</v>
      </c>
      <c r="AF150" s="45">
        <f t="shared" ca="1" si="103"/>
        <v>7023.4827489290619</v>
      </c>
      <c r="AG150" s="45">
        <f t="shared" ca="1" si="104"/>
        <v>2679.714803769748</v>
      </c>
      <c r="AH150" s="45">
        <f t="shared" ca="1" si="105"/>
        <v>1814.1802889129813</v>
      </c>
      <c r="AI150" s="45">
        <f t="shared" ca="1" si="106"/>
        <v>11517.377841611791</v>
      </c>
      <c r="AJ150" s="45">
        <f ca="1">U150*(Inputs!$B$12-ILP_A_CostFocused!$F$9)+V150*(Inputs!$B$13-ILP_A_CostFocused!$F$10)+W150*(Inputs!$B$14-ILP_A_CostFocused!$F$11)+X150*(Inputs!$B$15-ILP_A_CostFocused!$F$12)+Y150*(Inputs!$B$16-ILP_A_CostFocused!$F$13)</f>
        <v>24840.19142687674</v>
      </c>
      <c r="AK150" s="45">
        <f t="shared" ca="1" si="107"/>
        <v>11517.377841611791</v>
      </c>
      <c r="AL150" s="45">
        <f t="shared" ca="1" si="108"/>
        <v>0</v>
      </c>
      <c r="AM150" s="45">
        <f t="shared" ca="1" si="109"/>
        <v>0</v>
      </c>
      <c r="AN150" s="45">
        <f t="shared" ca="1" si="110"/>
        <v>0</v>
      </c>
      <c r="AO150" s="45">
        <f ca="1">MIN(AL150,Inputs!$B$36)</f>
        <v>0</v>
      </c>
      <c r="AP150" s="45">
        <f ca="1">MIN(AN150,Inputs!$B$36-AO150)</f>
        <v>0</v>
      </c>
      <c r="AQ150" s="45">
        <f ca="1">MIN(AM150,Inputs!$B$36-AO150-AP150)</f>
        <v>0</v>
      </c>
      <c r="AR150" s="45">
        <f t="shared" ca="1" si="111"/>
        <v>0</v>
      </c>
      <c r="AS150" s="45">
        <f t="shared" ca="1" si="112"/>
        <v>0</v>
      </c>
      <c r="AT150" s="45">
        <f t="shared" ca="1" si="113"/>
        <v>0</v>
      </c>
      <c r="AU150" s="45">
        <f t="shared" ca="1" si="114"/>
        <v>0</v>
      </c>
      <c r="AV150" s="46">
        <f ca="1">AU150*Inputs!$B$35</f>
        <v>0</v>
      </c>
      <c r="AW150" s="46">
        <f ca="1">AR150*Inputs!$C$6+AT150*Inputs!$C$7+AS150*Inputs!$C$8</f>
        <v>0</v>
      </c>
      <c r="AX150" s="46">
        <f t="shared" ca="1" si="115"/>
        <v>42466527.283210091</v>
      </c>
      <c r="AY150" s="46">
        <f ca="1">IF(J150&gt;1,($CD$4)*Inputs!$B$55*((Z150+AA150+AB150)/(SUM(ILP_A_CostFocused!$C$9:$E$13))),0)</f>
        <v>0</v>
      </c>
      <c r="AZ150" s="46">
        <f t="shared" ca="1" si="116"/>
        <v>0</v>
      </c>
      <c r="BA150" s="41">
        <f t="shared" ca="1" si="117"/>
        <v>0</v>
      </c>
      <c r="BB150" s="41">
        <f t="shared" ca="1" si="118"/>
        <v>1</v>
      </c>
      <c r="BC150" s="41">
        <f t="shared" ca="1" si="119"/>
        <v>1</v>
      </c>
      <c r="BD150" s="41">
        <f t="shared" ca="1" si="120"/>
        <v>1</v>
      </c>
    </row>
    <row r="151" spans="1:56" ht="15" customHeight="1" x14ac:dyDescent="0.3">
      <c r="A151" s="41">
        <v>144</v>
      </c>
      <c r="B151" s="42">
        <f t="shared" ca="1" si="102"/>
        <v>0.36951386437486966</v>
      </c>
      <c r="C151" s="43">
        <f ca="1">IF(B151&lt;=Inputs!$C$40,Inputs!$D$40,IF(B151&lt;=Inputs!$C$41,Inputs!$D$41,Inputs!$D$42))</f>
        <v>1</v>
      </c>
      <c r="D151" s="42">
        <f t="shared" ca="1" si="123"/>
        <v>0.65231551403285215</v>
      </c>
      <c r="E151" s="42">
        <f t="shared" ca="1" si="123"/>
        <v>0.73723975806016839</v>
      </c>
      <c r="F151" s="42">
        <f t="shared" ca="1" si="123"/>
        <v>0.52346015337480301</v>
      </c>
      <c r="G151" s="42">
        <f t="shared" ca="1" si="123"/>
        <v>0.56487826244218864</v>
      </c>
      <c r="H151" s="42">
        <f t="shared" ca="1" si="123"/>
        <v>0.82240026617883577</v>
      </c>
      <c r="I151" s="42">
        <f t="shared" ca="1" si="123"/>
        <v>0.93977484618893359</v>
      </c>
      <c r="J151" s="43">
        <f ca="1">IF(I151&lt;Inputs!$B$54,1+Inputs!$B$55,1)</f>
        <v>1</v>
      </c>
      <c r="K151" s="42">
        <f t="shared" ca="1" si="124"/>
        <v>0.12323804364094804</v>
      </c>
      <c r="L151" s="42">
        <f t="shared" ca="1" si="124"/>
        <v>0.3397255846174998</v>
      </c>
      <c r="M151" s="42">
        <f t="shared" ca="1" si="124"/>
        <v>0.55189225914422613</v>
      </c>
      <c r="N151" s="42">
        <f t="shared" ca="1" si="124"/>
        <v>0.84238617700926244</v>
      </c>
      <c r="O151" s="42">
        <f t="shared" ca="1" si="124"/>
        <v>0.21974969741444217</v>
      </c>
      <c r="P151" s="42">
        <f t="shared" ca="1" si="124"/>
        <v>3.5214603154701929E-2</v>
      </c>
      <c r="Q151" s="42">
        <f t="shared" ca="1" si="124"/>
        <v>0.18542514470728511</v>
      </c>
      <c r="R151" s="42">
        <f t="shared" ca="1" si="124"/>
        <v>0.88424493984829011</v>
      </c>
      <c r="S151" s="42">
        <f t="shared" ca="1" si="124"/>
        <v>0.43480040548605947</v>
      </c>
      <c r="T151" s="42">
        <f t="shared" ca="1" si="124"/>
        <v>0.23003521780277214</v>
      </c>
      <c r="U151" s="44">
        <f ca="1">(IF(D151&gt;=Inputs!$E$12,1,IF(K151&lt;=Inputs!$C$46,Inputs!$D$46,IF(K151&lt;=Inputs!$C$47,Inputs!$D$47,Inputs!$D$48))))*((Inputs!$B$28+(P151-0.5)*2*Inputs!$B$53)/Inputs!$B$28)</f>
        <v>0.99529569436391396</v>
      </c>
      <c r="V151" s="44">
        <f ca="1">(IF(E151&gt;=Inputs!$E$13,1,IF(L151&lt;=Inputs!$C$46,Inputs!$D$46,IF(L151&lt;=Inputs!$C$47,Inputs!$D$47,Inputs!$D$48))))*((Inputs!$B$29+(Q151-0.5)*2*Inputs!$B$53)/Inputs!$B$29)</f>
        <v>0.99682888250712987</v>
      </c>
      <c r="W151" s="44">
        <f ca="1">(IF(F151&gt;=Inputs!$E$14,1,IF(M151&lt;=Inputs!$C$46,Inputs!$D$46,IF(M151&lt;=Inputs!$C$47,Inputs!$D$47,Inputs!$D$48))))*((Inputs!$B$30+(R151-0.5)*2*Inputs!$B$53)/Inputs!$B$30)</f>
        <v>1.00386175818943</v>
      </c>
      <c r="X151" s="44">
        <f ca="1">(IF(G151&gt;=Inputs!$E$15,1,IF(N151&lt;=Inputs!$C$46,Inputs!$D$46,IF(N151&lt;=Inputs!$C$47,Inputs!$D$47,Inputs!$D$48))))*((Inputs!$B$31+(S151-0.5)*2*Inputs!$B$53)/Inputs!$B$31)</f>
        <v>0.99933807518259954</v>
      </c>
      <c r="Y151" s="44">
        <f ca="1">(IF(H151&gt;=Inputs!$E$16,1,IF(O151&lt;=Inputs!$C$46,Inputs!$D$46,IF(O151&lt;=Inputs!$C$47,Inputs!$D$47,Inputs!$D$48))))*((Inputs!$B$32+(T151-0.5)*2*Inputs!$B$53)/Inputs!$B$32)</f>
        <v>0.99728405651713048</v>
      </c>
      <c r="Z151" s="45">
        <f ca="1">ILP_A_CostFocused!$C$9*U151+ILP_A_CostFocused!$C$10*V151+ILP_A_CostFocused!$C$11*W151+ILP_A_CostFocused!$C$12*X151+ILP_A_CostFocused!$C$13*Y151</f>
        <v>17959.115131948856</v>
      </c>
      <c r="AA151" s="45">
        <f ca="1">ILP_A_CostFocused!$D$9*U151+ILP_A_CostFocused!$D$10*V151+ILP_A_CostFocused!$D$11*W151+ILP_A_CostFocused!$D$12*X151+ILP_A_CostFocused!$D$13*Y151</f>
        <v>14990.016335033781</v>
      </c>
      <c r="AB151" s="45">
        <f ca="1">ILP_A_CostFocused!$E$9*U151+ILP_A_CostFocused!$E$10*V151+ILP_A_CostFocused!$E$11*W151+ILP_A_CostFocused!$E$12*X151+ILP_A_CostFocused!$E$13*Y151</f>
        <v>11950.907635454405</v>
      </c>
      <c r="AC151" s="45">
        <f ca="1">Inputs!$B$6*$C151</f>
        <v>18000</v>
      </c>
      <c r="AD151" s="45">
        <f ca="1">Inputs!$B$7*$C151</f>
        <v>15000</v>
      </c>
      <c r="AE151" s="45">
        <f ca="1">Inputs!$B$8*$C151</f>
        <v>12000</v>
      </c>
      <c r="AF151" s="45">
        <f t="shared" ca="1" si="103"/>
        <v>40.884868051143712</v>
      </c>
      <c r="AG151" s="45">
        <f t="shared" ca="1" si="104"/>
        <v>9.983664966219294</v>
      </c>
      <c r="AH151" s="45">
        <f t="shared" ca="1" si="105"/>
        <v>49.092364545595046</v>
      </c>
      <c r="AI151" s="45">
        <f t="shared" ca="1" si="106"/>
        <v>99.960897562958053</v>
      </c>
      <c r="AJ151" s="45">
        <f ca="1">U151*(Inputs!$B$12-ILP_A_CostFocused!$F$9)+V151*(Inputs!$B$13-ILP_A_CostFocused!$F$10)+W151*(Inputs!$B$14-ILP_A_CostFocused!$F$11)+X151*(Inputs!$B$15-ILP_A_CostFocused!$F$12)+Y151*(Inputs!$B$16-ILP_A_CostFocused!$F$13)</f>
        <v>24981.816968896142</v>
      </c>
      <c r="AK151" s="45">
        <f t="shared" ca="1" si="107"/>
        <v>99.960897562958053</v>
      </c>
      <c r="AL151" s="45">
        <f t="shared" ca="1" si="108"/>
        <v>0</v>
      </c>
      <c r="AM151" s="45">
        <f t="shared" ca="1" si="109"/>
        <v>0</v>
      </c>
      <c r="AN151" s="45">
        <f t="shared" ca="1" si="110"/>
        <v>0</v>
      </c>
      <c r="AO151" s="45">
        <f ca="1">MIN(AL151,Inputs!$B$36)</f>
        <v>0</v>
      </c>
      <c r="AP151" s="45">
        <f ca="1">MIN(AN151,Inputs!$B$36-AO151)</f>
        <v>0</v>
      </c>
      <c r="AQ151" s="45">
        <f ca="1">MIN(AM151,Inputs!$B$36-AO151-AP151)</f>
        <v>0</v>
      </c>
      <c r="AR151" s="45">
        <f t="shared" ca="1" si="111"/>
        <v>0</v>
      </c>
      <c r="AS151" s="45">
        <f t="shared" ca="1" si="112"/>
        <v>0</v>
      </c>
      <c r="AT151" s="45">
        <f t="shared" ca="1" si="113"/>
        <v>0</v>
      </c>
      <c r="AU151" s="45">
        <f t="shared" ca="1" si="114"/>
        <v>0</v>
      </c>
      <c r="AV151" s="46">
        <f ca="1">AU151*Inputs!$B$35</f>
        <v>0</v>
      </c>
      <c r="AW151" s="46">
        <f ca="1">AR151*Inputs!$C$6+AT151*Inputs!$C$7+AS151*Inputs!$C$8</f>
        <v>0</v>
      </c>
      <c r="AX151" s="46">
        <f t="shared" ca="1" si="115"/>
        <v>47286430.919710681</v>
      </c>
      <c r="AY151" s="46">
        <f ca="1">IF(J151&gt;1,($CD$4)*Inputs!$B$55*((Z151+AA151+AB151)/(SUM(ILP_A_CostFocused!$C$9:$E$13))),0)</f>
        <v>0</v>
      </c>
      <c r="AZ151" s="46">
        <f t="shared" ca="1" si="116"/>
        <v>0</v>
      </c>
      <c r="BA151" s="41">
        <f t="shared" ca="1" si="117"/>
        <v>0</v>
      </c>
      <c r="BB151" s="41">
        <f t="shared" ca="1" si="118"/>
        <v>1</v>
      </c>
      <c r="BC151" s="41">
        <f t="shared" ca="1" si="119"/>
        <v>1</v>
      </c>
      <c r="BD151" s="41">
        <f t="shared" ca="1" si="120"/>
        <v>1</v>
      </c>
    </row>
    <row r="152" spans="1:56" ht="15" customHeight="1" x14ac:dyDescent="0.3">
      <c r="A152" s="41">
        <v>145</v>
      </c>
      <c r="B152" s="42">
        <f t="shared" ca="1" si="102"/>
        <v>0.33903442586669086</v>
      </c>
      <c r="C152" s="43">
        <f ca="1">IF(B152&lt;=Inputs!$C$40,Inputs!$D$40,IF(B152&lt;=Inputs!$C$41,Inputs!$D$41,Inputs!$D$42))</f>
        <v>1</v>
      </c>
      <c r="D152" s="42">
        <f t="shared" ca="1" si="123"/>
        <v>0.83283656831405917</v>
      </c>
      <c r="E152" s="42">
        <f t="shared" ca="1" si="123"/>
        <v>0.79486661696548733</v>
      </c>
      <c r="F152" s="42">
        <f t="shared" ca="1" si="123"/>
        <v>0.96875261087958564</v>
      </c>
      <c r="G152" s="42">
        <f t="shared" ca="1" si="123"/>
        <v>0.76001988512302565</v>
      </c>
      <c r="H152" s="42">
        <f t="shared" ca="1" si="123"/>
        <v>0.24325067133118816</v>
      </c>
      <c r="I152" s="42">
        <f t="shared" ca="1" si="123"/>
        <v>0.26599059824219484</v>
      </c>
      <c r="J152" s="43">
        <f ca="1">IF(I152&lt;Inputs!$B$54,1+Inputs!$B$55,1)</f>
        <v>1</v>
      </c>
      <c r="K152" s="42">
        <f t="shared" ca="1" si="124"/>
        <v>0.35665879030299341</v>
      </c>
      <c r="L152" s="42">
        <f t="shared" ca="1" si="124"/>
        <v>0.46249216881749666</v>
      </c>
      <c r="M152" s="42">
        <f t="shared" ca="1" si="124"/>
        <v>0.24482975152662223</v>
      </c>
      <c r="N152" s="42">
        <f t="shared" ca="1" si="124"/>
        <v>0.77818034615018461</v>
      </c>
      <c r="O152" s="42">
        <f t="shared" ca="1" si="124"/>
        <v>0.64190789078920851</v>
      </c>
      <c r="P152" s="42">
        <f t="shared" ca="1" si="124"/>
        <v>0.45239163218641254</v>
      </c>
      <c r="Q152" s="42">
        <f t="shared" ca="1" si="124"/>
        <v>0.95832913761187255</v>
      </c>
      <c r="R152" s="42">
        <f t="shared" ca="1" si="124"/>
        <v>0.15321414244102927</v>
      </c>
      <c r="S152" s="42">
        <f t="shared" ca="1" si="124"/>
        <v>0.30842502262298399</v>
      </c>
      <c r="T152" s="42">
        <f t="shared" ca="1" si="124"/>
        <v>0.19471218602406404</v>
      </c>
      <c r="U152" s="44">
        <f ca="1">(IF(D152&gt;=Inputs!$E$12,1,IF(K152&lt;=Inputs!$C$46,Inputs!$D$46,IF(K152&lt;=Inputs!$C$47,Inputs!$D$47,Inputs!$D$48))))*((Inputs!$B$28+(P152-0.5)*2*Inputs!$B$53)/Inputs!$B$28)</f>
        <v>0.99951813392901223</v>
      </c>
      <c r="V152" s="44">
        <f ca="1">(IF(E152&gt;=Inputs!$E$13,1,IF(L152&lt;=Inputs!$C$46,Inputs!$D$46,IF(L152&lt;=Inputs!$C$47,Inputs!$D$47,Inputs!$D$48))))*((Inputs!$B$29+(Q152-0.5)*2*Inputs!$B$53)/Inputs!$B$29)</f>
        <v>1.0046202534033455</v>
      </c>
      <c r="W152" s="44">
        <f ca="1">(IF(F152&gt;=Inputs!$E$14,1,IF(M152&lt;=Inputs!$C$46,Inputs!$D$46,IF(M152&lt;=Inputs!$C$47,Inputs!$D$47,Inputs!$D$48))))*((Inputs!$B$30+(R152-0.5)*2*Inputs!$B$53)/Inputs!$B$30)</f>
        <v>0.99651471499940736</v>
      </c>
      <c r="X152" s="44">
        <f ca="1">(IF(G152&gt;=Inputs!$E$15,1,IF(N152&lt;=Inputs!$C$46,Inputs!$D$46,IF(N152&lt;=Inputs!$C$47,Inputs!$D$47,Inputs!$D$48))))*((Inputs!$B$31+(S152-0.5)*2*Inputs!$B$53)/Inputs!$B$31)</f>
        <v>0.9980550763718069</v>
      </c>
      <c r="Y152" s="44">
        <f ca="1">(IF(H152&gt;=Inputs!$E$16,1,IF(O152&lt;=Inputs!$C$46,Inputs!$D$46,IF(O152&lt;=Inputs!$C$47,Inputs!$D$47,Inputs!$D$48))))*((Inputs!$B$32+(T152-0.5)*2*Inputs!$B$53)/Inputs!$B$32)</f>
        <v>0.99692869402438689</v>
      </c>
      <c r="Z152" s="45">
        <f ca="1">ILP_A_CostFocused!$C$9*U152+ILP_A_CostFocused!$C$10*V152+ILP_A_CostFocused!$C$11*W152+ILP_A_CostFocused!$C$12*X152+ILP_A_CostFocused!$C$13*Y152</f>
        <v>17975.974375618141</v>
      </c>
      <c r="AA152" s="45">
        <f ca="1">ILP_A_CostFocused!$D$9*U152+ILP_A_CostFocused!$D$10*V152+ILP_A_CostFocused!$D$11*W152+ILP_A_CostFocused!$D$12*X152+ILP_A_CostFocused!$D$13*Y152</f>
        <v>15022.241739226401</v>
      </c>
      <c r="AB152" s="45">
        <f ca="1">ILP_A_CostFocused!$E$9*U152+ILP_A_CostFocused!$E$10*V152+ILP_A_CostFocused!$E$11*W152+ILP_A_CostFocused!$E$12*X152+ILP_A_CostFocused!$E$13*Y152</f>
        <v>12018.707780624947</v>
      </c>
      <c r="AC152" s="45">
        <f ca="1">Inputs!$B$6*$C152</f>
        <v>18000</v>
      </c>
      <c r="AD152" s="45">
        <f ca="1">Inputs!$B$7*$C152</f>
        <v>15000</v>
      </c>
      <c r="AE152" s="45">
        <f ca="1">Inputs!$B$8*$C152</f>
        <v>12000</v>
      </c>
      <c r="AF152" s="45">
        <f t="shared" ca="1" si="103"/>
        <v>24.025624381858506</v>
      </c>
      <c r="AG152" s="45">
        <f t="shared" ca="1" si="104"/>
        <v>0</v>
      </c>
      <c r="AH152" s="45">
        <f t="shared" ca="1" si="105"/>
        <v>0</v>
      </c>
      <c r="AI152" s="45">
        <f t="shared" ca="1" si="106"/>
        <v>24.025624381858506</v>
      </c>
      <c r="AJ152" s="45">
        <f ca="1">U152*(Inputs!$B$12-ILP_A_CostFocused!$F$9)+V152*(Inputs!$B$13-ILP_A_CostFocused!$F$10)+W152*(Inputs!$B$14-ILP_A_CostFocused!$F$11)+X152*(Inputs!$B$15-ILP_A_CostFocused!$F$12)+Y152*(Inputs!$B$16-ILP_A_CostFocused!$F$13)</f>
        <v>24925.332416861325</v>
      </c>
      <c r="AK152" s="45">
        <f t="shared" ca="1" si="107"/>
        <v>24.025624381858506</v>
      </c>
      <c r="AL152" s="45">
        <f t="shared" ca="1" si="108"/>
        <v>0</v>
      </c>
      <c r="AM152" s="45">
        <f t="shared" ca="1" si="109"/>
        <v>0</v>
      </c>
      <c r="AN152" s="45">
        <f t="shared" ca="1" si="110"/>
        <v>0</v>
      </c>
      <c r="AO152" s="45">
        <f ca="1">MIN(AL152,Inputs!$B$36)</f>
        <v>0</v>
      </c>
      <c r="AP152" s="45">
        <f ca="1">MIN(AN152,Inputs!$B$36-AO152)</f>
        <v>0</v>
      </c>
      <c r="AQ152" s="45">
        <f ca="1">MIN(AM152,Inputs!$B$36-AO152-AP152)</f>
        <v>0</v>
      </c>
      <c r="AR152" s="45">
        <f t="shared" ca="1" si="111"/>
        <v>0</v>
      </c>
      <c r="AS152" s="45">
        <f t="shared" ca="1" si="112"/>
        <v>0</v>
      </c>
      <c r="AT152" s="45">
        <f t="shared" ca="1" si="113"/>
        <v>0</v>
      </c>
      <c r="AU152" s="45">
        <f t="shared" ca="1" si="114"/>
        <v>0</v>
      </c>
      <c r="AV152" s="46">
        <f ca="1">AU152*Inputs!$B$35</f>
        <v>0</v>
      </c>
      <c r="AW152" s="46">
        <f ca="1">AR152*Inputs!$C$6+AT152*Inputs!$C$7+AS152*Inputs!$C$8</f>
        <v>0</v>
      </c>
      <c r="AX152" s="46">
        <f t="shared" ca="1" si="115"/>
        <v>47411363.704264224</v>
      </c>
      <c r="AY152" s="46">
        <f ca="1">IF(J152&gt;1,($CD$4)*Inputs!$B$55*((Z152+AA152+AB152)/(SUM(ILP_A_CostFocused!$C$9:$E$13))),0)</f>
        <v>0</v>
      </c>
      <c r="AZ152" s="46">
        <f t="shared" ca="1" si="116"/>
        <v>0</v>
      </c>
      <c r="BA152" s="41">
        <f t="shared" ca="1" si="117"/>
        <v>0</v>
      </c>
      <c r="BB152" s="41">
        <f t="shared" ca="1" si="118"/>
        <v>1</v>
      </c>
      <c r="BC152" s="41">
        <f t="shared" ca="1" si="119"/>
        <v>1</v>
      </c>
      <c r="BD152" s="41">
        <f t="shared" ca="1" si="120"/>
        <v>1</v>
      </c>
    </row>
    <row r="153" spans="1:56" ht="15" customHeight="1" x14ac:dyDescent="0.3">
      <c r="A153" s="41">
        <v>146</v>
      </c>
      <c r="B153" s="42">
        <f t="shared" ca="1" si="102"/>
        <v>0.29951918635797292</v>
      </c>
      <c r="C153" s="43">
        <f ca="1">IF(B153&lt;=Inputs!$C$40,Inputs!$D$40,IF(B153&lt;=Inputs!$C$41,Inputs!$D$41,Inputs!$D$42))</f>
        <v>1</v>
      </c>
      <c r="D153" s="42">
        <f t="shared" ca="1" si="123"/>
        <v>0.42846249615059573</v>
      </c>
      <c r="E153" s="42">
        <f t="shared" ca="1" si="123"/>
        <v>0.71508055309697993</v>
      </c>
      <c r="F153" s="42">
        <f t="shared" ca="1" si="123"/>
        <v>0.47993133729812176</v>
      </c>
      <c r="G153" s="42">
        <f t="shared" ca="1" si="123"/>
        <v>0.68612030486800935</v>
      </c>
      <c r="H153" s="42">
        <f t="shared" ca="1" si="123"/>
        <v>0.44227060633167681</v>
      </c>
      <c r="I153" s="42">
        <f t="shared" ca="1" si="123"/>
        <v>5.9065004995381587E-2</v>
      </c>
      <c r="J153" s="43">
        <f ca="1">IF(I153&lt;Inputs!$B$54,1+Inputs!$B$55,1)</f>
        <v>1.25</v>
      </c>
      <c r="K153" s="42">
        <f t="shared" ca="1" si="124"/>
        <v>0.85265560937118423</v>
      </c>
      <c r="L153" s="42">
        <f t="shared" ca="1" si="124"/>
        <v>0.94777214117499053</v>
      </c>
      <c r="M153" s="42">
        <f t="shared" ca="1" si="124"/>
        <v>0.89283966681170068</v>
      </c>
      <c r="N153" s="42">
        <f t="shared" ca="1" si="124"/>
        <v>0.47814836992016774</v>
      </c>
      <c r="O153" s="42">
        <f t="shared" ca="1" si="124"/>
        <v>3.4100800051989122E-2</v>
      </c>
      <c r="P153" s="42">
        <f t="shared" ca="1" si="124"/>
        <v>0.55141703204891701</v>
      </c>
      <c r="Q153" s="42">
        <f t="shared" ca="1" si="124"/>
        <v>0.74414134631097484</v>
      </c>
      <c r="R153" s="42">
        <f t="shared" ca="1" si="124"/>
        <v>0.98093582428586501</v>
      </c>
      <c r="S153" s="42">
        <f t="shared" ca="1" si="124"/>
        <v>0.42097956615127319</v>
      </c>
      <c r="T153" s="42">
        <f t="shared" ca="1" si="124"/>
        <v>0.37034171127023852</v>
      </c>
      <c r="U153" s="44">
        <f ca="1">(IF(D153&gt;=Inputs!$E$12,1,IF(K153&lt;=Inputs!$C$46,Inputs!$D$46,IF(K153&lt;=Inputs!$C$47,Inputs!$D$47,Inputs!$D$48))))*((Inputs!$B$28+(P153-0.5)*2*Inputs!$B$53)/Inputs!$B$28)</f>
        <v>1.0005204153041389</v>
      </c>
      <c r="V153" s="44">
        <f ca="1">(IF(E153&gt;=Inputs!$E$13,1,IF(L153&lt;=Inputs!$C$46,Inputs!$D$46,IF(L153&lt;=Inputs!$C$47,Inputs!$D$47,Inputs!$D$48))))*((Inputs!$B$29+(Q153-0.5)*2*Inputs!$B$53)/Inputs!$B$29)</f>
        <v>1.0024611022813608</v>
      </c>
      <c r="W153" s="44">
        <f ca="1">(IF(F153&gt;=Inputs!$E$14,1,IF(M153&lt;=Inputs!$C$46,Inputs!$D$46,IF(M153&lt;=Inputs!$C$47,Inputs!$D$47,Inputs!$D$48))))*((Inputs!$B$30+(R153-0.5)*2*Inputs!$B$53)/Inputs!$B$30)</f>
        <v>1.0048335258722199</v>
      </c>
      <c r="X153" s="44">
        <f ca="1">(IF(G153&gt;=Inputs!$E$15,1,IF(N153&lt;=Inputs!$C$46,Inputs!$D$46,IF(N153&lt;=Inputs!$C$47,Inputs!$D$47,Inputs!$D$48))))*((Inputs!$B$31+(S153-0.5)*2*Inputs!$B$53)/Inputs!$B$31)</f>
        <v>0.99919776209290634</v>
      </c>
      <c r="Y153" s="44">
        <f ca="1">(IF(H153&gt;=Inputs!$E$16,1,IF(O153&lt;=Inputs!$C$46,Inputs!$D$46,IF(O153&lt;=Inputs!$C$47,Inputs!$D$47,Inputs!$D$48))))*((Inputs!$B$32+(T153-0.5)*2*Inputs!$B$53)/Inputs!$B$32)</f>
        <v>0.99869559065664226</v>
      </c>
      <c r="Z153" s="45">
        <f ca="1">ILP_A_CostFocused!$C$9*U153+ILP_A_CostFocused!$C$10*V153+ILP_A_CostFocused!$C$11*W153+ILP_A_CostFocused!$C$12*X153+ILP_A_CostFocused!$C$13*Y153</f>
        <v>17995.253601247183</v>
      </c>
      <c r="AA153" s="45">
        <f ca="1">ILP_A_CostFocused!$D$9*U153+ILP_A_CostFocused!$D$10*V153+ILP_A_CostFocused!$D$11*W153+ILP_A_CostFocused!$D$12*X153+ILP_A_CostFocused!$D$13*Y153</f>
        <v>15045.402596710666</v>
      </c>
      <c r="AB153" s="45">
        <f ca="1">ILP_A_CostFocused!$E$9*U153+ILP_A_CostFocused!$E$10*V153+ILP_A_CostFocused!$E$11*W153+ILP_A_CostFocused!$E$12*X153+ILP_A_CostFocused!$E$13*Y153</f>
        <v>12015.560281140333</v>
      </c>
      <c r="AC153" s="45">
        <f ca="1">Inputs!$B$6*$C153</f>
        <v>18000</v>
      </c>
      <c r="AD153" s="45">
        <f ca="1">Inputs!$B$7*$C153</f>
        <v>15000</v>
      </c>
      <c r="AE153" s="45">
        <f ca="1">Inputs!$B$8*$C153</f>
        <v>12000</v>
      </c>
      <c r="AF153" s="45">
        <f t="shared" ca="1" si="103"/>
        <v>4.7463987528171856</v>
      </c>
      <c r="AG153" s="45">
        <f t="shared" ca="1" si="104"/>
        <v>0</v>
      </c>
      <c r="AH153" s="45">
        <f t="shared" ca="1" si="105"/>
        <v>0</v>
      </c>
      <c r="AI153" s="45">
        <f t="shared" ca="1" si="106"/>
        <v>4.7463987528171856</v>
      </c>
      <c r="AJ153" s="45">
        <f ca="1">U153*(Inputs!$B$12-ILP_A_CostFocused!$F$9)+V153*(Inputs!$B$13-ILP_A_CostFocused!$F$10)+W153*(Inputs!$B$14-ILP_A_CostFocused!$F$11)+X153*(Inputs!$B$15-ILP_A_CostFocused!$F$12)+Y153*(Inputs!$B$16-ILP_A_CostFocused!$F$13)</f>
        <v>25020.208439010457</v>
      </c>
      <c r="AK153" s="45">
        <f t="shared" ca="1" si="107"/>
        <v>4.7463987528171856</v>
      </c>
      <c r="AL153" s="45">
        <f t="shared" ca="1" si="108"/>
        <v>0</v>
      </c>
      <c r="AM153" s="45">
        <f t="shared" ca="1" si="109"/>
        <v>0</v>
      </c>
      <c r="AN153" s="45">
        <f t="shared" ca="1" si="110"/>
        <v>0</v>
      </c>
      <c r="AO153" s="45">
        <f ca="1">MIN(AL153,Inputs!$B$36)</f>
        <v>0</v>
      </c>
      <c r="AP153" s="45">
        <f ca="1">MIN(AN153,Inputs!$B$36-AO153)</f>
        <v>0</v>
      </c>
      <c r="AQ153" s="45">
        <f ca="1">MIN(AM153,Inputs!$B$36-AO153-AP153)</f>
        <v>0</v>
      </c>
      <c r="AR153" s="45">
        <f t="shared" ca="1" si="111"/>
        <v>0</v>
      </c>
      <c r="AS153" s="45">
        <f t="shared" ca="1" si="112"/>
        <v>0</v>
      </c>
      <c r="AT153" s="45">
        <f t="shared" ca="1" si="113"/>
        <v>0</v>
      </c>
      <c r="AU153" s="45">
        <f t="shared" ca="1" si="114"/>
        <v>0</v>
      </c>
      <c r="AV153" s="46">
        <f ca="1">AU153*Inputs!$B$35</f>
        <v>0</v>
      </c>
      <c r="AW153" s="46">
        <f ca="1">AR153*Inputs!$C$6+AT153*Inputs!$C$7+AS153*Inputs!$C$8</f>
        <v>0</v>
      </c>
      <c r="AX153" s="46">
        <f t="shared" ca="1" si="115"/>
        <v>47452237.192430347</v>
      </c>
      <c r="AY153" s="46">
        <f ca="1">IF(J153&gt;1,($CD$4)*Inputs!$B$55*((Z153+AA153+AB153)/(SUM(ILP_A_CostFocused!$C$9:$E$13))),0)</f>
        <v>555237.76816447766</v>
      </c>
      <c r="AZ153" s="46">
        <f t="shared" ca="1" si="116"/>
        <v>0</v>
      </c>
      <c r="BA153" s="41">
        <f t="shared" ca="1" si="117"/>
        <v>0</v>
      </c>
      <c r="BB153" s="41">
        <f t="shared" ca="1" si="118"/>
        <v>1</v>
      </c>
      <c r="BC153" s="41">
        <f t="shared" ca="1" si="119"/>
        <v>1</v>
      </c>
      <c r="BD153" s="41">
        <f t="shared" ca="1" si="120"/>
        <v>1</v>
      </c>
    </row>
    <row r="154" spans="1:56" ht="15" customHeight="1" x14ac:dyDescent="0.3">
      <c r="A154" s="41">
        <v>147</v>
      </c>
      <c r="B154" s="42">
        <f t="shared" ca="1" si="102"/>
        <v>0.49931017107375497</v>
      </c>
      <c r="C154" s="43">
        <f ca="1">IF(B154&lt;=Inputs!$C$40,Inputs!$D$40,IF(B154&lt;=Inputs!$C$41,Inputs!$D$41,Inputs!$D$42))</f>
        <v>1</v>
      </c>
      <c r="D154" s="42">
        <f t="shared" ca="1" si="123"/>
        <v>0.92463725115537687</v>
      </c>
      <c r="E154" s="42">
        <f t="shared" ca="1" si="123"/>
        <v>0.2546349499414271</v>
      </c>
      <c r="F154" s="42">
        <f t="shared" ca="1" si="123"/>
        <v>0.58990270727136485</v>
      </c>
      <c r="G154" s="42">
        <f t="shared" ca="1" si="123"/>
        <v>0.97234728742592413</v>
      </c>
      <c r="H154" s="42">
        <f t="shared" ca="1" si="123"/>
        <v>0.1316957392918946</v>
      </c>
      <c r="I154" s="42">
        <f t="shared" ca="1" si="123"/>
        <v>0.48086706404600488</v>
      </c>
      <c r="J154" s="43">
        <f ca="1">IF(I154&lt;Inputs!$B$54,1+Inputs!$B$55,1)</f>
        <v>1</v>
      </c>
      <c r="K154" s="42">
        <f t="shared" ca="1" si="124"/>
        <v>0.16866970806092896</v>
      </c>
      <c r="L154" s="42">
        <f t="shared" ca="1" si="124"/>
        <v>0.22404753780979814</v>
      </c>
      <c r="M154" s="42">
        <f t="shared" ca="1" si="124"/>
        <v>0.21492737390688688</v>
      </c>
      <c r="N154" s="42">
        <f t="shared" ca="1" si="124"/>
        <v>6.1604642057644043E-2</v>
      </c>
      <c r="O154" s="42">
        <f t="shared" ca="1" si="124"/>
        <v>0.11963335306183043</v>
      </c>
      <c r="P154" s="42">
        <f t="shared" ca="1" si="124"/>
        <v>0.49936931192303891</v>
      </c>
      <c r="Q154" s="42">
        <f t="shared" ca="1" si="124"/>
        <v>0.13583552525985054</v>
      </c>
      <c r="R154" s="42">
        <f t="shared" ca="1" si="124"/>
        <v>0.67819358664600582</v>
      </c>
      <c r="S154" s="42">
        <f t="shared" ca="1" si="124"/>
        <v>0.32473156855037344</v>
      </c>
      <c r="T154" s="42">
        <f t="shared" ca="1" si="124"/>
        <v>9.6543011808568058E-2</v>
      </c>
      <c r="U154" s="44">
        <f ca="1">(IF(D154&gt;=Inputs!$E$12,1,IF(K154&lt;=Inputs!$C$46,Inputs!$D$46,IF(K154&lt;=Inputs!$C$47,Inputs!$D$47,Inputs!$D$48))))*((Inputs!$B$28+(P154-0.5)*2*Inputs!$B$53)/Inputs!$B$28)</f>
        <v>0.99999361651743968</v>
      </c>
      <c r="V154" s="44">
        <f ca="1">(IF(E154&gt;=Inputs!$E$13,1,IF(L154&lt;=Inputs!$C$46,Inputs!$D$46,IF(L154&lt;=Inputs!$C$47,Inputs!$D$47,Inputs!$D$48))))*((Inputs!$B$29+(Q154-0.5)*2*Inputs!$B$53)/Inputs!$B$29)</f>
        <v>0.9963289871497969</v>
      </c>
      <c r="W154" s="44">
        <f ca="1">(IF(F154&gt;=Inputs!$E$14,1,IF(M154&lt;=Inputs!$C$46,Inputs!$D$46,IF(M154&lt;=Inputs!$C$47,Inputs!$D$47,Inputs!$D$48))))*((Inputs!$B$30+(R154-0.5)*2*Inputs!$B$53)/Inputs!$B$30)</f>
        <v>1.0017908903180504</v>
      </c>
      <c r="X154" s="44">
        <f ca="1">(IF(G154&gt;=Inputs!$E$15,1,IF(N154&lt;=Inputs!$C$46,Inputs!$D$46,IF(N154&lt;=Inputs!$C$47,Inputs!$D$47,Inputs!$D$48))))*((Inputs!$B$31+(S154-0.5)*2*Inputs!$B$53)/Inputs!$B$31)</f>
        <v>0.99822062506142506</v>
      </c>
      <c r="Y154" s="44">
        <f ca="1">(IF(H154&gt;=Inputs!$E$16,1,IF(O154&lt;=Inputs!$C$46,Inputs!$D$46,IF(O154&lt;=Inputs!$C$47,Inputs!$D$47,Inputs!$D$48))))*((Inputs!$B$32+(T154-0.5)*2*Inputs!$B$53)/Inputs!$B$32)</f>
        <v>0.99594107657755104</v>
      </c>
      <c r="Z154" s="45">
        <f ca="1">ILP_A_CostFocused!$C$9*U154+ILP_A_CostFocused!$C$10*V154+ILP_A_CostFocused!$C$11*W154+ILP_A_CostFocused!$C$12*X154+ILP_A_CostFocused!$C$13*Y154</f>
        <v>17980.414302204605</v>
      </c>
      <c r="AA154" s="45">
        <f ca="1">ILP_A_CostFocused!$D$9*U154+ILP_A_CostFocused!$D$10*V154+ILP_A_CostFocused!$D$11*W154+ILP_A_CostFocused!$D$12*X154+ILP_A_CostFocused!$D$13*Y154</f>
        <v>14974.064555694717</v>
      </c>
      <c r="AB154" s="45">
        <f ca="1">ILP_A_CostFocused!$E$9*U154+ILP_A_CostFocused!$E$10*V154+ILP_A_CostFocused!$E$11*W154+ILP_A_CostFocused!$E$12*X154+ILP_A_CostFocused!$E$13*Y154</f>
        <v>11982.333177244591</v>
      </c>
      <c r="AC154" s="45">
        <f ca="1">Inputs!$B$6*$C154</f>
        <v>18000</v>
      </c>
      <c r="AD154" s="45">
        <f ca="1">Inputs!$B$7*$C154</f>
        <v>15000</v>
      </c>
      <c r="AE154" s="45">
        <f ca="1">Inputs!$B$8*$C154</f>
        <v>12000</v>
      </c>
      <c r="AF154" s="45">
        <f t="shared" ca="1" si="103"/>
        <v>19.58569779539539</v>
      </c>
      <c r="AG154" s="45">
        <f t="shared" ca="1" si="104"/>
        <v>25.935444305283454</v>
      </c>
      <c r="AH154" s="45">
        <f t="shared" ca="1" si="105"/>
        <v>17.666822755409157</v>
      </c>
      <c r="AI154" s="45">
        <f t="shared" ca="1" si="106"/>
        <v>63.187964856088001</v>
      </c>
      <c r="AJ154" s="45">
        <f ca="1">U154*(Inputs!$B$12-ILP_A_CostFocused!$F$9)+V154*(Inputs!$B$13-ILP_A_CostFocused!$F$10)+W154*(Inputs!$B$14-ILP_A_CostFocused!$F$11)+X154*(Inputs!$B$15-ILP_A_CostFocused!$F$12)+Y154*(Inputs!$B$16-ILP_A_CostFocused!$F$13)</f>
        <v>24952.736872767302</v>
      </c>
      <c r="AK154" s="45">
        <f t="shared" ca="1" si="107"/>
        <v>63.187964856088001</v>
      </c>
      <c r="AL154" s="45">
        <f t="shared" ca="1" si="108"/>
        <v>0</v>
      </c>
      <c r="AM154" s="45">
        <f t="shared" ca="1" si="109"/>
        <v>0</v>
      </c>
      <c r="AN154" s="45">
        <f t="shared" ca="1" si="110"/>
        <v>0</v>
      </c>
      <c r="AO154" s="45">
        <f ca="1">MIN(AL154,Inputs!$B$36)</f>
        <v>0</v>
      </c>
      <c r="AP154" s="45">
        <f ca="1">MIN(AN154,Inputs!$B$36-AO154)</f>
        <v>0</v>
      </c>
      <c r="AQ154" s="45">
        <f ca="1">MIN(AM154,Inputs!$B$36-AO154-AP154)</f>
        <v>0</v>
      </c>
      <c r="AR154" s="45">
        <f t="shared" ca="1" si="111"/>
        <v>0</v>
      </c>
      <c r="AS154" s="45">
        <f t="shared" ca="1" si="112"/>
        <v>0</v>
      </c>
      <c r="AT154" s="45">
        <f t="shared" ca="1" si="113"/>
        <v>0</v>
      </c>
      <c r="AU154" s="45">
        <f t="shared" ca="1" si="114"/>
        <v>0</v>
      </c>
      <c r="AV154" s="46">
        <f ca="1">AU154*Inputs!$B$35</f>
        <v>0</v>
      </c>
      <c r="AW154" s="46">
        <f ca="1">AR154*Inputs!$C$6+AT154*Inputs!$C$7+AS154*Inputs!$C$8</f>
        <v>0</v>
      </c>
      <c r="AX154" s="46">
        <f t="shared" ca="1" si="115"/>
        <v>47325682.956337459</v>
      </c>
      <c r="AY154" s="46">
        <f ca="1">IF(J154&gt;1,($CD$4)*Inputs!$B$55*((Z154+AA154+AB154)/(SUM(ILP_A_CostFocused!$C$9:$E$13))),0)</f>
        <v>0</v>
      </c>
      <c r="AZ154" s="46">
        <f t="shared" ca="1" si="116"/>
        <v>0</v>
      </c>
      <c r="BA154" s="41">
        <f t="shared" ca="1" si="117"/>
        <v>0</v>
      </c>
      <c r="BB154" s="41">
        <f t="shared" ca="1" si="118"/>
        <v>1</v>
      </c>
      <c r="BC154" s="41">
        <f t="shared" ca="1" si="119"/>
        <v>1</v>
      </c>
      <c r="BD154" s="41">
        <f t="shared" ca="1" si="120"/>
        <v>1</v>
      </c>
    </row>
    <row r="155" spans="1:56" ht="15" customHeight="1" x14ac:dyDescent="0.3">
      <c r="A155" s="41">
        <v>148</v>
      </c>
      <c r="B155" s="42">
        <f t="shared" ca="1" si="102"/>
        <v>6.8014334447871638E-2</v>
      </c>
      <c r="C155" s="43">
        <f ca="1">IF(B155&lt;=Inputs!$C$40,Inputs!$D$40,IF(B155&lt;=Inputs!$C$41,Inputs!$D$41,Inputs!$D$42))</f>
        <v>0.9</v>
      </c>
      <c r="D155" s="42">
        <f t="shared" ca="1" si="123"/>
        <v>0.1020186696424944</v>
      </c>
      <c r="E155" s="42">
        <f t="shared" ca="1" si="123"/>
        <v>1.6668319734302051E-2</v>
      </c>
      <c r="F155" s="42">
        <f t="shared" ca="1" si="123"/>
        <v>0.26341408881395967</v>
      </c>
      <c r="G155" s="42">
        <f t="shared" ca="1" si="123"/>
        <v>0.23877149046924384</v>
      </c>
      <c r="H155" s="42">
        <f t="shared" ca="1" si="123"/>
        <v>0.63654833425071433</v>
      </c>
      <c r="I155" s="42">
        <f t="shared" ca="1" si="123"/>
        <v>0.74237577543011146</v>
      </c>
      <c r="J155" s="43">
        <f ca="1">IF(I155&lt;Inputs!$B$54,1+Inputs!$B$55,1)</f>
        <v>1</v>
      </c>
      <c r="K155" s="42">
        <f t="shared" ca="1" si="124"/>
        <v>0.83413418496667224</v>
      </c>
      <c r="L155" s="42">
        <f t="shared" ca="1" si="124"/>
        <v>0.21763254279055044</v>
      </c>
      <c r="M155" s="42">
        <f t="shared" ca="1" si="124"/>
        <v>0.68481421098380335</v>
      </c>
      <c r="N155" s="42">
        <f t="shared" ca="1" si="124"/>
        <v>6.2626524188835297E-2</v>
      </c>
      <c r="O155" s="42">
        <f t="shared" ca="1" si="124"/>
        <v>0.70341244835703598</v>
      </c>
      <c r="P155" s="42">
        <f t="shared" ca="1" si="124"/>
        <v>0.37365894181865245</v>
      </c>
      <c r="Q155" s="42">
        <f t="shared" ca="1" si="124"/>
        <v>0.81137675820759481</v>
      </c>
      <c r="R155" s="42">
        <f t="shared" ca="1" si="124"/>
        <v>0.30885257009221234</v>
      </c>
      <c r="S155" s="42">
        <f t="shared" ca="1" si="124"/>
        <v>0.86412016386314239</v>
      </c>
      <c r="T155" s="42">
        <f t="shared" ca="1" si="124"/>
        <v>5.3846540588070035E-2</v>
      </c>
      <c r="U155" s="44">
        <f ca="1">(IF(D155&gt;=Inputs!$E$12,1,IF(K155&lt;=Inputs!$C$46,Inputs!$D$46,IF(K155&lt;=Inputs!$C$47,Inputs!$D$47,Inputs!$D$48))))*((Inputs!$B$28+(P155-0.5)*2*Inputs!$B$53)/Inputs!$B$28)</f>
        <v>0.99872124435039122</v>
      </c>
      <c r="V155" s="44">
        <f ca="1">(IF(E155&gt;=Inputs!$E$13,1,IF(L155&lt;=Inputs!$C$46,Inputs!$D$46,IF(L155&lt;=Inputs!$C$47,Inputs!$D$47,Inputs!$D$48))))*((Inputs!$B$29+(Q155-0.5)*2*Inputs!$B$53)/Inputs!$B$29)</f>
        <v>0.60188332716657811</v>
      </c>
      <c r="W155" s="44">
        <f ca="1">(IF(F155&gt;=Inputs!$E$14,1,IF(M155&lt;=Inputs!$C$46,Inputs!$D$46,IF(M155&lt;=Inputs!$C$47,Inputs!$D$47,Inputs!$D$48))))*((Inputs!$B$30+(R155-0.5)*2*Inputs!$B$53)/Inputs!$B$30)</f>
        <v>0.99807892030243428</v>
      </c>
      <c r="X155" s="44">
        <f ca="1">(IF(G155&gt;=Inputs!$E$15,1,IF(N155&lt;=Inputs!$C$46,Inputs!$D$46,IF(N155&lt;=Inputs!$C$47,Inputs!$D$47,Inputs!$D$48))))*((Inputs!$B$31+(S155-0.5)*2*Inputs!$B$53)/Inputs!$B$31)</f>
        <v>1.003696651409778</v>
      </c>
      <c r="Y155" s="44">
        <f ca="1">(IF(H155&gt;=Inputs!$E$16,1,IF(O155&lt;=Inputs!$C$46,Inputs!$D$46,IF(O155&lt;=Inputs!$C$47,Inputs!$D$47,Inputs!$D$48))))*((Inputs!$B$32+(T155-0.5)*2*Inputs!$B$53)/Inputs!$B$32)</f>
        <v>0.99551153461356201</v>
      </c>
      <c r="Z155" s="45">
        <f ca="1">ILP_A_CostFocused!$C$9*U155+ILP_A_CostFocused!$C$10*V155+ILP_A_CostFocused!$C$11*W155+ILP_A_CostFocused!$C$12*X155+ILP_A_CostFocused!$C$13*Y155</f>
        <v>17995.795057836243</v>
      </c>
      <c r="AA155" s="45">
        <f ca="1">ILP_A_CostFocused!$D$9*U155+ILP_A_CostFocused!$D$10*V155+ILP_A_CostFocused!$D$11*W155+ILP_A_CostFocused!$D$12*X155+ILP_A_CostFocused!$D$13*Y155</f>
        <v>11411.153552043301</v>
      </c>
      <c r="AB155" s="45">
        <f ca="1">ILP_A_CostFocused!$E$9*U155+ILP_A_CostFocused!$E$10*V155+ILP_A_CostFocused!$E$11*W155+ILP_A_CostFocused!$E$12*X155+ILP_A_CostFocused!$E$13*Y155</f>
        <v>10079.832929722392</v>
      </c>
      <c r="AC155" s="45">
        <f ca="1">Inputs!$B$6*$C155</f>
        <v>16200</v>
      </c>
      <c r="AD155" s="45">
        <f ca="1">Inputs!$B$7*$C155</f>
        <v>13500</v>
      </c>
      <c r="AE155" s="45">
        <f ca="1">Inputs!$B$8*$C155</f>
        <v>10800</v>
      </c>
      <c r="AF155" s="45">
        <f t="shared" ca="1" si="103"/>
        <v>0</v>
      </c>
      <c r="AG155" s="45">
        <f t="shared" ca="1" si="104"/>
        <v>2088.8464479566992</v>
      </c>
      <c r="AH155" s="45">
        <f t="shared" ca="1" si="105"/>
        <v>720.16707027760822</v>
      </c>
      <c r="AI155" s="45">
        <f t="shared" ca="1" si="106"/>
        <v>2809.0135182343074</v>
      </c>
      <c r="AJ155" s="45">
        <f ca="1">U155*(Inputs!$B$12-ILP_A_CostFocused!$F$9)+V155*(Inputs!$B$13-ILP_A_CostFocused!$F$10)+W155*(Inputs!$B$14-ILP_A_CostFocused!$F$11)+X155*(Inputs!$B$15-ILP_A_CostFocused!$F$12)+Y155*(Inputs!$B$16-ILP_A_CostFocused!$F$13)</f>
        <v>24871.183750388831</v>
      </c>
      <c r="AK155" s="45">
        <f t="shared" ca="1" si="107"/>
        <v>2809.0135182343074</v>
      </c>
      <c r="AL155" s="45">
        <f t="shared" ca="1" si="108"/>
        <v>0</v>
      </c>
      <c r="AM155" s="45">
        <f t="shared" ca="1" si="109"/>
        <v>0</v>
      </c>
      <c r="AN155" s="45">
        <f t="shared" ca="1" si="110"/>
        <v>0</v>
      </c>
      <c r="AO155" s="45">
        <f ca="1">MIN(AL155,Inputs!$B$36)</f>
        <v>0</v>
      </c>
      <c r="AP155" s="45">
        <f ca="1">MIN(AN155,Inputs!$B$36-AO155)</f>
        <v>0</v>
      </c>
      <c r="AQ155" s="45">
        <f ca="1">MIN(AM155,Inputs!$B$36-AO155-AP155)</f>
        <v>0</v>
      </c>
      <c r="AR155" s="45">
        <f t="shared" ca="1" si="111"/>
        <v>0</v>
      </c>
      <c r="AS155" s="45">
        <f t="shared" ca="1" si="112"/>
        <v>0</v>
      </c>
      <c r="AT155" s="45">
        <f t="shared" ca="1" si="113"/>
        <v>0</v>
      </c>
      <c r="AU155" s="45">
        <f t="shared" ca="1" si="114"/>
        <v>0</v>
      </c>
      <c r="AV155" s="46">
        <f ca="1">AU155*Inputs!$B$35</f>
        <v>0</v>
      </c>
      <c r="AW155" s="46">
        <f ca="1">AR155*Inputs!$C$6+AT155*Inputs!$C$7+AS155*Inputs!$C$8</f>
        <v>0</v>
      </c>
      <c r="AX155" s="46">
        <f t="shared" ca="1" si="115"/>
        <v>41521288.930226892</v>
      </c>
      <c r="AY155" s="46">
        <f ca="1">IF(J155&gt;1,($CD$4)*Inputs!$B$55*((Z155+AA155+AB155)/(SUM(ILP_A_CostFocused!$C$9:$E$13))),0)</f>
        <v>0</v>
      </c>
      <c r="AZ155" s="46">
        <f t="shared" ca="1" si="116"/>
        <v>0</v>
      </c>
      <c r="BA155" s="41">
        <f t="shared" ca="1" si="117"/>
        <v>0</v>
      </c>
      <c r="BB155" s="41">
        <f t="shared" ca="1" si="118"/>
        <v>1</v>
      </c>
      <c r="BC155" s="41">
        <f t="shared" ca="1" si="119"/>
        <v>1</v>
      </c>
      <c r="BD155" s="41">
        <f t="shared" ca="1" si="120"/>
        <v>1</v>
      </c>
    </row>
    <row r="156" spans="1:56" ht="15" customHeight="1" x14ac:dyDescent="0.3">
      <c r="A156" s="41">
        <v>149</v>
      </c>
      <c r="B156" s="42">
        <f t="shared" ca="1" si="102"/>
        <v>0.57596498023116083</v>
      </c>
      <c r="C156" s="43">
        <f ca="1">IF(B156&lt;=Inputs!$C$40,Inputs!$D$40,IF(B156&lt;=Inputs!$C$41,Inputs!$D$41,Inputs!$D$42))</f>
        <v>1</v>
      </c>
      <c r="D156" s="42">
        <f t="shared" ca="1" si="123"/>
        <v>0.29218261053740557</v>
      </c>
      <c r="E156" s="42">
        <f t="shared" ca="1" si="123"/>
        <v>0.59199433185867623</v>
      </c>
      <c r="F156" s="42">
        <f t="shared" ca="1" si="123"/>
        <v>0.33996699590526225</v>
      </c>
      <c r="G156" s="42">
        <f t="shared" ca="1" si="123"/>
        <v>0.90082604603856464</v>
      </c>
      <c r="H156" s="42">
        <f t="shared" ca="1" si="123"/>
        <v>0.40894899823447095</v>
      </c>
      <c r="I156" s="42">
        <f t="shared" ca="1" si="123"/>
        <v>0.43946892986251029</v>
      </c>
      <c r="J156" s="43">
        <f ca="1">IF(I156&lt;Inputs!$B$54,1+Inputs!$B$55,1)</f>
        <v>1</v>
      </c>
      <c r="K156" s="42">
        <f t="shared" ca="1" si="124"/>
        <v>0.12616982763783291</v>
      </c>
      <c r="L156" s="42">
        <f t="shared" ca="1" si="124"/>
        <v>0.93013189889155057</v>
      </c>
      <c r="M156" s="42">
        <f t="shared" ca="1" si="124"/>
        <v>0.85883490165867449</v>
      </c>
      <c r="N156" s="42">
        <f t="shared" ca="1" si="124"/>
        <v>0.41887232765901938</v>
      </c>
      <c r="O156" s="42">
        <f t="shared" ca="1" si="124"/>
        <v>0.82325195950885854</v>
      </c>
      <c r="P156" s="42">
        <f t="shared" ca="1" si="124"/>
        <v>0.86063721964463713</v>
      </c>
      <c r="Q156" s="42">
        <f t="shared" ca="1" si="124"/>
        <v>0.89291358132290544</v>
      </c>
      <c r="R156" s="42">
        <f t="shared" ca="1" si="124"/>
        <v>0.20812574506269044</v>
      </c>
      <c r="S156" s="42">
        <f t="shared" ca="1" si="124"/>
        <v>0.33962809853508491</v>
      </c>
      <c r="T156" s="42">
        <f t="shared" ca="1" si="124"/>
        <v>0.92094644094080746</v>
      </c>
      <c r="U156" s="44">
        <f ca="1">(IF(D156&gt;=Inputs!$E$12,1,IF(K156&lt;=Inputs!$C$46,Inputs!$D$46,IF(K156&lt;=Inputs!$C$47,Inputs!$D$47,Inputs!$D$48))))*((Inputs!$B$28+(P156-0.5)*2*Inputs!$B$53)/Inputs!$B$28)</f>
        <v>1.0036501742879012</v>
      </c>
      <c r="V156" s="44">
        <f ca="1">(IF(E156&gt;=Inputs!$E$13,1,IF(L156&lt;=Inputs!$C$46,Inputs!$D$46,IF(L156&lt;=Inputs!$C$47,Inputs!$D$47,Inputs!$D$48))))*((Inputs!$B$29+(Q156-0.5)*2*Inputs!$B$53)/Inputs!$B$29)</f>
        <v>1.0039608223923679</v>
      </c>
      <c r="W156" s="44">
        <f ca="1">(IF(F156&gt;=Inputs!$E$14,1,IF(M156&lt;=Inputs!$C$46,Inputs!$D$46,IF(M156&lt;=Inputs!$C$47,Inputs!$D$47,Inputs!$D$48))))*((Inputs!$B$30+(R156-0.5)*2*Inputs!$B$53)/Inputs!$B$30)</f>
        <v>0.99706659040264012</v>
      </c>
      <c r="X156" s="44">
        <f ca="1">(IF(G156&gt;=Inputs!$E$15,1,IF(N156&lt;=Inputs!$C$46,Inputs!$D$46,IF(N156&lt;=Inputs!$C$47,Inputs!$D$47,Inputs!$D$48))))*((Inputs!$B$31+(S156-0.5)*2*Inputs!$B$53)/Inputs!$B$31)</f>
        <v>0.99837185886837643</v>
      </c>
      <c r="Y156" s="44">
        <f ca="1">(IF(H156&gt;=Inputs!$E$16,1,IF(O156&lt;=Inputs!$C$46,Inputs!$D$46,IF(O156&lt;=Inputs!$C$47,Inputs!$D$47,Inputs!$D$48))))*((Inputs!$B$32+(T156-0.5)*2*Inputs!$B$53)/Inputs!$B$32)</f>
        <v>1.004234873651316</v>
      </c>
      <c r="Z156" s="45">
        <f ca="1">ILP_A_CostFocused!$C$9*U156+ILP_A_CostFocused!$C$10*V156+ILP_A_CostFocused!$C$11*W156+ILP_A_CostFocused!$C$12*X156+ILP_A_CostFocused!$C$13*Y156</f>
        <v>18008.724667684546</v>
      </c>
      <c r="AA156" s="45">
        <f ca="1">ILP_A_CostFocused!$D$9*U156+ILP_A_CostFocused!$D$10*V156+ILP_A_CostFocused!$D$11*W156+ILP_A_CostFocused!$D$12*X156+ILP_A_CostFocused!$D$13*Y156</f>
        <v>15019.378317782204</v>
      </c>
      <c r="AB156" s="45">
        <f ca="1">ILP_A_CostFocused!$E$9*U156+ILP_A_CostFocused!$E$10*V156+ILP_A_CostFocused!$E$11*W156+ILP_A_CostFocused!$E$12*X156+ILP_A_CostFocused!$E$13*Y156</f>
        <v>12045.293202356253</v>
      </c>
      <c r="AC156" s="45">
        <f ca="1">Inputs!$B$6*$C156</f>
        <v>18000</v>
      </c>
      <c r="AD156" s="45">
        <f ca="1">Inputs!$B$7*$C156</f>
        <v>15000</v>
      </c>
      <c r="AE156" s="45">
        <f ca="1">Inputs!$B$8*$C156</f>
        <v>12000</v>
      </c>
      <c r="AF156" s="45">
        <f t="shared" ca="1" si="103"/>
        <v>0</v>
      </c>
      <c r="AG156" s="45">
        <f t="shared" ca="1" si="104"/>
        <v>0</v>
      </c>
      <c r="AH156" s="45">
        <f t="shared" ca="1" si="105"/>
        <v>0</v>
      </c>
      <c r="AI156" s="45">
        <f t="shared" ca="1" si="106"/>
        <v>0</v>
      </c>
      <c r="AJ156" s="45">
        <f ca="1">U156*(Inputs!$B$12-ILP_A_CostFocused!$F$9)+V156*(Inputs!$B$13-ILP_A_CostFocused!$F$10)+W156*(Inputs!$B$14-ILP_A_CostFocused!$F$11)+X156*(Inputs!$B$15-ILP_A_CostFocused!$F$12)+Y156*(Inputs!$B$16-ILP_A_CostFocused!$F$13)</f>
        <v>25046.309200701144</v>
      </c>
      <c r="AK156" s="45">
        <f t="shared" ca="1" si="107"/>
        <v>0</v>
      </c>
      <c r="AL156" s="45">
        <f t="shared" ca="1" si="108"/>
        <v>0</v>
      </c>
      <c r="AM156" s="45">
        <f t="shared" ca="1" si="109"/>
        <v>0</v>
      </c>
      <c r="AN156" s="45">
        <f t="shared" ca="1" si="110"/>
        <v>0</v>
      </c>
      <c r="AO156" s="45">
        <f ca="1">MIN(AL156,Inputs!$B$36)</f>
        <v>0</v>
      </c>
      <c r="AP156" s="45">
        <f ca="1">MIN(AN156,Inputs!$B$36-AO156)</f>
        <v>0</v>
      </c>
      <c r="AQ156" s="45">
        <f ca="1">MIN(AM156,Inputs!$B$36-AO156-AP156)</f>
        <v>0</v>
      </c>
      <c r="AR156" s="45">
        <f t="shared" ca="1" si="111"/>
        <v>0</v>
      </c>
      <c r="AS156" s="45">
        <f t="shared" ca="1" si="112"/>
        <v>0</v>
      </c>
      <c r="AT156" s="45">
        <f t="shared" ca="1" si="113"/>
        <v>0</v>
      </c>
      <c r="AU156" s="45">
        <f t="shared" ca="1" si="114"/>
        <v>0</v>
      </c>
      <c r="AV156" s="46">
        <f ca="1">AU156*Inputs!$B$35</f>
        <v>0</v>
      </c>
      <c r="AW156" s="46">
        <f ca="1">AR156*Inputs!$C$6+AT156*Inputs!$C$7+AS156*Inputs!$C$8</f>
        <v>0</v>
      </c>
      <c r="AX156" s="46">
        <f t="shared" ca="1" si="115"/>
        <v>47470964.568963341</v>
      </c>
      <c r="AY156" s="46">
        <f ca="1">IF(J156&gt;1,($CD$4)*Inputs!$B$55*((Z156+AA156+AB156)/(SUM(ILP_A_CostFocused!$C$9:$E$13))),0)</f>
        <v>0</v>
      </c>
      <c r="AZ156" s="46">
        <f t="shared" ca="1" si="116"/>
        <v>0</v>
      </c>
      <c r="BA156" s="41">
        <f t="shared" ca="1" si="117"/>
        <v>0</v>
      </c>
      <c r="BB156" s="41">
        <f t="shared" ca="1" si="118"/>
        <v>1</v>
      </c>
      <c r="BC156" s="41">
        <f t="shared" ca="1" si="119"/>
        <v>1</v>
      </c>
      <c r="BD156" s="41">
        <f t="shared" ca="1" si="120"/>
        <v>1</v>
      </c>
    </row>
    <row r="157" spans="1:56" ht="15" customHeight="1" x14ac:dyDescent="0.3">
      <c r="A157" s="41">
        <v>150</v>
      </c>
      <c r="B157" s="42">
        <f t="shared" ca="1" si="102"/>
        <v>0.59865088641861408</v>
      </c>
      <c r="C157" s="43">
        <f ca="1">IF(B157&lt;=Inputs!$C$40,Inputs!$D$40,IF(B157&lt;=Inputs!$C$41,Inputs!$D$41,Inputs!$D$42))</f>
        <v>1</v>
      </c>
      <c r="D157" s="42">
        <f t="shared" ca="1" si="123"/>
        <v>0.13140939133883289</v>
      </c>
      <c r="E157" s="42">
        <f t="shared" ca="1" si="123"/>
        <v>0.58215107674883071</v>
      </c>
      <c r="F157" s="42">
        <f t="shared" ca="1" si="123"/>
        <v>0.84577596562738033</v>
      </c>
      <c r="G157" s="42">
        <f t="shared" ca="1" si="123"/>
        <v>8.2527664311924154E-2</v>
      </c>
      <c r="H157" s="42">
        <f t="shared" ca="1" si="123"/>
        <v>0.5314979588710339</v>
      </c>
      <c r="I157" s="42">
        <f t="shared" ca="1" si="123"/>
        <v>0.77029159483202858</v>
      </c>
      <c r="J157" s="43">
        <f ca="1">IF(I157&lt;Inputs!$B$54,1+Inputs!$B$55,1)</f>
        <v>1</v>
      </c>
      <c r="K157" s="42">
        <f t="shared" ca="1" si="124"/>
        <v>0.39118731944183838</v>
      </c>
      <c r="L157" s="42">
        <f t="shared" ca="1" si="124"/>
        <v>0.39292125067873374</v>
      </c>
      <c r="M157" s="42">
        <f t="shared" ca="1" si="124"/>
        <v>0.82720263613611955</v>
      </c>
      <c r="N157" s="42">
        <f t="shared" ca="1" si="124"/>
        <v>0.19261205619317778</v>
      </c>
      <c r="O157" s="42">
        <f t="shared" ca="1" si="124"/>
        <v>0.99848436624952142</v>
      </c>
      <c r="P157" s="42">
        <f t="shared" ca="1" si="124"/>
        <v>0.62015904665369948</v>
      </c>
      <c r="Q157" s="42">
        <f t="shared" ca="1" si="124"/>
        <v>4.2137683972090278E-2</v>
      </c>
      <c r="R157" s="42">
        <f t="shared" ca="1" si="124"/>
        <v>0.43089361050699582</v>
      </c>
      <c r="S157" s="42">
        <f t="shared" ca="1" si="124"/>
        <v>0.44820009381513759</v>
      </c>
      <c r="T157" s="42">
        <f t="shared" ca="1" si="124"/>
        <v>0.51445840993688252</v>
      </c>
      <c r="U157" s="44">
        <f ca="1">(IF(D157&gt;=Inputs!$E$12,1,IF(K157&lt;=Inputs!$C$46,Inputs!$D$46,IF(K157&lt;=Inputs!$C$47,Inputs!$D$47,Inputs!$D$48))))*((Inputs!$B$28+(P157-0.5)*2*Inputs!$B$53)/Inputs!$B$28)</f>
        <v>1.0012161846827297</v>
      </c>
      <c r="V157" s="44">
        <f ca="1">(IF(E157&gt;=Inputs!$E$13,1,IF(L157&lt;=Inputs!$C$46,Inputs!$D$46,IF(L157&lt;=Inputs!$C$47,Inputs!$D$47,Inputs!$D$48))))*((Inputs!$B$29+(Q157-0.5)*2*Inputs!$B$53)/Inputs!$B$29)</f>
        <v>0.995384452459396</v>
      </c>
      <c r="W157" s="44">
        <f ca="1">(IF(F157&gt;=Inputs!$E$14,1,IF(M157&lt;=Inputs!$C$46,Inputs!$D$46,IF(M157&lt;=Inputs!$C$47,Inputs!$D$47,Inputs!$D$48))))*((Inputs!$B$30+(R157-0.5)*2*Inputs!$B$53)/Inputs!$B$30)</f>
        <v>0.99930546342218085</v>
      </c>
      <c r="X157" s="44">
        <f ca="1">(IF(G157&gt;=Inputs!$E$15,1,IF(N157&lt;=Inputs!$C$46,Inputs!$D$46,IF(N157&lt;=Inputs!$C$47,Inputs!$D$47,Inputs!$D$48))))*((Inputs!$B$31+(S157-0.5)*2*Inputs!$B$53)/Inputs!$B$31)</f>
        <v>0.59968446757653893</v>
      </c>
      <c r="Y157" s="44">
        <f ca="1">(IF(H157&gt;=Inputs!$E$16,1,IF(O157&lt;=Inputs!$C$46,Inputs!$D$46,IF(O157&lt;=Inputs!$C$47,Inputs!$D$47,Inputs!$D$48))))*((Inputs!$B$32+(T157-0.5)*2*Inputs!$B$53)/Inputs!$B$32)</f>
        <v>1.0001454568404113</v>
      </c>
      <c r="Z157" s="45">
        <f ca="1">ILP_A_CostFocused!$C$9*U157+ILP_A_CostFocused!$C$10*V157+ILP_A_CostFocused!$C$11*W157+ILP_A_CostFocused!$C$12*X157+ILP_A_CostFocused!$C$13*Y157</f>
        <v>13684.83558710662</v>
      </c>
      <c r="AA157" s="45">
        <f ca="1">ILP_A_CostFocused!$D$9*U157+ILP_A_CostFocused!$D$10*V157+ILP_A_CostFocused!$D$11*W157+ILP_A_CostFocused!$D$12*X157+ILP_A_CostFocused!$D$13*Y157</f>
        <v>14546.679436905093</v>
      </c>
      <c r="AB157" s="45">
        <f ca="1">ILP_A_CostFocused!$E$9*U157+ILP_A_CostFocused!$E$10*V157+ILP_A_CostFocused!$E$11*W157+ILP_A_CostFocused!$E$12*X157+ILP_A_CostFocused!$E$13*Y157</f>
        <v>11986.601901520753</v>
      </c>
      <c r="AC157" s="45">
        <f ca="1">Inputs!$B$6*$C157</f>
        <v>18000</v>
      </c>
      <c r="AD157" s="45">
        <f ca="1">Inputs!$B$7*$C157</f>
        <v>15000</v>
      </c>
      <c r="AE157" s="45">
        <f ca="1">Inputs!$B$8*$C157</f>
        <v>12000</v>
      </c>
      <c r="AF157" s="45">
        <f t="shared" ca="1" si="103"/>
        <v>4315.1644128933804</v>
      </c>
      <c r="AG157" s="45">
        <f t="shared" ca="1" si="104"/>
        <v>453.3205630949069</v>
      </c>
      <c r="AH157" s="45">
        <f t="shared" ca="1" si="105"/>
        <v>13.398098479246983</v>
      </c>
      <c r="AI157" s="45">
        <f t="shared" ca="1" si="106"/>
        <v>4781.8830744675342</v>
      </c>
      <c r="AJ157" s="45">
        <f ca="1">U157*(Inputs!$B$12-ILP_A_CostFocused!$F$9)+V157*(Inputs!$B$13-ILP_A_CostFocused!$F$10)+W157*(Inputs!$B$14-ILP_A_CostFocused!$F$11)+X157*(Inputs!$B$15-ILP_A_CostFocused!$F$12)+Y157*(Inputs!$B$16-ILP_A_CostFocused!$F$13)</f>
        <v>24926.090851835739</v>
      </c>
      <c r="AK157" s="45">
        <f t="shared" ca="1" si="107"/>
        <v>4781.8830744675342</v>
      </c>
      <c r="AL157" s="45">
        <f t="shared" ca="1" si="108"/>
        <v>0</v>
      </c>
      <c r="AM157" s="45">
        <f t="shared" ca="1" si="109"/>
        <v>0</v>
      </c>
      <c r="AN157" s="45">
        <f t="shared" ca="1" si="110"/>
        <v>0</v>
      </c>
      <c r="AO157" s="45">
        <f ca="1">MIN(AL157,Inputs!$B$36)</f>
        <v>0</v>
      </c>
      <c r="AP157" s="45">
        <f ca="1">MIN(AN157,Inputs!$B$36-AO157)</f>
        <v>0</v>
      </c>
      <c r="AQ157" s="45">
        <f ca="1">MIN(AM157,Inputs!$B$36-AO157-AP157)</f>
        <v>0</v>
      </c>
      <c r="AR157" s="45">
        <f t="shared" ca="1" si="111"/>
        <v>0</v>
      </c>
      <c r="AS157" s="45">
        <f t="shared" ca="1" si="112"/>
        <v>0</v>
      </c>
      <c r="AT157" s="45">
        <f t="shared" ca="1" si="113"/>
        <v>0</v>
      </c>
      <c r="AU157" s="45">
        <f t="shared" ca="1" si="114"/>
        <v>0</v>
      </c>
      <c r="AV157" s="46">
        <f ca="1">AU157*Inputs!$B$35</f>
        <v>0</v>
      </c>
      <c r="AW157" s="46">
        <f ca="1">AR157*Inputs!$C$6+AT157*Inputs!$C$7+AS157*Inputs!$C$8</f>
        <v>0</v>
      </c>
      <c r="AX157" s="46">
        <f t="shared" ca="1" si="115"/>
        <v>42451070.989790283</v>
      </c>
      <c r="AY157" s="46">
        <f ca="1">IF(J157&gt;1,($CD$4)*Inputs!$B$55*((Z157+AA157+AB157)/(SUM(ILP_A_CostFocused!$C$9:$E$13))),0)</f>
        <v>0</v>
      </c>
      <c r="AZ157" s="46">
        <f t="shared" ca="1" si="116"/>
        <v>0</v>
      </c>
      <c r="BA157" s="41">
        <f t="shared" ca="1" si="117"/>
        <v>0</v>
      </c>
      <c r="BB157" s="41">
        <f t="shared" ca="1" si="118"/>
        <v>1</v>
      </c>
      <c r="BC157" s="41">
        <f t="shared" ca="1" si="119"/>
        <v>1</v>
      </c>
      <c r="BD157" s="41">
        <f t="shared" ca="1" si="120"/>
        <v>1</v>
      </c>
    </row>
  </sheetData>
  <mergeCells count="3">
    <mergeCell ref="A1:J1"/>
    <mergeCell ref="A2:T2"/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D157"/>
  <sheetViews>
    <sheetView showGridLines="0" zoomScaleNormal="100" workbookViewId="0">
      <pane ySplit="7" topLeftCell="A150" activePane="bottomLeft" state="frozen"/>
      <selection pane="bottomLeft" sqref="A1:J1"/>
    </sheetView>
  </sheetViews>
  <sheetFormatPr defaultColWidth="8.6640625" defaultRowHeight="14.4" outlineLevelCol="1" x14ac:dyDescent="0.3"/>
  <cols>
    <col min="1" max="3" width="7" customWidth="1"/>
    <col min="4" max="25" width="9" customWidth="1" outlineLevel="1"/>
    <col min="26" max="56" width="9" customWidth="1"/>
  </cols>
  <sheetData>
    <row r="1" spans="1:82" ht="21.75" customHeight="1" x14ac:dyDescent="0.3">
      <c r="A1" s="47" t="s">
        <v>240</v>
      </c>
      <c r="B1" s="47"/>
      <c r="C1" s="47"/>
      <c r="D1" s="47"/>
      <c r="E1" s="47"/>
      <c r="F1" s="47"/>
      <c r="G1" s="47"/>
      <c r="H1" s="47"/>
      <c r="I1" s="47"/>
      <c r="J1" s="47"/>
    </row>
    <row r="2" spans="1:82" ht="45.75" customHeight="1" x14ac:dyDescent="0.3">
      <c r="A2" s="48" t="s">
        <v>241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82" ht="15" customHeight="1" x14ac:dyDescent="0.3">
      <c r="BZ3" s="34" t="s">
        <v>168</v>
      </c>
      <c r="CA3" s="35" t="s">
        <v>169</v>
      </c>
      <c r="CB3" s="35" t="s">
        <v>170</v>
      </c>
      <c r="CC3" s="35" t="s">
        <v>171</v>
      </c>
      <c r="CD3" s="35" t="s">
        <v>172</v>
      </c>
    </row>
    <row r="4" spans="1:82" ht="15" customHeight="1" x14ac:dyDescent="0.3">
      <c r="A4" s="56" t="s">
        <v>173</v>
      </c>
      <c r="B4" s="56"/>
      <c r="C4" s="56"/>
      <c r="D4" s="56"/>
      <c r="E4" s="56"/>
      <c r="F4" s="56"/>
      <c r="G4" s="56"/>
      <c r="H4" s="56"/>
      <c r="I4" s="56"/>
      <c r="J4" s="56"/>
      <c r="CA4" s="36">
        <f>IFERROR(SUMPRODUCT(ILP_B_Moderate!$C$9:$C$13,ILP_B_Moderate!$B$36:$B$40)/SUM(ILP_B_Moderate!$C$9:$C$13),0)</f>
        <v>1031.5272517522094</v>
      </c>
      <c r="CB4" s="36">
        <f>IFERROR(SUMPRODUCT(ILP_B_Moderate!$D$9:$D$13,ILP_B_Moderate!$C$36:$C$40)/SUM(ILP_B_Moderate!$D$9:$D$13),0)</f>
        <v>1052.0493178664692</v>
      </c>
      <c r="CC4" s="36">
        <f>IFERROR(SUMPRODUCT(ILP_B_Moderate!$E$9:$E$13,ILP_B_Moderate!$D$36:$D$40)/SUM(ILP_B_Moderate!$E$9:$E$13),0)</f>
        <v>1101.7114793014541</v>
      </c>
      <c r="CD4" s="36">
        <f>(SUMPRODUCT(ILP_B_Moderate!$C$9:$C$13,Inputs!$B$20:$B$24))+(SUMPRODUCT(ILP_B_Moderate!$D$9:$D$13,Inputs!$C$20:$C$24))+(SUMPRODUCT(ILP_B_Moderate!$E$9:$E$13,Inputs!$D$20:$D$24))</f>
        <v>2282840</v>
      </c>
    </row>
    <row r="5" spans="1:82" ht="30" customHeight="1" x14ac:dyDescent="0.3">
      <c r="A5" s="37" t="s">
        <v>174</v>
      </c>
      <c r="B5" s="37" t="s">
        <v>175</v>
      </c>
      <c r="C5" s="37" t="s">
        <v>176</v>
      </c>
      <c r="D5" s="37" t="s">
        <v>177</v>
      </c>
      <c r="E5" s="37" t="s">
        <v>178</v>
      </c>
      <c r="F5" s="37" t="s">
        <v>179</v>
      </c>
      <c r="G5" s="37" t="s">
        <v>180</v>
      </c>
      <c r="H5" s="37" t="s">
        <v>181</v>
      </c>
      <c r="I5" s="37" t="s">
        <v>182</v>
      </c>
      <c r="J5" s="37" t="s">
        <v>183</v>
      </c>
    </row>
    <row r="6" spans="1:82" ht="3.75" customHeight="1" x14ac:dyDescent="0.3">
      <c r="A6" s="38">
        <f ca="1">AVERAGE(BA8:BA157)</f>
        <v>0</v>
      </c>
      <c r="B6" s="39">
        <f ca="1">AVERAGE(AU8:AU157)</f>
        <v>28.293753797359727</v>
      </c>
      <c r="C6" s="39">
        <f ca="1">AVERAGE(AR8:AR157)+AVERAGE(AT8:AT157)+AVERAGE(AS8:AS157)</f>
        <v>0</v>
      </c>
      <c r="D6" s="40">
        <f ca="1">AVERAGE(AV8:AV157)</f>
        <v>43855.318385907573</v>
      </c>
      <c r="E6" s="40">
        <f ca="1">AVERAGE(AW8:AW157)</f>
        <v>0</v>
      </c>
      <c r="F6" s="40">
        <f ca="1">AVERAGE(AX8:AX157)+AVERAGE(AY8:AY157)</f>
        <v>44270527.016507797</v>
      </c>
      <c r="G6" s="40">
        <f ca="1">AVERAGE(AZ8:AZ157)</f>
        <v>43855.318385907573</v>
      </c>
      <c r="H6" s="38">
        <f ca="1">AVERAGE(BB8:BB157)</f>
        <v>1</v>
      </c>
      <c r="I6" s="38">
        <f ca="1">AVERAGE(BC8:BC157)</f>
        <v>1</v>
      </c>
      <c r="J6" s="38">
        <f ca="1">AVERAGE(BD8:BD157)</f>
        <v>1</v>
      </c>
    </row>
    <row r="7" spans="1:82" ht="33.75" customHeight="1" x14ac:dyDescent="0.3">
      <c r="A7" s="37" t="s">
        <v>184</v>
      </c>
      <c r="B7" s="37" t="s">
        <v>185</v>
      </c>
      <c r="C7" s="37" t="s">
        <v>186</v>
      </c>
      <c r="D7" s="37" t="s">
        <v>187</v>
      </c>
      <c r="E7" s="37" t="s">
        <v>188</v>
      </c>
      <c r="F7" s="37" t="s">
        <v>189</v>
      </c>
      <c r="G7" s="37" t="s">
        <v>190</v>
      </c>
      <c r="H7" s="37" t="s">
        <v>191</v>
      </c>
      <c r="I7" s="37" t="s">
        <v>192</v>
      </c>
      <c r="J7" s="37" t="s">
        <v>193</v>
      </c>
      <c r="K7" s="37" t="s">
        <v>194</v>
      </c>
      <c r="L7" s="37" t="s">
        <v>195</v>
      </c>
      <c r="M7" s="37" t="s">
        <v>196</v>
      </c>
      <c r="N7" s="37" t="s">
        <v>197</v>
      </c>
      <c r="O7" s="37" t="s">
        <v>198</v>
      </c>
      <c r="P7" s="37" t="s">
        <v>199</v>
      </c>
      <c r="Q7" s="37" t="s">
        <v>200</v>
      </c>
      <c r="R7" s="37" t="s">
        <v>201</v>
      </c>
      <c r="S7" s="37" t="s">
        <v>202</v>
      </c>
      <c r="T7" s="37" t="s">
        <v>203</v>
      </c>
      <c r="U7" s="37" t="s">
        <v>204</v>
      </c>
      <c r="V7" s="37" t="s">
        <v>205</v>
      </c>
      <c r="W7" s="37" t="s">
        <v>206</v>
      </c>
      <c r="X7" s="37" t="s">
        <v>207</v>
      </c>
      <c r="Y7" s="37" t="s">
        <v>208</v>
      </c>
      <c r="Z7" s="37" t="s">
        <v>209</v>
      </c>
      <c r="AA7" s="37" t="s">
        <v>210</v>
      </c>
      <c r="AB7" s="37" t="s">
        <v>211</v>
      </c>
      <c r="AC7" s="37" t="s">
        <v>212</v>
      </c>
      <c r="AD7" s="37" t="s">
        <v>213</v>
      </c>
      <c r="AE7" s="37" t="s">
        <v>214</v>
      </c>
      <c r="AF7" s="37" t="s">
        <v>215</v>
      </c>
      <c r="AG7" s="37" t="s">
        <v>216</v>
      </c>
      <c r="AH7" s="37" t="s">
        <v>217</v>
      </c>
      <c r="AI7" s="37" t="s">
        <v>218</v>
      </c>
      <c r="AJ7" s="37" t="s">
        <v>219</v>
      </c>
      <c r="AK7" s="37" t="s">
        <v>220</v>
      </c>
      <c r="AL7" s="37" t="s">
        <v>221</v>
      </c>
      <c r="AM7" s="37" t="s">
        <v>222</v>
      </c>
      <c r="AN7" s="37" t="s">
        <v>223</v>
      </c>
      <c r="AO7" s="37" t="s">
        <v>224</v>
      </c>
      <c r="AP7" s="37" t="s">
        <v>225</v>
      </c>
      <c r="AQ7" s="37" t="s">
        <v>226</v>
      </c>
      <c r="AR7" s="37" t="s">
        <v>227</v>
      </c>
      <c r="AS7" s="37" t="s">
        <v>228</v>
      </c>
      <c r="AT7" s="37" t="s">
        <v>229</v>
      </c>
      <c r="AU7" s="37" t="s">
        <v>230</v>
      </c>
      <c r="AV7" s="37" t="s">
        <v>231</v>
      </c>
      <c r="AW7" s="37" t="s">
        <v>232</v>
      </c>
      <c r="AX7" s="37" t="s">
        <v>233</v>
      </c>
      <c r="AY7" s="37" t="s">
        <v>234</v>
      </c>
      <c r="AZ7" s="37" t="s">
        <v>235</v>
      </c>
      <c r="BA7" s="37" t="s">
        <v>236</v>
      </c>
      <c r="BB7" s="37" t="s">
        <v>237</v>
      </c>
      <c r="BC7" s="37" t="s">
        <v>238</v>
      </c>
      <c r="BD7" s="37" t="s">
        <v>239</v>
      </c>
    </row>
    <row r="8" spans="1:82" ht="15" customHeight="1" x14ac:dyDescent="0.3">
      <c r="A8" s="41">
        <v>1</v>
      </c>
      <c r="B8" s="42">
        <f t="shared" ref="B8:B39" ca="1" si="0">RAND()</f>
        <v>0.46520117857627741</v>
      </c>
      <c r="C8" s="43">
        <f ca="1">IF(B8&lt;=Inputs!$C$40,Inputs!$D$40,IF(B8&lt;=Inputs!$C$41,Inputs!$D$41,Inputs!$D$42))</f>
        <v>1</v>
      </c>
      <c r="D8" s="42">
        <f t="shared" ref="D8:I17" ca="1" si="1">RAND()</f>
        <v>0.2032360153196946</v>
      </c>
      <c r="E8" s="42">
        <f t="shared" ca="1" si="1"/>
        <v>6.5413575275268143E-2</v>
      </c>
      <c r="F8" s="42">
        <f t="shared" ca="1" si="1"/>
        <v>0.65158474713443371</v>
      </c>
      <c r="G8" s="42">
        <f t="shared" ca="1" si="1"/>
        <v>3.8902731817901381E-3</v>
      </c>
      <c r="H8" s="42">
        <f t="shared" ca="1" si="1"/>
        <v>0.26203810885612333</v>
      </c>
      <c r="I8" s="42">
        <f t="shared" ca="1" si="1"/>
        <v>0.71060526068303542</v>
      </c>
      <c r="J8" s="43">
        <f ca="1">IF(I8&lt;Inputs!$B$54,1+Inputs!$B$55,1)</f>
        <v>1</v>
      </c>
      <c r="K8" s="42">
        <f t="shared" ref="K8:T17" ca="1" si="2">RAND()</f>
        <v>0.12101007330613289</v>
      </c>
      <c r="L8" s="42">
        <f t="shared" ca="1" si="2"/>
        <v>0.26120739103417479</v>
      </c>
      <c r="M8" s="42">
        <f t="shared" ca="1" si="2"/>
        <v>0.31727716064436284</v>
      </c>
      <c r="N8" s="42">
        <f t="shared" ca="1" si="2"/>
        <v>0.50327881759701454</v>
      </c>
      <c r="O8" s="42">
        <f t="shared" ca="1" si="2"/>
        <v>0.70687742695230982</v>
      </c>
      <c r="P8" s="42">
        <f t="shared" ca="1" si="2"/>
        <v>0.15929735167831172</v>
      </c>
      <c r="Q8" s="42">
        <f t="shared" ca="1" si="2"/>
        <v>0.16129345694685848</v>
      </c>
      <c r="R8" s="42">
        <f t="shared" ca="1" si="2"/>
        <v>0.36947634600556722</v>
      </c>
      <c r="S8" s="42">
        <f t="shared" ca="1" si="2"/>
        <v>0.73266137401633635</v>
      </c>
      <c r="T8" s="42">
        <f t="shared" ca="1" si="2"/>
        <v>9.7123678743367692E-2</v>
      </c>
      <c r="U8" s="44">
        <f ca="1">(IF(D8&gt;=Inputs!$E$12,1,IF(K8&lt;=Inputs!$C$46,Inputs!$D$46,IF(K8&lt;=Inputs!$C$47,Inputs!$D$47,Inputs!$D$48))))*((Inputs!$B$28+(P8-0.5)*2*Inputs!$B$53)/Inputs!$B$28)</f>
        <v>0.99655159262832294</v>
      </c>
      <c r="V8" s="44">
        <f ca="1">(IF(E8&gt;=Inputs!$E$13,1,IF(L8&lt;=Inputs!$C$46,Inputs!$D$46,IF(L8&lt;=Inputs!$C$47,Inputs!$D$47,Inputs!$D$48))))*((Inputs!$B$29+(Q8-0.5)*2*Inputs!$B$53)/Inputs!$B$29)</f>
        <v>0.59795137171540436</v>
      </c>
      <c r="W8" s="44">
        <f ca="1">(IF(F8&gt;=Inputs!$E$14,1,IF(M8&lt;=Inputs!$C$46,Inputs!$D$46,IF(M8&lt;=Inputs!$C$47,Inputs!$D$47,Inputs!$D$48))))*((Inputs!$B$30+(R8-0.5)*2*Inputs!$B$53)/Inputs!$B$30)</f>
        <v>0.99868820448246809</v>
      </c>
      <c r="X8" s="44">
        <f ca="1">(IF(G8&gt;=Inputs!$E$15,1,IF(N8&lt;=Inputs!$C$46,Inputs!$D$46,IF(N8&lt;=Inputs!$C$47,Inputs!$D$47,Inputs!$D$48))))*((Inputs!$B$31+(S8-0.5)*2*Inputs!$B$53)/Inputs!$B$31)</f>
        <v>0.30070861332187721</v>
      </c>
      <c r="Y8" s="44">
        <f ca="1">(IF(H8&gt;=Inputs!$E$16,1,IF(O8&lt;=Inputs!$C$46,Inputs!$D$46,IF(O8&lt;=Inputs!$C$47,Inputs!$D$47,Inputs!$D$48))))*((Inputs!$B$32+(T8-0.5)*2*Inputs!$B$53)/Inputs!$B$32)</f>
        <v>0.99594691829721704</v>
      </c>
      <c r="Z8" s="45">
        <f ca="1">ILP_B_Moderate!$C$9*U8+ILP_B_Moderate!$C$10*V8+ILP_B_Moderate!$C$11*W8+ILP_B_Moderate!$C$12*X8+ILP_B_Moderate!$C$13*Y8</f>
        <v>10131.961798176981</v>
      </c>
      <c r="AA8" s="45">
        <f ca="1">ILP_B_Moderate!$D$9*U8+ILP_B_Moderate!$D$10*V8+ILP_B_Moderate!$D$11*W8+ILP_B_Moderate!$D$12*X8+ILP_B_Moderate!$D$13*Y8</f>
        <v>9996.4950309337783</v>
      </c>
      <c r="AB8" s="45">
        <f ca="1">ILP_B_Moderate!$E$9*U8+ILP_B_Moderate!$E$10*V8+ILP_B_Moderate!$E$11*W8+ILP_B_Moderate!$E$12*X8+ILP_B_Moderate!$E$13*Y8</f>
        <v>10953.634270353399</v>
      </c>
      <c r="AC8" s="45">
        <f ca="1">Inputs!$B$6*$C8</f>
        <v>18000</v>
      </c>
      <c r="AD8" s="45">
        <f ca="1">Inputs!$B$7*$C8</f>
        <v>15000</v>
      </c>
      <c r="AE8" s="45">
        <f ca="1">Inputs!$B$8*$C8</f>
        <v>12000</v>
      </c>
      <c r="AF8" s="45">
        <f t="shared" ref="AF8:AF39" ca="1" si="3">MAX(0,AC8-Z8)</f>
        <v>7868.0382018230193</v>
      </c>
      <c r="AG8" s="45">
        <f t="shared" ref="AG8:AG39" ca="1" si="4">MAX(0,AD8-AA8)</f>
        <v>5003.5049690662217</v>
      </c>
      <c r="AH8" s="45">
        <f t="shared" ref="AH8:AH39" ca="1" si="5">MAX(0,AE8-AB8)</f>
        <v>1046.3657296466008</v>
      </c>
      <c r="AI8" s="45">
        <f t="shared" ref="AI8:AI39" ca="1" si="6">SUM(AF8:AH8)</f>
        <v>13917.908900535842</v>
      </c>
      <c r="AJ8" s="45">
        <f ca="1">U8*(Inputs!$B$12-ILP_B_Moderate!$F$9)+V8*(Inputs!$B$13-ILP_B_Moderate!$F$10)+W8*(Inputs!$B$14-ILP_B_Moderate!$F$11)+X8*(Inputs!$B$15-ILP_B_Moderate!$F$12)+Y8*(Inputs!$B$16-ILP_B_Moderate!$F$13)</f>
        <v>24764.707379197538</v>
      </c>
      <c r="AK8" s="45">
        <f t="shared" ref="AK8:AK39" ca="1" si="7">MIN(AI8,MAX(0,AJ8))</f>
        <v>13917.908900535842</v>
      </c>
      <c r="AL8" s="45">
        <f t="shared" ref="AL8:AL39" ca="1" si="8">AF8*(1-(IF(AI8&gt;0,AK8/AI8,0)))</f>
        <v>0</v>
      </c>
      <c r="AM8" s="45">
        <f t="shared" ref="AM8:AM39" ca="1" si="9">AG8*(1-(IF(AI8&gt;0,AK8/AI8,0)))</f>
        <v>0</v>
      </c>
      <c r="AN8" s="45">
        <f t="shared" ref="AN8:AN39" ca="1" si="10">AH8*(1-(IF(AI8&gt;0,AK8/AI8,0)))</f>
        <v>0</v>
      </c>
      <c r="AO8" s="45">
        <f ca="1">MIN(AL8,Inputs!$B$36)</f>
        <v>0</v>
      </c>
      <c r="AP8" s="45">
        <f ca="1">MIN(AN8,Inputs!$B$36-AO8)</f>
        <v>0</v>
      </c>
      <c r="AQ8" s="45">
        <f ca="1">MIN(AM8,Inputs!$B$36-AO8-AP8)</f>
        <v>0</v>
      </c>
      <c r="AR8" s="45">
        <f t="shared" ref="AR8:AR39" ca="1" si="11">AL8-AO8</f>
        <v>0</v>
      </c>
      <c r="AS8" s="45">
        <f t="shared" ref="AS8:AS39" ca="1" si="12">AN8-AP8</f>
        <v>0</v>
      </c>
      <c r="AT8" s="45">
        <f t="shared" ref="AT8:AT39" ca="1" si="13">AM8-AQ8</f>
        <v>0</v>
      </c>
      <c r="AU8" s="45">
        <f t="shared" ref="AU8:AU39" ca="1" si="14">AO8+AP8+AQ8</f>
        <v>0</v>
      </c>
      <c r="AV8" s="46">
        <f ca="1">AU8*Inputs!$B$35</f>
        <v>0</v>
      </c>
      <c r="AW8" s="46">
        <f ca="1">AR8*Inputs!$C$6+AT8*Inputs!$C$7+AS8*Inputs!$C$8</f>
        <v>0</v>
      </c>
      <c r="AX8" s="46">
        <f t="shared" ref="AX8:AX39" ca="1" si="15">Z8*$CA$4+AA8*$CB$4+AB8*$CC$4</f>
        <v>33035945.102599457</v>
      </c>
      <c r="AY8" s="46">
        <f ca="1">IF(J8&gt;1,($CD$4)*Inputs!$B$55*((Z8+AA8+AB8)/(SUM(ILP_B_Moderate!$C$9:$E$13))),0)</f>
        <v>0</v>
      </c>
      <c r="AZ8" s="46">
        <f t="shared" ref="AZ8:AZ39" ca="1" si="16">AV8+AW8</f>
        <v>0</v>
      </c>
      <c r="BA8" s="41">
        <f t="shared" ref="BA8:BA39" ca="1" si="17">IF(AR8+AT8+AS8&gt;0,1,0)</f>
        <v>0</v>
      </c>
      <c r="BB8" s="41">
        <f t="shared" ref="BB8:BB39" ca="1" si="18">IF(AR8=0,1,0)</f>
        <v>1</v>
      </c>
      <c r="BC8" s="41">
        <f t="shared" ref="BC8:BC39" ca="1" si="19">IF(AT8=0,1,0)</f>
        <v>1</v>
      </c>
      <c r="BD8" s="41">
        <f t="shared" ref="BD8:BD39" ca="1" si="20">IF(AS8=0,1,0)</f>
        <v>1</v>
      </c>
    </row>
    <row r="9" spans="1:82" ht="15" customHeight="1" x14ac:dyDescent="0.3">
      <c r="A9" s="41">
        <v>2</v>
      </c>
      <c r="B9" s="42">
        <f t="shared" ca="1" si="0"/>
        <v>9.6080320983769729E-2</v>
      </c>
      <c r="C9" s="43">
        <f ca="1">IF(B9&lt;=Inputs!$C$40,Inputs!$D$40,IF(B9&lt;=Inputs!$C$41,Inputs!$D$41,Inputs!$D$42))</f>
        <v>0.9</v>
      </c>
      <c r="D9" s="42">
        <f t="shared" ca="1" si="1"/>
        <v>0.42320005867340016</v>
      </c>
      <c r="E9" s="42">
        <f t="shared" ca="1" si="1"/>
        <v>0.12690358724534012</v>
      </c>
      <c r="F9" s="42">
        <f t="shared" ca="1" si="1"/>
        <v>0.28654159071584318</v>
      </c>
      <c r="G9" s="42">
        <f t="shared" ca="1" si="1"/>
        <v>0.77679698989134083</v>
      </c>
      <c r="H9" s="42">
        <f t="shared" ca="1" si="1"/>
        <v>0.52324138547308752</v>
      </c>
      <c r="I9" s="42">
        <f t="shared" ca="1" si="1"/>
        <v>0.28368800246633108</v>
      </c>
      <c r="J9" s="43">
        <f ca="1">IF(I9&lt;Inputs!$B$54,1+Inputs!$B$55,1)</f>
        <v>1</v>
      </c>
      <c r="K9" s="42">
        <f t="shared" ca="1" si="2"/>
        <v>0.33213702021104952</v>
      </c>
      <c r="L9" s="42">
        <f t="shared" ca="1" si="2"/>
        <v>0.70671575883770987</v>
      </c>
      <c r="M9" s="42">
        <f t="shared" ca="1" si="2"/>
        <v>0.89569415251269213</v>
      </c>
      <c r="N9" s="42">
        <f t="shared" ca="1" si="2"/>
        <v>1.6506590091670881E-2</v>
      </c>
      <c r="O9" s="42">
        <f t="shared" ca="1" si="2"/>
        <v>0.50905538483896318</v>
      </c>
      <c r="P9" s="42">
        <f t="shared" ca="1" si="2"/>
        <v>0.31365239588612792</v>
      </c>
      <c r="Q9" s="42">
        <f t="shared" ca="1" si="2"/>
        <v>0.71120764944229464</v>
      </c>
      <c r="R9" s="42">
        <f t="shared" ca="1" si="2"/>
        <v>7.9355127869108588E-2</v>
      </c>
      <c r="S9" s="42">
        <f t="shared" ca="1" si="2"/>
        <v>0.45818173838262477</v>
      </c>
      <c r="T9" s="42">
        <f t="shared" ca="1" si="2"/>
        <v>0.63535494544246163</v>
      </c>
      <c r="U9" s="44">
        <f ca="1">(IF(D9&gt;=Inputs!$E$12,1,IF(K9&lt;=Inputs!$C$46,Inputs!$D$46,IF(K9&lt;=Inputs!$C$47,Inputs!$D$47,Inputs!$D$48))))*((Inputs!$B$28+(P9-0.5)*2*Inputs!$B$53)/Inputs!$B$28)</f>
        <v>0.99811389064662082</v>
      </c>
      <c r="V9" s="44">
        <f ca="1">(IF(E9&gt;=Inputs!$E$13,1,IF(L9&lt;=Inputs!$C$46,Inputs!$D$46,IF(L9&lt;=Inputs!$C$47,Inputs!$D$47,Inputs!$D$48))))*((Inputs!$B$29+(Q9-0.5)*2*Inputs!$B$53)/Inputs!$B$29)</f>
        <v>1.0021291093693778</v>
      </c>
      <c r="W9" s="44">
        <f ca="1">(IF(F9&gt;=Inputs!$E$14,1,IF(M9&lt;=Inputs!$C$46,Inputs!$D$46,IF(M9&lt;=Inputs!$C$47,Inputs!$D$47,Inputs!$D$48))))*((Inputs!$B$30+(R9-0.5)*2*Inputs!$B$53)/Inputs!$B$30)</f>
        <v>0.99577241334541811</v>
      </c>
      <c r="X9" s="44">
        <f ca="1">(IF(G9&gt;=Inputs!$E$15,1,IF(N9&lt;=Inputs!$C$46,Inputs!$D$46,IF(N9&lt;=Inputs!$C$47,Inputs!$D$47,Inputs!$D$48))))*((Inputs!$B$31+(S9-0.5)*2*Inputs!$B$53)/Inputs!$B$31)</f>
        <v>0.99957544912063578</v>
      </c>
      <c r="Y9" s="44">
        <f ca="1">(IF(H9&gt;=Inputs!$E$16,1,IF(O9&lt;=Inputs!$C$46,Inputs!$D$46,IF(O9&lt;=Inputs!$C$47,Inputs!$D$47,Inputs!$D$48))))*((Inputs!$B$32+(T9-0.5)*2*Inputs!$B$53)/Inputs!$B$32)</f>
        <v>1.0013617197730629</v>
      </c>
      <c r="Z9" s="45">
        <f ca="1">ILP_B_Moderate!$C$9*U9+ILP_B_Moderate!$C$10*V9+ILP_B_Moderate!$C$11*W9+ILP_B_Moderate!$C$12*X9+ILP_B_Moderate!$C$13*Y9</f>
        <v>17994.750984799823</v>
      </c>
      <c r="AA9" s="45">
        <f ca="1">ILP_B_Moderate!$D$9*U9+ILP_B_Moderate!$D$10*V9+ILP_B_Moderate!$D$11*W9+ILP_B_Moderate!$D$12*X9+ILP_B_Moderate!$D$13*Y9</f>
        <v>15005.944095016714</v>
      </c>
      <c r="AB9" s="45">
        <f ca="1">ILP_B_Moderate!$E$9*U9+ILP_B_Moderate!$E$10*V9+ILP_B_Moderate!$E$11*W9+ILP_B_Moderate!$E$12*X9+ILP_B_Moderate!$E$13*Y9</f>
        <v>11998.784414742429</v>
      </c>
      <c r="AC9" s="45">
        <f ca="1">Inputs!$B$6*$C9</f>
        <v>16200</v>
      </c>
      <c r="AD9" s="45">
        <f ca="1">Inputs!$B$7*$C9</f>
        <v>13500</v>
      </c>
      <c r="AE9" s="45">
        <f ca="1">Inputs!$B$8*$C9</f>
        <v>10800</v>
      </c>
      <c r="AF9" s="45">
        <f t="shared" ca="1" si="3"/>
        <v>0</v>
      </c>
      <c r="AG9" s="45">
        <f t="shared" ca="1" si="4"/>
        <v>0</v>
      </c>
      <c r="AH9" s="45">
        <f t="shared" ca="1" si="5"/>
        <v>0</v>
      </c>
      <c r="AI9" s="45">
        <f t="shared" ca="1" si="6"/>
        <v>0</v>
      </c>
      <c r="AJ9" s="45">
        <f ca="1">U9*(Inputs!$B$12-ILP_B_Moderate!$F$9)+V9*(Inputs!$B$13-ILP_B_Moderate!$F$10)+W9*(Inputs!$B$14-ILP_B_Moderate!$F$11)+X9*(Inputs!$B$15-ILP_B_Moderate!$F$12)+Y9*(Inputs!$B$16-ILP_B_Moderate!$F$13)</f>
        <v>24960.522846492262</v>
      </c>
      <c r="AK9" s="45">
        <f t="shared" ca="1" si="7"/>
        <v>0</v>
      </c>
      <c r="AL9" s="45">
        <f t="shared" ca="1" si="8"/>
        <v>0</v>
      </c>
      <c r="AM9" s="45">
        <f t="shared" ca="1" si="9"/>
        <v>0</v>
      </c>
      <c r="AN9" s="45">
        <f t="shared" ca="1" si="10"/>
        <v>0</v>
      </c>
      <c r="AO9" s="45">
        <f ca="1">MIN(AL9,Inputs!$B$36)</f>
        <v>0</v>
      </c>
      <c r="AP9" s="45">
        <f ca="1">MIN(AN9,Inputs!$B$36-AO9)</f>
        <v>0</v>
      </c>
      <c r="AQ9" s="45">
        <f ca="1">MIN(AM9,Inputs!$B$36-AO9-AP9)</f>
        <v>0</v>
      </c>
      <c r="AR9" s="45">
        <f t="shared" ca="1" si="11"/>
        <v>0</v>
      </c>
      <c r="AS9" s="45">
        <f t="shared" ca="1" si="12"/>
        <v>0</v>
      </c>
      <c r="AT9" s="45">
        <f t="shared" ca="1" si="13"/>
        <v>0</v>
      </c>
      <c r="AU9" s="45">
        <f t="shared" ca="1" si="14"/>
        <v>0</v>
      </c>
      <c r="AV9" s="46">
        <f ca="1">AU9*Inputs!$B$35</f>
        <v>0</v>
      </c>
      <c r="AW9" s="46">
        <f ca="1">AR9*Inputs!$C$6+AT9*Inputs!$C$7+AS9*Inputs!$C$8</f>
        <v>0</v>
      </c>
      <c r="AX9" s="46">
        <f t="shared" ca="1" si="15"/>
        <v>47568267.805805743</v>
      </c>
      <c r="AY9" s="46">
        <f ca="1">IF(J9&gt;1,($CD$4)*Inputs!$B$55*((Z9+AA9+AB9)/(SUM(ILP_B_Moderate!$C$9:$E$13))),0)</f>
        <v>0</v>
      </c>
      <c r="AZ9" s="46">
        <f t="shared" ca="1" si="16"/>
        <v>0</v>
      </c>
      <c r="BA9" s="41">
        <f t="shared" ca="1" si="17"/>
        <v>0</v>
      </c>
      <c r="BB9" s="41">
        <f t="shared" ca="1" si="18"/>
        <v>1</v>
      </c>
      <c r="BC9" s="41">
        <f t="shared" ca="1" si="19"/>
        <v>1</v>
      </c>
      <c r="BD9" s="41">
        <f t="shared" ca="1" si="20"/>
        <v>1</v>
      </c>
    </row>
    <row r="10" spans="1:82" ht="15" customHeight="1" x14ac:dyDescent="0.3">
      <c r="A10" s="41">
        <v>3</v>
      </c>
      <c r="B10" s="42">
        <f t="shared" ca="1" si="0"/>
        <v>0.39962122431257663</v>
      </c>
      <c r="C10" s="43">
        <f ca="1">IF(B10&lt;=Inputs!$C$40,Inputs!$D$40,IF(B10&lt;=Inputs!$C$41,Inputs!$D$41,Inputs!$D$42))</f>
        <v>1</v>
      </c>
      <c r="D10" s="42">
        <f t="shared" ca="1" si="1"/>
        <v>0.28560707356718706</v>
      </c>
      <c r="E10" s="42">
        <f t="shared" ca="1" si="1"/>
        <v>0.91508084286915736</v>
      </c>
      <c r="F10" s="42">
        <f t="shared" ca="1" si="1"/>
        <v>0.19093276979358154</v>
      </c>
      <c r="G10" s="42">
        <f t="shared" ca="1" si="1"/>
        <v>0.4405858413891508</v>
      </c>
      <c r="H10" s="42">
        <f t="shared" ca="1" si="1"/>
        <v>0.72325935132130426</v>
      </c>
      <c r="I10" s="42">
        <f t="shared" ca="1" si="1"/>
        <v>0.44370700332134438</v>
      </c>
      <c r="J10" s="43">
        <f ca="1">IF(I10&lt;Inputs!$B$54,1+Inputs!$B$55,1)</f>
        <v>1</v>
      </c>
      <c r="K10" s="42">
        <f t="shared" ca="1" si="2"/>
        <v>1.138534942467806E-2</v>
      </c>
      <c r="L10" s="42">
        <f t="shared" ca="1" si="2"/>
        <v>0.25276362236546079</v>
      </c>
      <c r="M10" s="42">
        <f t="shared" ca="1" si="2"/>
        <v>0.58717237475282724</v>
      </c>
      <c r="N10" s="42">
        <f t="shared" ca="1" si="2"/>
        <v>0.60704177421048755</v>
      </c>
      <c r="O10" s="42">
        <f t="shared" ca="1" si="2"/>
        <v>7.2642862855909485E-5</v>
      </c>
      <c r="P10" s="42">
        <f t="shared" ca="1" si="2"/>
        <v>0.3915134619079722</v>
      </c>
      <c r="Q10" s="42">
        <f t="shared" ca="1" si="2"/>
        <v>0.63918298318270872</v>
      </c>
      <c r="R10" s="42">
        <f t="shared" ca="1" si="2"/>
        <v>0.24800839027791699</v>
      </c>
      <c r="S10" s="42">
        <f t="shared" ca="1" si="2"/>
        <v>5.0011988516845407E-2</v>
      </c>
      <c r="T10" s="42">
        <f t="shared" ca="1" si="2"/>
        <v>0.88110787278382474</v>
      </c>
      <c r="U10" s="44">
        <f ca="1">(IF(D10&gt;=Inputs!$E$12,1,IF(K10&lt;=Inputs!$C$46,Inputs!$D$46,IF(K10&lt;=Inputs!$C$47,Inputs!$D$47,Inputs!$D$48))))*((Inputs!$B$28+(P10-0.5)*2*Inputs!$B$53)/Inputs!$B$28)</f>
        <v>0.99890195811647753</v>
      </c>
      <c r="V10" s="44">
        <f ca="1">(IF(E10&gt;=Inputs!$E$13,1,IF(L10&lt;=Inputs!$C$46,Inputs!$D$46,IF(L10&lt;=Inputs!$C$47,Inputs!$D$47,Inputs!$D$48))))*((Inputs!$B$29+(Q10-0.5)*2*Inputs!$B$53)/Inputs!$B$29)</f>
        <v>1.0014030542659547</v>
      </c>
      <c r="W10" s="44">
        <f ca="1">(IF(F10&gt;=Inputs!$E$14,1,IF(M10&lt;=Inputs!$C$46,Inputs!$D$46,IF(M10&lt;=Inputs!$C$47,Inputs!$D$47,Inputs!$D$48))))*((Inputs!$B$30+(R10-0.5)*2*Inputs!$B$53)/Inputs!$B$30)</f>
        <v>0.99746742100781827</v>
      </c>
      <c r="X10" s="44">
        <f ca="1">(IF(G10&gt;=Inputs!$E$15,1,IF(N10&lt;=Inputs!$C$46,Inputs!$D$46,IF(N10&lt;=Inputs!$C$47,Inputs!$D$47,Inputs!$D$48))))*((Inputs!$B$31+(S10-0.5)*2*Inputs!$B$53)/Inputs!$B$31)</f>
        <v>0.99543159379204915</v>
      </c>
      <c r="Y10" s="44">
        <f ca="1">(IF(H10&gt;=Inputs!$E$16,1,IF(O10&lt;=Inputs!$C$46,Inputs!$D$46,IF(O10&lt;=Inputs!$C$47,Inputs!$D$47,Inputs!$D$48))))*((Inputs!$B$32+(T10-0.5)*2*Inputs!$B$53)/Inputs!$B$32)</f>
        <v>1.0038340832272015</v>
      </c>
      <c r="Z10" s="45">
        <f ca="1">ILP_B_Moderate!$C$9*U10+ILP_B_Moderate!$C$10*V10+ILP_B_Moderate!$C$11*W10+ILP_B_Moderate!$C$12*X10+ILP_B_Moderate!$C$13*Y10</f>
        <v>17958.686211467517</v>
      </c>
      <c r="AA10" s="45">
        <f ca="1">ILP_B_Moderate!$D$9*U10+ILP_B_Moderate!$D$10*V10+ILP_B_Moderate!$D$11*W10+ILP_B_Moderate!$D$12*X10+ILP_B_Moderate!$D$13*Y10</f>
        <v>14992.501165473353</v>
      </c>
      <c r="AB10" s="45">
        <f ca="1">ILP_B_Moderate!$E$9*U10+ILP_B_Moderate!$E$10*V10+ILP_B_Moderate!$E$11*W10+ILP_B_Moderate!$E$12*X10+ILP_B_Moderate!$E$13*Y10</f>
        <v>12010.299779195577</v>
      </c>
      <c r="AC10" s="45">
        <f ca="1">Inputs!$B$6*$C10</f>
        <v>18000</v>
      </c>
      <c r="AD10" s="45">
        <f ca="1">Inputs!$B$7*$C10</f>
        <v>15000</v>
      </c>
      <c r="AE10" s="45">
        <f ca="1">Inputs!$B$8*$C10</f>
        <v>12000</v>
      </c>
      <c r="AF10" s="45">
        <f t="shared" ca="1" si="3"/>
        <v>41.313788532483159</v>
      </c>
      <c r="AG10" s="45">
        <f t="shared" ca="1" si="4"/>
        <v>7.498834526646533</v>
      </c>
      <c r="AH10" s="45">
        <f t="shared" ca="1" si="5"/>
        <v>0</v>
      </c>
      <c r="AI10" s="45">
        <f t="shared" ca="1" si="6"/>
        <v>48.812623059129692</v>
      </c>
      <c r="AJ10" s="45">
        <f ca="1">U10*(Inputs!$B$12-ILP_B_Moderate!$F$9)+V10*(Inputs!$B$13-ILP_B_Moderate!$F$10)+W10*(Inputs!$B$14-ILP_B_Moderate!$F$11)+X10*(Inputs!$B$15-ILP_B_Moderate!$F$12)+Y10*(Inputs!$B$16-ILP_B_Moderate!$F$13)</f>
        <v>25010.353780464808</v>
      </c>
      <c r="AK10" s="45">
        <f t="shared" ca="1" si="7"/>
        <v>48.812623059129692</v>
      </c>
      <c r="AL10" s="45">
        <f t="shared" ca="1" si="8"/>
        <v>0</v>
      </c>
      <c r="AM10" s="45">
        <f t="shared" ca="1" si="9"/>
        <v>0</v>
      </c>
      <c r="AN10" s="45">
        <f t="shared" ca="1" si="10"/>
        <v>0</v>
      </c>
      <c r="AO10" s="45">
        <f ca="1">MIN(AL10,Inputs!$B$36)</f>
        <v>0</v>
      </c>
      <c r="AP10" s="45">
        <f ca="1">MIN(AN10,Inputs!$B$36-AO10)</f>
        <v>0</v>
      </c>
      <c r="AQ10" s="45">
        <f ca="1">MIN(AM10,Inputs!$B$36-AO10-AP10)</f>
        <v>0</v>
      </c>
      <c r="AR10" s="45">
        <f t="shared" ca="1" si="11"/>
        <v>0</v>
      </c>
      <c r="AS10" s="45">
        <f t="shared" ca="1" si="12"/>
        <v>0</v>
      </c>
      <c r="AT10" s="45">
        <f t="shared" ca="1" si="13"/>
        <v>0</v>
      </c>
      <c r="AU10" s="45">
        <f t="shared" ca="1" si="14"/>
        <v>0</v>
      </c>
      <c r="AV10" s="46">
        <f ca="1">AU10*Inputs!$B$35</f>
        <v>0</v>
      </c>
      <c r="AW10" s="46">
        <f ca="1">AR10*Inputs!$C$6+AT10*Inputs!$C$7+AS10*Inputs!$C$8</f>
        <v>0</v>
      </c>
      <c r="AX10" s="46">
        <f t="shared" ca="1" si="15"/>
        <v>47529609.993635356</v>
      </c>
      <c r="AY10" s="46">
        <f ca="1">IF(J10&gt;1,($CD$4)*Inputs!$B$55*((Z10+AA10+AB10)/(SUM(ILP_B_Moderate!$C$9:$E$13))),0)</f>
        <v>0</v>
      </c>
      <c r="AZ10" s="46">
        <f t="shared" ca="1" si="16"/>
        <v>0</v>
      </c>
      <c r="BA10" s="41">
        <f t="shared" ca="1" si="17"/>
        <v>0</v>
      </c>
      <c r="BB10" s="41">
        <f t="shared" ca="1" si="18"/>
        <v>1</v>
      </c>
      <c r="BC10" s="41">
        <f t="shared" ca="1" si="19"/>
        <v>1</v>
      </c>
      <c r="BD10" s="41">
        <f t="shared" ca="1" si="20"/>
        <v>1</v>
      </c>
    </row>
    <row r="11" spans="1:82" ht="15" customHeight="1" x14ac:dyDescent="0.3">
      <c r="A11" s="41">
        <v>4</v>
      </c>
      <c r="B11" s="42">
        <f t="shared" ca="1" si="0"/>
        <v>0.12778819894478044</v>
      </c>
      <c r="C11" s="43">
        <f ca="1">IF(B11&lt;=Inputs!$C$40,Inputs!$D$40,IF(B11&lt;=Inputs!$C$41,Inputs!$D$41,Inputs!$D$42))</f>
        <v>0.9</v>
      </c>
      <c r="D11" s="42">
        <f t="shared" ca="1" si="1"/>
        <v>0.20734604019186631</v>
      </c>
      <c r="E11" s="42">
        <f t="shared" ca="1" si="1"/>
        <v>0.24658918449470513</v>
      </c>
      <c r="F11" s="42">
        <f t="shared" ca="1" si="1"/>
        <v>3.6143390333755465E-2</v>
      </c>
      <c r="G11" s="42">
        <f t="shared" ca="1" si="1"/>
        <v>0.26988695497613924</v>
      </c>
      <c r="H11" s="42">
        <f t="shared" ca="1" si="1"/>
        <v>0.87492058991650734</v>
      </c>
      <c r="I11" s="42">
        <f t="shared" ca="1" si="1"/>
        <v>0.26489971165000159</v>
      </c>
      <c r="J11" s="43">
        <f ca="1">IF(I11&lt;Inputs!$B$54,1+Inputs!$B$55,1)</f>
        <v>1</v>
      </c>
      <c r="K11" s="42">
        <f t="shared" ca="1" si="2"/>
        <v>0.7755053843892673</v>
      </c>
      <c r="L11" s="42">
        <f t="shared" ca="1" si="2"/>
        <v>0.93437224424479692</v>
      </c>
      <c r="M11" s="42">
        <f t="shared" ca="1" si="2"/>
        <v>0.61983654330117643</v>
      </c>
      <c r="N11" s="42">
        <f t="shared" ca="1" si="2"/>
        <v>0.25221761867406223</v>
      </c>
      <c r="O11" s="42">
        <f t="shared" ca="1" si="2"/>
        <v>0.47574343592588697</v>
      </c>
      <c r="P11" s="42">
        <f t="shared" ca="1" si="2"/>
        <v>0.92506375355528281</v>
      </c>
      <c r="Q11" s="42">
        <f t="shared" ca="1" si="2"/>
        <v>0.71270846976574287</v>
      </c>
      <c r="R11" s="42">
        <f t="shared" ca="1" si="2"/>
        <v>0.24955374324631863</v>
      </c>
      <c r="S11" s="42">
        <f t="shared" ca="1" si="2"/>
        <v>0.8189091634958624</v>
      </c>
      <c r="T11" s="42">
        <f t="shared" ca="1" si="2"/>
        <v>0.96210462197073665</v>
      </c>
      <c r="U11" s="44">
        <f ca="1">(IF(D11&gt;=Inputs!$E$12,1,IF(K11&lt;=Inputs!$C$46,Inputs!$D$46,IF(K11&lt;=Inputs!$C$47,Inputs!$D$47,Inputs!$D$48))))*((Inputs!$B$28+(P11-0.5)*2*Inputs!$B$53)/Inputs!$B$28)</f>
        <v>1.004302264712098</v>
      </c>
      <c r="V11" s="44">
        <f ca="1">(IF(E11&gt;=Inputs!$E$13,1,IF(L11&lt;=Inputs!$C$46,Inputs!$D$46,IF(L11&lt;=Inputs!$C$47,Inputs!$D$47,Inputs!$D$48))))*((Inputs!$B$29+(Q11-0.5)*2*Inputs!$B$53)/Inputs!$B$29)</f>
        <v>1.0021442386065096</v>
      </c>
      <c r="W11" s="44">
        <f ca="1">(IF(F11&gt;=Inputs!$E$14,1,IF(M11&lt;=Inputs!$C$46,Inputs!$D$46,IF(M11&lt;=Inputs!$C$47,Inputs!$D$47,Inputs!$D$48))))*((Inputs!$B$30+(R11-0.5)*2*Inputs!$B$53)/Inputs!$B$30)</f>
        <v>0.29924488565802909</v>
      </c>
      <c r="X11" s="44">
        <f ca="1">(IF(G11&gt;=Inputs!$E$15,1,IF(N11&lt;=Inputs!$C$46,Inputs!$D$46,IF(N11&lt;=Inputs!$C$47,Inputs!$D$47,Inputs!$D$48))))*((Inputs!$B$31+(S11-0.5)*2*Inputs!$B$53)/Inputs!$B$31)</f>
        <v>1.0032376564821914</v>
      </c>
      <c r="Y11" s="44">
        <f ca="1">(IF(H11&gt;=Inputs!$E$16,1,IF(O11&lt;=Inputs!$C$46,Inputs!$D$46,IF(O11&lt;=Inputs!$C$47,Inputs!$D$47,Inputs!$D$48))))*((Inputs!$B$32+(T11-0.5)*2*Inputs!$B$53)/Inputs!$B$32)</f>
        <v>1.0046489398588605</v>
      </c>
      <c r="Z11" s="45">
        <f ca="1">ILP_B_Moderate!$C$9*U11+ILP_B_Moderate!$C$10*V11+ILP_B_Moderate!$C$11*W11+ILP_B_Moderate!$C$12*X11+ILP_B_Moderate!$C$13*Y11</f>
        <v>18059.503413667764</v>
      </c>
      <c r="AA11" s="45">
        <f ca="1">ILP_B_Moderate!$D$9*U11+ILP_B_Moderate!$D$10*V11+ILP_B_Moderate!$D$11*W11+ILP_B_Moderate!$D$12*X11+ILP_B_Moderate!$D$13*Y11</f>
        <v>15045.34657968122</v>
      </c>
      <c r="AB11" s="45">
        <f ca="1">ILP_B_Moderate!$E$9*U11+ILP_B_Moderate!$E$10*V11+ILP_B_Moderate!$E$11*W11+ILP_B_Moderate!$E$12*X11+ILP_B_Moderate!$E$13*Y11</f>
        <v>12047.405399074836</v>
      </c>
      <c r="AC11" s="45">
        <f ca="1">Inputs!$B$6*$C11</f>
        <v>16200</v>
      </c>
      <c r="AD11" s="45">
        <f ca="1">Inputs!$B$7*$C11</f>
        <v>13500</v>
      </c>
      <c r="AE11" s="45">
        <f ca="1">Inputs!$B$8*$C11</f>
        <v>10800</v>
      </c>
      <c r="AF11" s="45">
        <f t="shared" ca="1" si="3"/>
        <v>0</v>
      </c>
      <c r="AG11" s="45">
        <f t="shared" ca="1" si="4"/>
        <v>0</v>
      </c>
      <c r="AH11" s="45">
        <f t="shared" ca="1" si="5"/>
        <v>0</v>
      </c>
      <c r="AI11" s="45">
        <f t="shared" ca="1" si="6"/>
        <v>0</v>
      </c>
      <c r="AJ11" s="45">
        <f ca="1">U11*(Inputs!$B$12-ILP_B_Moderate!$F$9)+V11*(Inputs!$B$13-ILP_B_Moderate!$F$10)+W11*(Inputs!$B$14-ILP_B_Moderate!$F$11)+X11*(Inputs!$B$15-ILP_B_Moderate!$F$12)+Y11*(Inputs!$B$16-ILP_B_Moderate!$F$13)</f>
        <v>15945.369672684463</v>
      </c>
      <c r="AK11" s="45">
        <f t="shared" ca="1" si="7"/>
        <v>0</v>
      </c>
      <c r="AL11" s="45">
        <f t="shared" ca="1" si="8"/>
        <v>0</v>
      </c>
      <c r="AM11" s="45">
        <f t="shared" ca="1" si="9"/>
        <v>0</v>
      </c>
      <c r="AN11" s="45">
        <f t="shared" ca="1" si="10"/>
        <v>0</v>
      </c>
      <c r="AO11" s="45">
        <f ca="1">MIN(AL11,Inputs!$B$36)</f>
        <v>0</v>
      </c>
      <c r="AP11" s="45">
        <f ca="1">MIN(AN11,Inputs!$B$36-AO11)</f>
        <v>0</v>
      </c>
      <c r="AQ11" s="45">
        <f ca="1">MIN(AM11,Inputs!$B$36-AO11-AP11)</f>
        <v>0</v>
      </c>
      <c r="AR11" s="45">
        <f t="shared" ca="1" si="11"/>
        <v>0</v>
      </c>
      <c r="AS11" s="45">
        <f t="shared" ca="1" si="12"/>
        <v>0</v>
      </c>
      <c r="AT11" s="45">
        <f t="shared" ca="1" si="13"/>
        <v>0</v>
      </c>
      <c r="AU11" s="45">
        <f t="shared" ca="1" si="14"/>
        <v>0</v>
      </c>
      <c r="AV11" s="46">
        <f ca="1">AU11*Inputs!$B$35</f>
        <v>0</v>
      </c>
      <c r="AW11" s="46">
        <f ca="1">AR11*Inputs!$C$6+AT11*Inputs!$C$7+AS11*Inputs!$C$8</f>
        <v>0</v>
      </c>
      <c r="AX11" s="46">
        <f t="shared" ca="1" si="15"/>
        <v>47730081.354487658</v>
      </c>
      <c r="AY11" s="46">
        <f ca="1">IF(J11&gt;1,($CD$4)*Inputs!$B$55*((Z11+AA11+AB11)/(SUM(ILP_B_Moderate!$C$9:$E$13))),0)</f>
        <v>0</v>
      </c>
      <c r="AZ11" s="46">
        <f t="shared" ca="1" si="16"/>
        <v>0</v>
      </c>
      <c r="BA11" s="41">
        <f t="shared" ca="1" si="17"/>
        <v>0</v>
      </c>
      <c r="BB11" s="41">
        <f t="shared" ca="1" si="18"/>
        <v>1</v>
      </c>
      <c r="BC11" s="41">
        <f t="shared" ca="1" si="19"/>
        <v>1</v>
      </c>
      <c r="BD11" s="41">
        <f t="shared" ca="1" si="20"/>
        <v>1</v>
      </c>
    </row>
    <row r="12" spans="1:82" ht="15" customHeight="1" x14ac:dyDescent="0.3">
      <c r="A12" s="41">
        <v>5</v>
      </c>
      <c r="B12" s="42">
        <f t="shared" ca="1" si="0"/>
        <v>3.3287091679708558E-2</v>
      </c>
      <c r="C12" s="43">
        <f ca="1">IF(B12&lt;=Inputs!$C$40,Inputs!$D$40,IF(B12&lt;=Inputs!$C$41,Inputs!$D$41,Inputs!$D$42))</f>
        <v>0.9</v>
      </c>
      <c r="D12" s="42">
        <f t="shared" ca="1" si="1"/>
        <v>0.5644342319711021</v>
      </c>
      <c r="E12" s="42">
        <f t="shared" ca="1" si="1"/>
        <v>0.62204775100163912</v>
      </c>
      <c r="F12" s="42">
        <f t="shared" ca="1" si="1"/>
        <v>0.91268524631299941</v>
      </c>
      <c r="G12" s="42">
        <f t="shared" ca="1" si="1"/>
        <v>0.99738588165461695</v>
      </c>
      <c r="H12" s="42">
        <f t="shared" ca="1" si="1"/>
        <v>0.49137734605072469</v>
      </c>
      <c r="I12" s="42">
        <f t="shared" ca="1" si="1"/>
        <v>0.25092627553466729</v>
      </c>
      <c r="J12" s="43">
        <f ca="1">IF(I12&lt;Inputs!$B$54,1+Inputs!$B$55,1)</f>
        <v>1</v>
      </c>
      <c r="K12" s="42">
        <f t="shared" ca="1" si="2"/>
        <v>0.18965735891394719</v>
      </c>
      <c r="L12" s="42">
        <f t="shared" ca="1" si="2"/>
        <v>0.47394524930044635</v>
      </c>
      <c r="M12" s="42">
        <f t="shared" ca="1" si="2"/>
        <v>0.9590320604694903</v>
      </c>
      <c r="N12" s="42">
        <f t="shared" ca="1" si="2"/>
        <v>0.48601812389857479</v>
      </c>
      <c r="O12" s="42">
        <f t="shared" ca="1" si="2"/>
        <v>0.93678842091896486</v>
      </c>
      <c r="P12" s="42">
        <f t="shared" ca="1" si="2"/>
        <v>0.12009759029275835</v>
      </c>
      <c r="Q12" s="42">
        <f t="shared" ca="1" si="2"/>
        <v>0.93531354919903353</v>
      </c>
      <c r="R12" s="42">
        <f t="shared" ca="1" si="2"/>
        <v>0.34102477570985357</v>
      </c>
      <c r="S12" s="42">
        <f t="shared" ca="1" si="2"/>
        <v>2.9195915428395725E-2</v>
      </c>
      <c r="T12" s="42">
        <f t="shared" ca="1" si="2"/>
        <v>0.41630004697687262</v>
      </c>
      <c r="U12" s="44">
        <f ca="1">(IF(D12&gt;=Inputs!$E$12,1,IF(K12&lt;=Inputs!$C$46,Inputs!$D$46,IF(K12&lt;=Inputs!$C$47,Inputs!$D$47,Inputs!$D$48))))*((Inputs!$B$28+(P12-0.5)*2*Inputs!$B$53)/Inputs!$B$28)</f>
        <v>0.99615483390984572</v>
      </c>
      <c r="V12" s="44">
        <f ca="1">(IF(E12&gt;=Inputs!$E$13,1,IF(L12&lt;=Inputs!$C$46,Inputs!$D$46,IF(L12&lt;=Inputs!$C$47,Inputs!$D$47,Inputs!$D$48))))*((Inputs!$B$29+(Q12-0.5)*2*Inputs!$B$53)/Inputs!$B$29)</f>
        <v>1.0043882414233773</v>
      </c>
      <c r="W12" s="44">
        <f ca="1">(IF(F12&gt;=Inputs!$E$14,1,IF(M12&lt;=Inputs!$C$46,Inputs!$D$46,IF(M12&lt;=Inputs!$C$47,Inputs!$D$47,Inputs!$D$48))))*((Inputs!$B$30+(R12-0.5)*2*Inputs!$B$53)/Inputs!$B$30)</f>
        <v>0.99840225905236035</v>
      </c>
      <c r="X12" s="44">
        <f ca="1">(IF(G12&gt;=Inputs!$E$15,1,IF(N12&lt;=Inputs!$C$46,Inputs!$D$46,IF(N12&lt;=Inputs!$C$47,Inputs!$D$47,Inputs!$D$48))))*((Inputs!$B$31+(S12-0.5)*2*Inputs!$B$53)/Inputs!$B$31)</f>
        <v>0.99522026310079581</v>
      </c>
      <c r="Y12" s="44">
        <f ca="1">(IF(H12&gt;=Inputs!$E$16,1,IF(O12&lt;=Inputs!$C$46,Inputs!$D$46,IF(O12&lt;=Inputs!$C$47,Inputs!$D$47,Inputs!$D$48))))*((Inputs!$B$32+(T12-0.5)*2*Inputs!$B$53)/Inputs!$B$32)</f>
        <v>0.99915794815872105</v>
      </c>
      <c r="Z12" s="45">
        <f ca="1">ILP_B_Moderate!$C$9*U12+ILP_B_Moderate!$C$10*V12+ILP_B_Moderate!$C$11*W12+ILP_B_Moderate!$C$12*X12+ILP_B_Moderate!$C$13*Y12</f>
        <v>17954.255626988168</v>
      </c>
      <c r="AA12" s="45">
        <f ca="1">ILP_B_Moderate!$D$9*U12+ILP_B_Moderate!$D$10*V12+ILP_B_Moderate!$D$11*W12+ILP_B_Moderate!$D$12*X12+ILP_B_Moderate!$D$13*Y12</f>
        <v>15001.437575317652</v>
      </c>
      <c r="AB12" s="45">
        <f ca="1">ILP_B_Moderate!$E$9*U12+ILP_B_Moderate!$E$10*V12+ILP_B_Moderate!$E$11*W12+ILP_B_Moderate!$E$12*X12+ILP_B_Moderate!$E$13*Y12</f>
        <v>11985.036110265275</v>
      </c>
      <c r="AC12" s="45">
        <f ca="1">Inputs!$B$6*$C12</f>
        <v>16200</v>
      </c>
      <c r="AD12" s="45">
        <f ca="1">Inputs!$B$7*$C12</f>
        <v>13500</v>
      </c>
      <c r="AE12" s="45">
        <f ca="1">Inputs!$B$8*$C12</f>
        <v>10800</v>
      </c>
      <c r="AF12" s="45">
        <f t="shared" ca="1" si="3"/>
        <v>0</v>
      </c>
      <c r="AG12" s="45">
        <f t="shared" ca="1" si="4"/>
        <v>0</v>
      </c>
      <c r="AH12" s="45">
        <f t="shared" ca="1" si="5"/>
        <v>0</v>
      </c>
      <c r="AI12" s="45">
        <f t="shared" ca="1" si="6"/>
        <v>0</v>
      </c>
      <c r="AJ12" s="45">
        <f ca="1">U12*(Inputs!$B$12-ILP_B_Moderate!$F$9)+V12*(Inputs!$B$13-ILP_B_Moderate!$F$10)+W12*(Inputs!$B$14-ILP_B_Moderate!$F$11)+X12*(Inputs!$B$15-ILP_B_Moderate!$F$12)+Y12*(Inputs!$B$16-ILP_B_Moderate!$F$13)</f>
        <v>24968.425157184767</v>
      </c>
      <c r="AK12" s="45">
        <f t="shared" ca="1" si="7"/>
        <v>0</v>
      </c>
      <c r="AL12" s="45">
        <f t="shared" ca="1" si="8"/>
        <v>0</v>
      </c>
      <c r="AM12" s="45">
        <f t="shared" ca="1" si="9"/>
        <v>0</v>
      </c>
      <c r="AN12" s="45">
        <f t="shared" ca="1" si="10"/>
        <v>0</v>
      </c>
      <c r="AO12" s="45">
        <f ca="1">MIN(AL12,Inputs!$B$36)</f>
        <v>0</v>
      </c>
      <c r="AP12" s="45">
        <f ca="1">MIN(AN12,Inputs!$B$36-AO12)</f>
        <v>0</v>
      </c>
      <c r="AQ12" s="45">
        <f ca="1">MIN(AM12,Inputs!$B$36-AO12-AP12)</f>
        <v>0</v>
      </c>
      <c r="AR12" s="45">
        <f t="shared" ca="1" si="11"/>
        <v>0</v>
      </c>
      <c r="AS12" s="45">
        <f t="shared" ca="1" si="12"/>
        <v>0</v>
      </c>
      <c r="AT12" s="45">
        <f t="shared" ca="1" si="13"/>
        <v>0</v>
      </c>
      <c r="AU12" s="45">
        <f t="shared" ca="1" si="14"/>
        <v>0</v>
      </c>
      <c r="AV12" s="46">
        <f ca="1">AU12*Inputs!$B$35</f>
        <v>0</v>
      </c>
      <c r="AW12" s="46">
        <f ca="1">AR12*Inputs!$C$6+AT12*Inputs!$C$7+AS12*Inputs!$C$8</f>
        <v>0</v>
      </c>
      <c r="AX12" s="46">
        <f t="shared" ca="1" si="15"/>
        <v>47506607.994814806</v>
      </c>
      <c r="AY12" s="46">
        <f ca="1">IF(J12&gt;1,($CD$4)*Inputs!$B$55*((Z12+AA12+AB12)/(SUM(ILP_B_Moderate!$C$9:$E$13))),0)</f>
        <v>0</v>
      </c>
      <c r="AZ12" s="46">
        <f t="shared" ca="1" si="16"/>
        <v>0</v>
      </c>
      <c r="BA12" s="41">
        <f t="shared" ca="1" si="17"/>
        <v>0</v>
      </c>
      <c r="BB12" s="41">
        <f t="shared" ca="1" si="18"/>
        <v>1</v>
      </c>
      <c r="BC12" s="41">
        <f t="shared" ca="1" si="19"/>
        <v>1</v>
      </c>
      <c r="BD12" s="41">
        <f t="shared" ca="1" si="20"/>
        <v>1</v>
      </c>
    </row>
    <row r="13" spans="1:82" ht="15" customHeight="1" x14ac:dyDescent="0.3">
      <c r="A13" s="41">
        <v>6</v>
      </c>
      <c r="B13" s="42">
        <f t="shared" ca="1" si="0"/>
        <v>0.14774608920555221</v>
      </c>
      <c r="C13" s="43">
        <f ca="1">IF(B13&lt;=Inputs!$C$40,Inputs!$D$40,IF(B13&lt;=Inputs!$C$41,Inputs!$D$41,Inputs!$D$42))</f>
        <v>0.9</v>
      </c>
      <c r="D13" s="42">
        <f t="shared" ca="1" si="1"/>
        <v>9.391316568004815E-2</v>
      </c>
      <c r="E13" s="42">
        <f t="shared" ca="1" si="1"/>
        <v>0.84486321530304609</v>
      </c>
      <c r="F13" s="42">
        <f t="shared" ca="1" si="1"/>
        <v>0.65344339022724207</v>
      </c>
      <c r="G13" s="42">
        <f t="shared" ca="1" si="1"/>
        <v>0.24714050507980423</v>
      </c>
      <c r="H13" s="42">
        <f t="shared" ca="1" si="1"/>
        <v>0.77289328700894455</v>
      </c>
      <c r="I13" s="42">
        <f t="shared" ca="1" si="1"/>
        <v>0.84527357631261246</v>
      </c>
      <c r="J13" s="43">
        <f ca="1">IF(I13&lt;Inputs!$B$54,1+Inputs!$B$55,1)</f>
        <v>1</v>
      </c>
      <c r="K13" s="42">
        <f t="shared" ca="1" si="2"/>
        <v>0.71038292620900267</v>
      </c>
      <c r="L13" s="42">
        <f t="shared" ca="1" si="2"/>
        <v>0.79638402721620627</v>
      </c>
      <c r="M13" s="42">
        <f t="shared" ca="1" si="2"/>
        <v>0.57120832121924092</v>
      </c>
      <c r="N13" s="42">
        <f t="shared" ca="1" si="2"/>
        <v>0.43396711959326473</v>
      </c>
      <c r="O13" s="42">
        <f t="shared" ca="1" si="2"/>
        <v>0.80303217560207307</v>
      </c>
      <c r="P13" s="42">
        <f t="shared" ca="1" si="2"/>
        <v>0.11323216459845509</v>
      </c>
      <c r="Q13" s="42">
        <f t="shared" ca="1" si="2"/>
        <v>0.90345129582223649</v>
      </c>
      <c r="R13" s="42">
        <f t="shared" ca="1" si="2"/>
        <v>0.55197009129067598</v>
      </c>
      <c r="S13" s="42">
        <f t="shared" ca="1" si="2"/>
        <v>0.42178995297704713</v>
      </c>
      <c r="T13" s="42">
        <f t="shared" ca="1" si="2"/>
        <v>0.68000245583986585</v>
      </c>
      <c r="U13" s="44">
        <f ca="1">(IF(D13&gt;=Inputs!$E$12,1,IF(K13&lt;=Inputs!$C$46,Inputs!$D$46,IF(K13&lt;=Inputs!$C$47,Inputs!$D$47,Inputs!$D$48))))*((Inputs!$B$28+(P13-0.5)*2*Inputs!$B$53)/Inputs!$B$28)</f>
        <v>0.99608534579553087</v>
      </c>
      <c r="V13" s="44">
        <f ca="1">(IF(E13&gt;=Inputs!$E$13,1,IF(L13&lt;=Inputs!$C$46,Inputs!$D$46,IF(L13&lt;=Inputs!$C$47,Inputs!$D$47,Inputs!$D$48))))*((Inputs!$B$29+(Q13-0.5)*2*Inputs!$B$53)/Inputs!$B$29)</f>
        <v>1.0040670493530468</v>
      </c>
      <c r="W13" s="44">
        <f ca="1">(IF(F13&gt;=Inputs!$E$14,1,IF(M13&lt;=Inputs!$C$46,Inputs!$D$46,IF(M13&lt;=Inputs!$C$47,Inputs!$D$47,Inputs!$D$48))))*((Inputs!$B$30+(R13-0.5)*2*Inputs!$B$53)/Inputs!$B$30)</f>
        <v>1.0005223124752831</v>
      </c>
      <c r="X13" s="44">
        <f ca="1">(IF(G13&gt;=Inputs!$E$15,1,IF(N13&lt;=Inputs!$C$46,Inputs!$D$46,IF(N13&lt;=Inputs!$C$47,Inputs!$D$47,Inputs!$D$48))))*((Inputs!$B$31+(S13-0.5)*2*Inputs!$B$53)/Inputs!$B$31)</f>
        <v>0.99920598937032534</v>
      </c>
      <c r="Y13" s="44">
        <f ca="1">(IF(H13&gt;=Inputs!$E$16,1,IF(O13&lt;=Inputs!$C$46,Inputs!$D$46,IF(O13&lt;=Inputs!$C$47,Inputs!$D$47,Inputs!$D$48))))*((Inputs!$B$32+(T13-0.5)*2*Inputs!$B$53)/Inputs!$B$32)</f>
        <v>1.0018108898977853</v>
      </c>
      <c r="Z13" s="45">
        <f ca="1">ILP_B_Moderate!$C$9*U13+ILP_B_Moderate!$C$10*V13+ILP_B_Moderate!$C$11*W13+ILP_B_Moderate!$C$12*X13+ILP_B_Moderate!$C$13*Y13</f>
        <v>17988.527172667407</v>
      </c>
      <c r="AA13" s="45">
        <f ca="1">ILP_B_Moderate!$D$9*U13+ILP_B_Moderate!$D$10*V13+ILP_B_Moderate!$D$11*W13+ILP_B_Moderate!$D$12*X13+ILP_B_Moderate!$D$13*Y13</f>
        <v>15009.943178495254</v>
      </c>
      <c r="AB13" s="45">
        <f ca="1">ILP_B_Moderate!$E$9*U13+ILP_B_Moderate!$E$10*V13+ILP_B_Moderate!$E$11*W13+ILP_B_Moderate!$E$12*X13+ILP_B_Moderate!$E$13*Y13</f>
        <v>11993.053911349334</v>
      </c>
      <c r="AC13" s="45">
        <f ca="1">Inputs!$B$6*$C13</f>
        <v>16200</v>
      </c>
      <c r="AD13" s="45">
        <f ca="1">Inputs!$B$7*$C13</f>
        <v>13500</v>
      </c>
      <c r="AE13" s="45">
        <f ca="1">Inputs!$B$8*$C13</f>
        <v>10800</v>
      </c>
      <c r="AF13" s="45">
        <f t="shared" ca="1" si="3"/>
        <v>0</v>
      </c>
      <c r="AG13" s="45">
        <f t="shared" ca="1" si="4"/>
        <v>0</v>
      </c>
      <c r="AH13" s="45">
        <f t="shared" ca="1" si="5"/>
        <v>0</v>
      </c>
      <c r="AI13" s="45">
        <f t="shared" ca="1" si="6"/>
        <v>0</v>
      </c>
      <c r="AJ13" s="45">
        <f ca="1">U13*(Inputs!$B$12-ILP_B_Moderate!$F$9)+V13*(Inputs!$B$13-ILP_B_Moderate!$F$10)+W13*(Inputs!$B$14-ILP_B_Moderate!$F$11)+X13*(Inputs!$B$15-ILP_B_Moderate!$F$12)+Y13*(Inputs!$B$16-ILP_B_Moderate!$F$13)</f>
        <v>25027.205244248522</v>
      </c>
      <c r="AK13" s="45">
        <f t="shared" ca="1" si="7"/>
        <v>0</v>
      </c>
      <c r="AL13" s="45">
        <f t="shared" ca="1" si="8"/>
        <v>0</v>
      </c>
      <c r="AM13" s="45">
        <f t="shared" ca="1" si="9"/>
        <v>0</v>
      </c>
      <c r="AN13" s="45">
        <f t="shared" ca="1" si="10"/>
        <v>0</v>
      </c>
      <c r="AO13" s="45">
        <f ca="1">MIN(AL13,Inputs!$B$36)</f>
        <v>0</v>
      </c>
      <c r="AP13" s="45">
        <f ca="1">MIN(AN13,Inputs!$B$36-AO13)</f>
        <v>0</v>
      </c>
      <c r="AQ13" s="45">
        <f ca="1">MIN(AM13,Inputs!$B$36-AO13-AP13)</f>
        <v>0</v>
      </c>
      <c r="AR13" s="45">
        <f t="shared" ca="1" si="11"/>
        <v>0</v>
      </c>
      <c r="AS13" s="45">
        <f t="shared" ca="1" si="12"/>
        <v>0</v>
      </c>
      <c r="AT13" s="45">
        <f t="shared" ca="1" si="13"/>
        <v>0</v>
      </c>
      <c r="AU13" s="45">
        <f t="shared" ca="1" si="14"/>
        <v>0</v>
      </c>
      <c r="AV13" s="46">
        <f ca="1">AU13*Inputs!$B$35</f>
        <v>0</v>
      </c>
      <c r="AW13" s="46">
        <f ca="1">AR13*Inputs!$C$6+AT13*Inputs!$C$7+AS13*Inputs!$C$8</f>
        <v>0</v>
      </c>
      <c r="AX13" s="46">
        <f t="shared" ca="1" si="15"/>
        <v>47559741.645656705</v>
      </c>
      <c r="AY13" s="46">
        <f ca="1">IF(J13&gt;1,($CD$4)*Inputs!$B$55*((Z13+AA13+AB13)/(SUM(ILP_B_Moderate!$C$9:$E$13))),0)</f>
        <v>0</v>
      </c>
      <c r="AZ13" s="46">
        <f t="shared" ca="1" si="16"/>
        <v>0</v>
      </c>
      <c r="BA13" s="41">
        <f t="shared" ca="1" si="17"/>
        <v>0</v>
      </c>
      <c r="BB13" s="41">
        <f t="shared" ca="1" si="18"/>
        <v>1</v>
      </c>
      <c r="BC13" s="41">
        <f t="shared" ca="1" si="19"/>
        <v>1</v>
      </c>
      <c r="BD13" s="41">
        <f t="shared" ca="1" si="20"/>
        <v>1</v>
      </c>
    </row>
    <row r="14" spans="1:82" ht="15" customHeight="1" x14ac:dyDescent="0.3">
      <c r="A14" s="41">
        <v>7</v>
      </c>
      <c r="B14" s="42">
        <f t="shared" ca="1" si="0"/>
        <v>0.68130083755040383</v>
      </c>
      <c r="C14" s="43">
        <f ca="1">IF(B14&lt;=Inputs!$C$40,Inputs!$D$40,IF(B14&lt;=Inputs!$C$41,Inputs!$D$41,Inputs!$D$42))</f>
        <v>1</v>
      </c>
      <c r="D14" s="42">
        <f t="shared" ca="1" si="1"/>
        <v>0.78610753745853801</v>
      </c>
      <c r="E14" s="42">
        <f t="shared" ca="1" si="1"/>
        <v>0.41871071018392791</v>
      </c>
      <c r="F14" s="42">
        <f t="shared" ca="1" si="1"/>
        <v>0.47787310038668351</v>
      </c>
      <c r="G14" s="42">
        <f t="shared" ca="1" si="1"/>
        <v>0.57809435404114418</v>
      </c>
      <c r="H14" s="42">
        <f t="shared" ca="1" si="1"/>
        <v>0.44337347355398038</v>
      </c>
      <c r="I14" s="42">
        <f t="shared" ca="1" si="1"/>
        <v>0.84397254691907697</v>
      </c>
      <c r="J14" s="43">
        <f ca="1">IF(I14&lt;Inputs!$B$54,1+Inputs!$B$55,1)</f>
        <v>1</v>
      </c>
      <c r="K14" s="42">
        <f t="shared" ca="1" si="2"/>
        <v>0.93352388734345493</v>
      </c>
      <c r="L14" s="42">
        <f t="shared" ca="1" si="2"/>
        <v>0.65810895317541551</v>
      </c>
      <c r="M14" s="42">
        <f t="shared" ca="1" si="2"/>
        <v>0.86514112993894687</v>
      </c>
      <c r="N14" s="42">
        <f t="shared" ca="1" si="2"/>
        <v>0.53665979150069665</v>
      </c>
      <c r="O14" s="42">
        <f t="shared" ca="1" si="2"/>
        <v>0.41875753582000386</v>
      </c>
      <c r="P14" s="42">
        <f t="shared" ca="1" si="2"/>
        <v>0.28553607896627398</v>
      </c>
      <c r="Q14" s="42">
        <f t="shared" ca="1" si="2"/>
        <v>0.23789668729717262</v>
      </c>
      <c r="R14" s="42">
        <f t="shared" ca="1" si="2"/>
        <v>0.46905321806682965</v>
      </c>
      <c r="S14" s="42">
        <f t="shared" ca="1" si="2"/>
        <v>0.52728663625594174</v>
      </c>
      <c r="T14" s="42">
        <f t="shared" ca="1" si="2"/>
        <v>8.9712498968171905E-3</v>
      </c>
      <c r="U14" s="44">
        <f ca="1">(IF(D14&gt;=Inputs!$E$12,1,IF(K14&lt;=Inputs!$C$46,Inputs!$D$46,IF(K14&lt;=Inputs!$C$47,Inputs!$D$47,Inputs!$D$48))))*((Inputs!$B$28+(P14-0.5)*2*Inputs!$B$53)/Inputs!$B$28)</f>
        <v>0.99782931254014451</v>
      </c>
      <c r="V14" s="44">
        <f ca="1">(IF(E14&gt;=Inputs!$E$13,1,IF(L14&lt;=Inputs!$C$46,Inputs!$D$46,IF(L14&lt;=Inputs!$C$47,Inputs!$D$47,Inputs!$D$48))))*((Inputs!$B$29+(Q14-0.5)*2*Inputs!$B$53)/Inputs!$B$29)</f>
        <v>0.99735782950904406</v>
      </c>
      <c r="W14" s="44">
        <f ca="1">(IF(F14&gt;=Inputs!$E$14,1,IF(M14&lt;=Inputs!$C$46,Inputs!$D$46,IF(M14&lt;=Inputs!$C$47,Inputs!$D$47,Inputs!$D$48))))*((Inputs!$B$30+(R14-0.5)*2*Inputs!$B$53)/Inputs!$B$30)</f>
        <v>0.99968897706599824</v>
      </c>
      <c r="X14" s="44">
        <f ca="1">(IF(G14&gt;=Inputs!$E$15,1,IF(N14&lt;=Inputs!$C$46,Inputs!$D$46,IF(N14&lt;=Inputs!$C$47,Inputs!$D$47,Inputs!$D$48))))*((Inputs!$B$31+(S14-0.5)*2*Inputs!$B$53)/Inputs!$B$31)</f>
        <v>1.0002770216878776</v>
      </c>
      <c r="Y14" s="44">
        <f ca="1">(IF(H14&gt;=Inputs!$E$16,1,IF(O14&lt;=Inputs!$C$46,Inputs!$D$46,IF(O14&lt;=Inputs!$C$47,Inputs!$D$47,Inputs!$D$48))))*((Inputs!$B$32+(T14-0.5)*2*Inputs!$B$53)/Inputs!$B$32)</f>
        <v>0.99506007293658771</v>
      </c>
      <c r="Z14" s="45">
        <f ca="1">ILP_B_Moderate!$C$9*U14+ILP_B_Moderate!$C$10*V14+ILP_B_Moderate!$C$11*W14+ILP_B_Moderate!$C$12*X14+ILP_B_Moderate!$C$13*Y14</f>
        <v>17981.131425755779</v>
      </c>
      <c r="AA14" s="45">
        <f ca="1">ILP_B_Moderate!$D$9*U14+ILP_B_Moderate!$D$10*V14+ILP_B_Moderate!$D$11*W14+ILP_B_Moderate!$D$12*X14+ILP_B_Moderate!$D$13*Y14</f>
        <v>14970.80610516552</v>
      </c>
      <c r="AB14" s="45">
        <f ca="1">ILP_B_Moderate!$E$9*U14+ILP_B_Moderate!$E$10*V14+ILP_B_Moderate!$E$11*W14+ILP_B_Moderate!$E$12*X14+ILP_B_Moderate!$E$13*Y14</f>
        <v>11963.117468396693</v>
      </c>
      <c r="AC14" s="45">
        <f ca="1">Inputs!$B$6*$C14</f>
        <v>18000</v>
      </c>
      <c r="AD14" s="45">
        <f ca="1">Inputs!$B$7*$C14</f>
        <v>15000</v>
      </c>
      <c r="AE14" s="45">
        <f ca="1">Inputs!$B$8*$C14</f>
        <v>12000</v>
      </c>
      <c r="AF14" s="45">
        <f t="shared" ca="1" si="3"/>
        <v>18.868574244221236</v>
      </c>
      <c r="AG14" s="45">
        <f t="shared" ca="1" si="4"/>
        <v>29.193894834479579</v>
      </c>
      <c r="AH14" s="45">
        <f t="shared" ca="1" si="5"/>
        <v>36.882531603307143</v>
      </c>
      <c r="AI14" s="45">
        <f t="shared" ca="1" si="6"/>
        <v>84.945000682007958</v>
      </c>
      <c r="AJ14" s="45">
        <f ca="1">U14*(Inputs!$B$12-ILP_B_Moderate!$F$9)+V14*(Inputs!$B$13-ILP_B_Moderate!$F$10)+W14*(Inputs!$B$14-ILP_B_Moderate!$F$11)+X14*(Inputs!$B$15-ILP_B_Moderate!$F$12)+Y14*(Inputs!$B$16-ILP_B_Moderate!$F$13)</f>
        <v>24938.405670612257</v>
      </c>
      <c r="AK14" s="45">
        <f t="shared" ca="1" si="7"/>
        <v>84.945000682007958</v>
      </c>
      <c r="AL14" s="45">
        <f t="shared" ca="1" si="8"/>
        <v>0</v>
      </c>
      <c r="AM14" s="45">
        <f t="shared" ca="1" si="9"/>
        <v>0</v>
      </c>
      <c r="AN14" s="45">
        <f t="shared" ca="1" si="10"/>
        <v>0</v>
      </c>
      <c r="AO14" s="45">
        <f ca="1">MIN(AL14,Inputs!$B$36)</f>
        <v>0</v>
      </c>
      <c r="AP14" s="45">
        <f ca="1">MIN(AN14,Inputs!$B$36-AO14)</f>
        <v>0</v>
      </c>
      <c r="AQ14" s="45">
        <f ca="1">MIN(AM14,Inputs!$B$36-AO14-AP14)</f>
        <v>0</v>
      </c>
      <c r="AR14" s="45">
        <f t="shared" ca="1" si="11"/>
        <v>0</v>
      </c>
      <c r="AS14" s="45">
        <f t="shared" ca="1" si="12"/>
        <v>0</v>
      </c>
      <c r="AT14" s="45">
        <f t="shared" ca="1" si="13"/>
        <v>0</v>
      </c>
      <c r="AU14" s="45">
        <f t="shared" ca="1" si="14"/>
        <v>0</v>
      </c>
      <c r="AV14" s="46">
        <f ca="1">AU14*Inputs!$B$35</f>
        <v>0</v>
      </c>
      <c r="AW14" s="46">
        <f ca="1">AR14*Inputs!$C$6+AT14*Inputs!$C$7+AS14*Inputs!$C$8</f>
        <v>0</v>
      </c>
      <c r="AX14" s="46">
        <f t="shared" ca="1" si="15"/>
        <v>47477957.277020097</v>
      </c>
      <c r="AY14" s="46">
        <f ca="1">IF(J14&gt;1,($CD$4)*Inputs!$B$55*((Z14+AA14+AB14)/(SUM(ILP_B_Moderate!$C$9:$E$13))),0)</f>
        <v>0</v>
      </c>
      <c r="AZ14" s="46">
        <f t="shared" ca="1" si="16"/>
        <v>0</v>
      </c>
      <c r="BA14" s="41">
        <f t="shared" ca="1" si="17"/>
        <v>0</v>
      </c>
      <c r="BB14" s="41">
        <f t="shared" ca="1" si="18"/>
        <v>1</v>
      </c>
      <c r="BC14" s="41">
        <f t="shared" ca="1" si="19"/>
        <v>1</v>
      </c>
      <c r="BD14" s="41">
        <f t="shared" ca="1" si="20"/>
        <v>1</v>
      </c>
    </row>
    <row r="15" spans="1:82" ht="15" customHeight="1" x14ac:dyDescent="0.3">
      <c r="A15" s="41">
        <v>8</v>
      </c>
      <c r="B15" s="42">
        <f t="shared" ca="1" si="0"/>
        <v>0.76212796042636388</v>
      </c>
      <c r="C15" s="43">
        <f ca="1">IF(B15&lt;=Inputs!$C$40,Inputs!$D$40,IF(B15&lt;=Inputs!$C$41,Inputs!$D$41,Inputs!$D$42))</f>
        <v>1.1499999999999999</v>
      </c>
      <c r="D15" s="42">
        <f t="shared" ca="1" si="1"/>
        <v>0.71844019877816823</v>
      </c>
      <c r="E15" s="42">
        <f t="shared" ca="1" si="1"/>
        <v>6.6893784056150318E-2</v>
      </c>
      <c r="F15" s="42">
        <f t="shared" ca="1" si="1"/>
        <v>0.44304398236192466</v>
      </c>
      <c r="G15" s="42">
        <f t="shared" ca="1" si="1"/>
        <v>0.81476855035197926</v>
      </c>
      <c r="H15" s="42">
        <f t="shared" ca="1" si="1"/>
        <v>0.8458691175877121</v>
      </c>
      <c r="I15" s="42">
        <f t="shared" ca="1" si="1"/>
        <v>0.83707682512117154</v>
      </c>
      <c r="J15" s="43">
        <f ca="1">IF(I15&lt;Inputs!$B$54,1+Inputs!$B$55,1)</f>
        <v>1</v>
      </c>
      <c r="K15" s="42">
        <f t="shared" ca="1" si="2"/>
        <v>0.12614684293341172</v>
      </c>
      <c r="L15" s="42">
        <f t="shared" ca="1" si="2"/>
        <v>0.52687497887883228</v>
      </c>
      <c r="M15" s="42">
        <f t="shared" ca="1" si="2"/>
        <v>0.16106570745958726</v>
      </c>
      <c r="N15" s="42">
        <f t="shared" ca="1" si="2"/>
        <v>0.16189154260177208</v>
      </c>
      <c r="O15" s="42">
        <f t="shared" ca="1" si="2"/>
        <v>0.79463201457674837</v>
      </c>
      <c r="P15" s="42">
        <f t="shared" ca="1" si="2"/>
        <v>0.45082300837459333</v>
      </c>
      <c r="Q15" s="42">
        <f t="shared" ca="1" si="2"/>
        <v>4.8146036624825639E-2</v>
      </c>
      <c r="R15" s="42">
        <f t="shared" ca="1" si="2"/>
        <v>0.89386144943852464</v>
      </c>
      <c r="S15" s="42">
        <f t="shared" ca="1" si="2"/>
        <v>0.10922534645895743</v>
      </c>
      <c r="T15" s="42">
        <f t="shared" ca="1" si="2"/>
        <v>0.59207307372277762</v>
      </c>
      <c r="U15" s="44">
        <f ca="1">(IF(D15&gt;=Inputs!$E$12,1,IF(K15&lt;=Inputs!$C$46,Inputs!$D$46,IF(K15&lt;=Inputs!$C$47,Inputs!$D$47,Inputs!$D$48))))*((Inputs!$B$28+(P15-0.5)*2*Inputs!$B$53)/Inputs!$B$28)</f>
        <v>0.99950225716978325</v>
      </c>
      <c r="V15" s="44">
        <f ca="1">(IF(E15&gt;=Inputs!$E$13,1,IF(L15&lt;=Inputs!$C$46,Inputs!$D$46,IF(L15&lt;=Inputs!$C$47,Inputs!$D$47,Inputs!$D$48))))*((Inputs!$B$29+(Q15-0.5)*2*Inputs!$B$53)/Inputs!$B$29)</f>
        <v>0.29863350615914763</v>
      </c>
      <c r="W15" s="44">
        <f ca="1">(IF(F15&gt;=Inputs!$E$14,1,IF(M15&lt;=Inputs!$C$46,Inputs!$D$46,IF(M15&lt;=Inputs!$C$47,Inputs!$D$47,Inputs!$D$48))))*((Inputs!$B$30+(R15-0.5)*2*Inputs!$B$53)/Inputs!$B$30)</f>
        <v>1.0039584065270204</v>
      </c>
      <c r="X15" s="44">
        <f ca="1">(IF(G15&gt;=Inputs!$E$15,1,IF(N15&lt;=Inputs!$C$46,Inputs!$D$46,IF(N15&lt;=Inputs!$C$47,Inputs!$D$47,Inputs!$D$48))))*((Inputs!$B$31+(S15-0.5)*2*Inputs!$B$53)/Inputs!$B$31)</f>
        <v>0.99603274463410119</v>
      </c>
      <c r="Y15" s="44">
        <f ca="1">(IF(H15&gt;=Inputs!$E$16,1,IF(O15&lt;=Inputs!$C$46,Inputs!$D$46,IF(O15&lt;=Inputs!$C$47,Inputs!$D$47,Inputs!$D$48))))*((Inputs!$B$32+(T15-0.5)*2*Inputs!$B$53)/Inputs!$B$32)</f>
        <v>1.0009262884680359</v>
      </c>
      <c r="Z15" s="45">
        <f ca="1">ILP_B_Moderate!$C$9*U15+ILP_B_Moderate!$C$10*V15+ILP_B_Moderate!$C$11*W15+ILP_B_Moderate!$C$12*X15+ILP_B_Moderate!$C$13*Y15</f>
        <v>15246.051212321778</v>
      </c>
      <c r="AA15" s="45">
        <f ca="1">ILP_B_Moderate!$D$9*U15+ILP_B_Moderate!$D$10*V15+ILP_B_Moderate!$D$11*W15+ILP_B_Moderate!$D$12*X15+ILP_B_Moderate!$D$13*Y15</f>
        <v>9726.2341996163595</v>
      </c>
      <c r="AB15" s="45">
        <f ca="1">ILP_B_Moderate!$E$9*U15+ILP_B_Moderate!$E$10*V15+ILP_B_Moderate!$E$11*W15+ILP_B_Moderate!$E$12*X15+ILP_B_Moderate!$E$13*Y15</f>
        <v>10235.602633537752</v>
      </c>
      <c r="AC15" s="45">
        <f ca="1">Inputs!$B$6*$C15</f>
        <v>20700</v>
      </c>
      <c r="AD15" s="45">
        <f ca="1">Inputs!$B$7*$C15</f>
        <v>17250</v>
      </c>
      <c r="AE15" s="45">
        <f ca="1">Inputs!$B$8*$C15</f>
        <v>13799.999999999998</v>
      </c>
      <c r="AF15" s="45">
        <f t="shared" ca="1" si="3"/>
        <v>5453.9487876782223</v>
      </c>
      <c r="AG15" s="45">
        <f t="shared" ca="1" si="4"/>
        <v>7523.7658003836405</v>
      </c>
      <c r="AH15" s="45">
        <f t="shared" ca="1" si="5"/>
        <v>3564.3973664622463</v>
      </c>
      <c r="AI15" s="45">
        <f t="shared" ca="1" si="6"/>
        <v>16542.111954524109</v>
      </c>
      <c r="AJ15" s="45">
        <f ca="1">U15*(Inputs!$B$12-ILP_B_Moderate!$F$9)+V15*(Inputs!$B$13-ILP_B_Moderate!$F$10)+W15*(Inputs!$B$14-ILP_B_Moderate!$F$11)+X15*(Inputs!$B$15-ILP_B_Moderate!$F$12)+Y15*(Inputs!$B$16-ILP_B_Moderate!$F$13)</f>
        <v>24982.763702949727</v>
      </c>
      <c r="AK15" s="45">
        <f t="shared" ca="1" si="7"/>
        <v>16542.111954524109</v>
      </c>
      <c r="AL15" s="45">
        <f t="shared" ca="1" si="8"/>
        <v>0</v>
      </c>
      <c r="AM15" s="45">
        <f t="shared" ca="1" si="9"/>
        <v>0</v>
      </c>
      <c r="AN15" s="45">
        <f t="shared" ca="1" si="10"/>
        <v>0</v>
      </c>
      <c r="AO15" s="45">
        <f ca="1">MIN(AL15,Inputs!$B$36)</f>
        <v>0</v>
      </c>
      <c r="AP15" s="45">
        <f ca="1">MIN(AN15,Inputs!$B$36-AO15)</f>
        <v>0</v>
      </c>
      <c r="AQ15" s="45">
        <f ca="1">MIN(AM15,Inputs!$B$36-AO15-AP15)</f>
        <v>0</v>
      </c>
      <c r="AR15" s="45">
        <f t="shared" ca="1" si="11"/>
        <v>0</v>
      </c>
      <c r="AS15" s="45">
        <f t="shared" ca="1" si="12"/>
        <v>0</v>
      </c>
      <c r="AT15" s="45">
        <f t="shared" ca="1" si="13"/>
        <v>0</v>
      </c>
      <c r="AU15" s="45">
        <f t="shared" ca="1" si="14"/>
        <v>0</v>
      </c>
      <c r="AV15" s="46">
        <f ca="1">AU15*Inputs!$B$35</f>
        <v>0</v>
      </c>
      <c r="AW15" s="46">
        <f ca="1">AR15*Inputs!$C$6+AT15*Inputs!$C$7+AS15*Inputs!$C$8</f>
        <v>0</v>
      </c>
      <c r="AX15" s="46">
        <f t="shared" ca="1" si="15"/>
        <v>37235876.28117238</v>
      </c>
      <c r="AY15" s="46">
        <f ca="1">IF(J15&gt;1,($CD$4)*Inputs!$B$55*((Z15+AA15+AB15)/(SUM(ILP_B_Moderate!$C$9:$E$13))),0)</f>
        <v>0</v>
      </c>
      <c r="AZ15" s="46">
        <f t="shared" ca="1" si="16"/>
        <v>0</v>
      </c>
      <c r="BA15" s="41">
        <f t="shared" ca="1" si="17"/>
        <v>0</v>
      </c>
      <c r="BB15" s="41">
        <f t="shared" ca="1" si="18"/>
        <v>1</v>
      </c>
      <c r="BC15" s="41">
        <f t="shared" ca="1" si="19"/>
        <v>1</v>
      </c>
      <c r="BD15" s="41">
        <f t="shared" ca="1" si="20"/>
        <v>1</v>
      </c>
    </row>
    <row r="16" spans="1:82" ht="15" customHeight="1" x14ac:dyDescent="0.3">
      <c r="A16" s="41">
        <v>9</v>
      </c>
      <c r="B16" s="42">
        <f t="shared" ca="1" si="0"/>
        <v>0.43337226626232395</v>
      </c>
      <c r="C16" s="43">
        <f ca="1">IF(B16&lt;=Inputs!$C$40,Inputs!$D$40,IF(B16&lt;=Inputs!$C$41,Inputs!$D$41,Inputs!$D$42))</f>
        <v>1</v>
      </c>
      <c r="D16" s="42">
        <f t="shared" ca="1" si="1"/>
        <v>0.75439789594735207</v>
      </c>
      <c r="E16" s="42">
        <f t="shared" ca="1" si="1"/>
        <v>0.27877263190392132</v>
      </c>
      <c r="F16" s="42">
        <f t="shared" ca="1" si="1"/>
        <v>0.3301740464823737</v>
      </c>
      <c r="G16" s="42">
        <f t="shared" ca="1" si="1"/>
        <v>4.2582355972557773E-2</v>
      </c>
      <c r="H16" s="42">
        <f t="shared" ca="1" si="1"/>
        <v>0.82809853382506915</v>
      </c>
      <c r="I16" s="42">
        <f t="shared" ca="1" si="1"/>
        <v>0.79375385901157891</v>
      </c>
      <c r="J16" s="43">
        <f ca="1">IF(I16&lt;Inputs!$B$54,1+Inputs!$B$55,1)</f>
        <v>1</v>
      </c>
      <c r="K16" s="42">
        <f t="shared" ca="1" si="2"/>
        <v>0.6564365826346038</v>
      </c>
      <c r="L16" s="42">
        <f t="shared" ca="1" si="2"/>
        <v>0.80221665497802774</v>
      </c>
      <c r="M16" s="42">
        <f t="shared" ca="1" si="2"/>
        <v>0.41225023337604361</v>
      </c>
      <c r="N16" s="42">
        <f t="shared" ca="1" si="2"/>
        <v>0.13832230616250107</v>
      </c>
      <c r="O16" s="42">
        <f t="shared" ca="1" si="2"/>
        <v>0.2546742532661419</v>
      </c>
      <c r="P16" s="42">
        <f t="shared" ca="1" si="2"/>
        <v>0.49784270655594753</v>
      </c>
      <c r="Q16" s="42">
        <f t="shared" ca="1" si="2"/>
        <v>0.14880224122883612</v>
      </c>
      <c r="R16" s="42">
        <f t="shared" ca="1" si="2"/>
        <v>0.82215202266173582</v>
      </c>
      <c r="S16" s="42">
        <f t="shared" ca="1" si="2"/>
        <v>0.40357141202699442</v>
      </c>
      <c r="T16" s="42">
        <f t="shared" ca="1" si="2"/>
        <v>0.96770499801330856</v>
      </c>
      <c r="U16" s="44">
        <f ca="1">(IF(D16&gt;=Inputs!$E$12,1,IF(K16&lt;=Inputs!$C$46,Inputs!$D$46,IF(K16&lt;=Inputs!$C$47,Inputs!$D$47,Inputs!$D$48))))*((Inputs!$B$28+(P16-0.5)*2*Inputs!$B$53)/Inputs!$B$28)</f>
        <v>0.99997816504611281</v>
      </c>
      <c r="V16" s="44">
        <f ca="1">(IF(E16&gt;=Inputs!$E$13,1,IF(L16&lt;=Inputs!$C$46,Inputs!$D$46,IF(L16&lt;=Inputs!$C$47,Inputs!$D$47,Inputs!$D$48))))*((Inputs!$B$29+(Q16-0.5)*2*Inputs!$B$53)/Inputs!$B$29)</f>
        <v>0.99645970001238748</v>
      </c>
      <c r="W16" s="44">
        <f ca="1">(IF(F16&gt;=Inputs!$E$14,1,IF(M16&lt;=Inputs!$C$46,Inputs!$D$46,IF(M16&lt;=Inputs!$C$47,Inputs!$D$47,Inputs!$D$48))))*((Inputs!$B$30+(R16-0.5)*2*Inputs!$B$53)/Inputs!$B$30)</f>
        <v>1.0032377087704698</v>
      </c>
      <c r="X16" s="44">
        <f ca="1">(IF(G16&gt;=Inputs!$E$15,1,IF(N16&lt;=Inputs!$C$46,Inputs!$D$46,IF(N16&lt;=Inputs!$C$47,Inputs!$D$47,Inputs!$D$48))))*((Inputs!$B$31+(S16-0.5)*2*Inputs!$B$53)/Inputs!$B$31)</f>
        <v>0.59941261773823551</v>
      </c>
      <c r="Y16" s="44">
        <f ca="1">(IF(H16&gt;=Inputs!$E$16,1,IF(O16&lt;=Inputs!$C$46,Inputs!$D$46,IF(O16&lt;=Inputs!$C$47,Inputs!$D$47,Inputs!$D$48))))*((Inputs!$B$32+(T16-0.5)*2*Inputs!$B$53)/Inputs!$B$32)</f>
        <v>1.004705281670154</v>
      </c>
      <c r="Z16" s="45">
        <f ca="1">ILP_B_Moderate!$C$9*U16+ILP_B_Moderate!$C$10*V16+ILP_B_Moderate!$C$11*W16+ILP_B_Moderate!$C$12*X16+ILP_B_Moderate!$C$13*Y16</f>
        <v>14380.893548448548</v>
      </c>
      <c r="AA16" s="45">
        <f ca="1">ILP_B_Moderate!$D$9*U16+ILP_B_Moderate!$D$10*V16+ILP_B_Moderate!$D$11*W16+ILP_B_Moderate!$D$12*X16+ILP_B_Moderate!$D$13*Y16</f>
        <v>13843.689144530539</v>
      </c>
      <c r="AB16" s="45">
        <f ca="1">ILP_B_Moderate!$E$9*U16+ILP_B_Moderate!$E$10*V16+ILP_B_Moderate!$E$11*W16+ILP_B_Moderate!$E$12*X16+ILP_B_Moderate!$E$13*Y16</f>
        <v>12007.354796846661</v>
      </c>
      <c r="AC16" s="45">
        <f ca="1">Inputs!$B$6*$C16</f>
        <v>18000</v>
      </c>
      <c r="AD16" s="45">
        <f ca="1">Inputs!$B$7*$C16</f>
        <v>15000</v>
      </c>
      <c r="AE16" s="45">
        <f ca="1">Inputs!$B$8*$C16</f>
        <v>12000</v>
      </c>
      <c r="AF16" s="45">
        <f t="shared" ca="1" si="3"/>
        <v>3619.1064515514518</v>
      </c>
      <c r="AG16" s="45">
        <f t="shared" ca="1" si="4"/>
        <v>1156.3108554694609</v>
      </c>
      <c r="AH16" s="45">
        <f t="shared" ca="1" si="5"/>
        <v>0</v>
      </c>
      <c r="AI16" s="45">
        <f t="shared" ca="1" si="6"/>
        <v>4775.4173070209126</v>
      </c>
      <c r="AJ16" s="45">
        <f ca="1">U16*(Inputs!$B$12-ILP_B_Moderate!$F$9)+V16*(Inputs!$B$13-ILP_B_Moderate!$F$10)+W16*(Inputs!$B$14-ILP_B_Moderate!$F$11)+X16*(Inputs!$B$15-ILP_B_Moderate!$F$12)+Y16*(Inputs!$B$16-ILP_B_Moderate!$F$13)</f>
        <v>25023.769803012725</v>
      </c>
      <c r="AK16" s="45">
        <f t="shared" ca="1" si="7"/>
        <v>4775.4173070209126</v>
      </c>
      <c r="AL16" s="45">
        <f t="shared" ca="1" si="8"/>
        <v>0</v>
      </c>
      <c r="AM16" s="45">
        <f t="shared" ca="1" si="9"/>
        <v>0</v>
      </c>
      <c r="AN16" s="45">
        <f t="shared" ca="1" si="10"/>
        <v>0</v>
      </c>
      <c r="AO16" s="45">
        <f ca="1">MIN(AL16,Inputs!$B$36)</f>
        <v>0</v>
      </c>
      <c r="AP16" s="45">
        <f ca="1">MIN(AN16,Inputs!$B$36-AO16)</f>
        <v>0</v>
      </c>
      <c r="AQ16" s="45">
        <f ca="1">MIN(AM16,Inputs!$B$36-AO16-AP16)</f>
        <v>0</v>
      </c>
      <c r="AR16" s="45">
        <f t="shared" ca="1" si="11"/>
        <v>0</v>
      </c>
      <c r="AS16" s="45">
        <f t="shared" ca="1" si="12"/>
        <v>0</v>
      </c>
      <c r="AT16" s="45">
        <f t="shared" ca="1" si="13"/>
        <v>0</v>
      </c>
      <c r="AU16" s="45">
        <f t="shared" ca="1" si="14"/>
        <v>0</v>
      </c>
      <c r="AV16" s="46">
        <f ca="1">AU16*Inputs!$B$35</f>
        <v>0</v>
      </c>
      <c r="AW16" s="46">
        <f ca="1">AR16*Inputs!$C$6+AT16*Inputs!$C$7+AS16*Inputs!$C$8</f>
        <v>0</v>
      </c>
      <c r="AX16" s="46">
        <f t="shared" ca="1" si="15"/>
        <v>42627167.936762355</v>
      </c>
      <c r="AY16" s="46">
        <f ca="1">IF(J16&gt;1,($CD$4)*Inputs!$B$55*((Z16+AA16+AB16)/(SUM(ILP_B_Moderate!$C$9:$E$13))),0)</f>
        <v>0</v>
      </c>
      <c r="AZ16" s="46">
        <f t="shared" ca="1" si="16"/>
        <v>0</v>
      </c>
      <c r="BA16" s="41">
        <f t="shared" ca="1" si="17"/>
        <v>0</v>
      </c>
      <c r="BB16" s="41">
        <f t="shared" ca="1" si="18"/>
        <v>1</v>
      </c>
      <c r="BC16" s="41">
        <f t="shared" ca="1" si="19"/>
        <v>1</v>
      </c>
      <c r="BD16" s="41">
        <f t="shared" ca="1" si="20"/>
        <v>1</v>
      </c>
    </row>
    <row r="17" spans="1:56" ht="15" customHeight="1" x14ac:dyDescent="0.3">
      <c r="A17" s="41">
        <v>10</v>
      </c>
      <c r="B17" s="42">
        <f t="shared" ca="1" si="0"/>
        <v>0.49047470195304499</v>
      </c>
      <c r="C17" s="43">
        <f ca="1">IF(B17&lt;=Inputs!$C$40,Inputs!$D$40,IF(B17&lt;=Inputs!$C$41,Inputs!$D$41,Inputs!$D$42))</f>
        <v>1</v>
      </c>
      <c r="D17" s="42">
        <f t="shared" ca="1" si="1"/>
        <v>8.2599626346530286E-2</v>
      </c>
      <c r="E17" s="42">
        <f t="shared" ca="1" si="1"/>
        <v>4.3736607746903244E-2</v>
      </c>
      <c r="F17" s="42">
        <f t="shared" ca="1" si="1"/>
        <v>0.86027137656350328</v>
      </c>
      <c r="G17" s="42">
        <f t="shared" ca="1" si="1"/>
        <v>0.15431043373602382</v>
      </c>
      <c r="H17" s="42">
        <f t="shared" ca="1" si="1"/>
        <v>0.12309336311114327</v>
      </c>
      <c r="I17" s="42">
        <f t="shared" ca="1" si="1"/>
        <v>0.27547099575433065</v>
      </c>
      <c r="J17" s="43">
        <f ca="1">IF(I17&lt;Inputs!$B$54,1+Inputs!$B$55,1)</f>
        <v>1</v>
      </c>
      <c r="K17" s="42">
        <f t="shared" ca="1" si="2"/>
        <v>0.69761722949202942</v>
      </c>
      <c r="L17" s="42">
        <f t="shared" ca="1" si="2"/>
        <v>0.18834007185772283</v>
      </c>
      <c r="M17" s="42">
        <f t="shared" ca="1" si="2"/>
        <v>0.54574700625333561</v>
      </c>
      <c r="N17" s="42">
        <f t="shared" ca="1" si="2"/>
        <v>2.7154875882225649E-2</v>
      </c>
      <c r="O17" s="42">
        <f t="shared" ca="1" si="2"/>
        <v>0.69994441653017447</v>
      </c>
      <c r="P17" s="42">
        <f t="shared" ca="1" si="2"/>
        <v>0.83265607803568986</v>
      </c>
      <c r="Q17" s="42">
        <f t="shared" ca="1" si="2"/>
        <v>3.3297413255994113E-2</v>
      </c>
      <c r="R17" s="42">
        <f t="shared" ca="1" si="2"/>
        <v>0.97191365243214967</v>
      </c>
      <c r="S17" s="42">
        <f t="shared" ca="1" si="2"/>
        <v>0.21678995372991938</v>
      </c>
      <c r="T17" s="42">
        <f t="shared" ca="1" si="2"/>
        <v>0.46180926730970295</v>
      </c>
      <c r="U17" s="44">
        <f ca="1">(IF(D17&gt;=Inputs!$E$12,1,IF(K17&lt;=Inputs!$C$46,Inputs!$D$46,IF(K17&lt;=Inputs!$C$47,Inputs!$D$47,Inputs!$D$48))))*((Inputs!$B$28+(P17-0.5)*2*Inputs!$B$53)/Inputs!$B$28)</f>
        <v>1.003366964352588</v>
      </c>
      <c r="V17" s="44">
        <f ca="1">(IF(E17&gt;=Inputs!$E$13,1,IF(L17&lt;=Inputs!$C$46,Inputs!$D$46,IF(L17&lt;=Inputs!$C$47,Inputs!$D$47,Inputs!$D$48))))*((Inputs!$B$29+(Q17-0.5)*2*Inputs!$B$53)/Inputs!$B$29)</f>
        <v>0.59717720209630643</v>
      </c>
      <c r="W17" s="44">
        <f ca="1">(IF(F17&gt;=Inputs!$E$14,1,IF(M17&lt;=Inputs!$C$46,Inputs!$D$46,IF(M17&lt;=Inputs!$C$47,Inputs!$D$47,Inputs!$D$48))))*((Inputs!$B$30+(R17-0.5)*2*Inputs!$B$53)/Inputs!$B$30)</f>
        <v>1.0047428507782126</v>
      </c>
      <c r="X17" s="44">
        <f ca="1">(IF(G17&gt;=Inputs!$E$15,1,IF(N17&lt;=Inputs!$C$46,Inputs!$D$46,IF(N17&lt;=Inputs!$C$47,Inputs!$D$47,Inputs!$D$48))))*((Inputs!$B$31+(S17-0.5)*2*Inputs!$B$53)/Inputs!$B$31)</f>
        <v>0.59827486266231422</v>
      </c>
      <c r="Y17" s="44">
        <f ca="1">(IF(H17&gt;=Inputs!$E$16,1,IF(O17&lt;=Inputs!$C$46,Inputs!$D$46,IF(O17&lt;=Inputs!$C$47,Inputs!$D$47,Inputs!$D$48))))*((Inputs!$B$32+(T17-0.5)*2*Inputs!$B$53)/Inputs!$B$32)</f>
        <v>0.99961578739748191</v>
      </c>
      <c r="Z17" s="45">
        <f ca="1">ILP_B_Moderate!$C$9*U17+ILP_B_Moderate!$C$10*V17+ILP_B_Moderate!$C$11*W17+ILP_B_Moderate!$C$12*X17+ILP_B_Moderate!$C$13*Y17</f>
        <v>12842.009683677798</v>
      </c>
      <c r="AA17" s="45">
        <f ca="1">ILP_B_Moderate!$D$9*U17+ILP_B_Moderate!$D$10*V17+ILP_B_Moderate!$D$11*W17+ILP_B_Moderate!$D$12*X17+ILP_B_Moderate!$D$13*Y17</f>
        <v>10861.721521600137</v>
      </c>
      <c r="AB17" s="45">
        <f ca="1">ILP_B_Moderate!$E$9*U17+ILP_B_Moderate!$E$10*V17+ILP_B_Moderate!$E$11*W17+ILP_B_Moderate!$E$12*X17+ILP_B_Moderate!$E$13*Y17</f>
        <v>11005.361029882662</v>
      </c>
      <c r="AC17" s="45">
        <f ca="1">Inputs!$B$6*$C17</f>
        <v>18000</v>
      </c>
      <c r="AD17" s="45">
        <f ca="1">Inputs!$B$7*$C17</f>
        <v>15000</v>
      </c>
      <c r="AE17" s="45">
        <f ca="1">Inputs!$B$8*$C17</f>
        <v>12000</v>
      </c>
      <c r="AF17" s="45">
        <f t="shared" ca="1" si="3"/>
        <v>5157.9903163222025</v>
      </c>
      <c r="AG17" s="45">
        <f t="shared" ca="1" si="4"/>
        <v>4138.2784783998632</v>
      </c>
      <c r="AH17" s="45">
        <f t="shared" ca="1" si="5"/>
        <v>994.63897011733752</v>
      </c>
      <c r="AI17" s="45">
        <f t="shared" ca="1" si="6"/>
        <v>10290.907764839403</v>
      </c>
      <c r="AJ17" s="45">
        <f ca="1">U17*(Inputs!$B$12-ILP_B_Moderate!$F$9)+V17*(Inputs!$B$13-ILP_B_Moderate!$F$10)+W17*(Inputs!$B$14-ILP_B_Moderate!$F$11)+X17*(Inputs!$B$15-ILP_B_Moderate!$F$12)+Y17*(Inputs!$B$16-ILP_B_Moderate!$F$13)</f>
        <v>24940.452246855864</v>
      </c>
      <c r="AK17" s="45">
        <f t="shared" ca="1" si="7"/>
        <v>10290.907764839403</v>
      </c>
      <c r="AL17" s="45">
        <f t="shared" ca="1" si="8"/>
        <v>0</v>
      </c>
      <c r="AM17" s="45">
        <f t="shared" ca="1" si="9"/>
        <v>0</v>
      </c>
      <c r="AN17" s="45">
        <f t="shared" ca="1" si="10"/>
        <v>0</v>
      </c>
      <c r="AO17" s="45">
        <f ca="1">MIN(AL17,Inputs!$B$36)</f>
        <v>0</v>
      </c>
      <c r="AP17" s="45">
        <f ca="1">MIN(AN17,Inputs!$B$36-AO17)</f>
        <v>0</v>
      </c>
      <c r="AQ17" s="45">
        <f ca="1">MIN(AM17,Inputs!$B$36-AO17-AP17)</f>
        <v>0</v>
      </c>
      <c r="AR17" s="45">
        <f t="shared" ca="1" si="11"/>
        <v>0</v>
      </c>
      <c r="AS17" s="45">
        <f t="shared" ca="1" si="12"/>
        <v>0</v>
      </c>
      <c r="AT17" s="45">
        <f t="shared" ca="1" si="13"/>
        <v>0</v>
      </c>
      <c r="AU17" s="45">
        <f t="shared" ca="1" si="14"/>
        <v>0</v>
      </c>
      <c r="AV17" s="46">
        <f ca="1">AU17*Inputs!$B$35</f>
        <v>0</v>
      </c>
      <c r="AW17" s="46">
        <f ca="1">AR17*Inputs!$C$6+AT17*Inputs!$C$7+AS17*Inputs!$C$8</f>
        <v>0</v>
      </c>
      <c r="AX17" s="46">
        <f t="shared" ca="1" si="15"/>
        <v>36798682.254112989</v>
      </c>
      <c r="AY17" s="46">
        <f ca="1">IF(J17&gt;1,($CD$4)*Inputs!$B$55*((Z17+AA17+AB17)/(SUM(ILP_B_Moderate!$C$9:$E$13))),0)</f>
        <v>0</v>
      </c>
      <c r="AZ17" s="46">
        <f t="shared" ca="1" si="16"/>
        <v>0</v>
      </c>
      <c r="BA17" s="41">
        <f t="shared" ca="1" si="17"/>
        <v>0</v>
      </c>
      <c r="BB17" s="41">
        <f t="shared" ca="1" si="18"/>
        <v>1</v>
      </c>
      <c r="BC17" s="41">
        <f t="shared" ca="1" si="19"/>
        <v>1</v>
      </c>
      <c r="BD17" s="41">
        <f t="shared" ca="1" si="20"/>
        <v>1</v>
      </c>
    </row>
    <row r="18" spans="1:56" ht="15" customHeight="1" x14ac:dyDescent="0.3">
      <c r="A18" s="41">
        <v>11</v>
      </c>
      <c r="B18" s="42">
        <f t="shared" ca="1" si="0"/>
        <v>0.77287482717928258</v>
      </c>
      <c r="C18" s="43">
        <f ca="1">IF(B18&lt;=Inputs!$C$40,Inputs!$D$40,IF(B18&lt;=Inputs!$C$41,Inputs!$D$41,Inputs!$D$42))</f>
        <v>1.1499999999999999</v>
      </c>
      <c r="D18" s="42">
        <f t="shared" ref="D18:I27" ca="1" si="21">RAND()</f>
        <v>0.70627265118883931</v>
      </c>
      <c r="E18" s="42">
        <f t="shared" ca="1" si="21"/>
        <v>0.36022292722114679</v>
      </c>
      <c r="F18" s="42">
        <f t="shared" ca="1" si="21"/>
        <v>0.55643257175061844</v>
      </c>
      <c r="G18" s="42">
        <f t="shared" ca="1" si="21"/>
        <v>0.26188260967775179</v>
      </c>
      <c r="H18" s="42">
        <f t="shared" ca="1" si="21"/>
        <v>0.80699541082479498</v>
      </c>
      <c r="I18" s="42">
        <f t="shared" ca="1" si="21"/>
        <v>0.45581395462141738</v>
      </c>
      <c r="J18" s="43">
        <f ca="1">IF(I18&lt;Inputs!$B$54,1+Inputs!$B$55,1)</f>
        <v>1</v>
      </c>
      <c r="K18" s="42">
        <f t="shared" ref="K18:T27" ca="1" si="22">RAND()</f>
        <v>1.3001029375500628E-2</v>
      </c>
      <c r="L18" s="42">
        <f t="shared" ca="1" si="22"/>
        <v>0.58079024586309724</v>
      </c>
      <c r="M18" s="42">
        <f t="shared" ca="1" si="22"/>
        <v>0.77594877747009305</v>
      </c>
      <c r="N18" s="42">
        <f t="shared" ca="1" si="22"/>
        <v>0.59892825561950014</v>
      </c>
      <c r="O18" s="42">
        <f t="shared" ca="1" si="22"/>
        <v>0.42182480346216999</v>
      </c>
      <c r="P18" s="42">
        <f t="shared" ca="1" si="22"/>
        <v>0.7380472053578101</v>
      </c>
      <c r="Q18" s="42">
        <f t="shared" ca="1" si="22"/>
        <v>0.216103020737755</v>
      </c>
      <c r="R18" s="42">
        <f t="shared" ca="1" si="22"/>
        <v>0.37533718042650788</v>
      </c>
      <c r="S18" s="42">
        <f t="shared" ca="1" si="22"/>
        <v>0.67233083498472157</v>
      </c>
      <c r="T18" s="42">
        <f t="shared" ca="1" si="22"/>
        <v>0.91649063204090986</v>
      </c>
      <c r="U18" s="44">
        <f ca="1">(IF(D18&gt;=Inputs!$E$12,1,IF(K18&lt;=Inputs!$C$46,Inputs!$D$46,IF(K18&lt;=Inputs!$C$47,Inputs!$D$47,Inputs!$D$48))))*((Inputs!$B$28+(P18-0.5)*2*Inputs!$B$53)/Inputs!$B$28)</f>
        <v>1.0024093846696134</v>
      </c>
      <c r="V18" s="44">
        <f ca="1">(IF(E18&gt;=Inputs!$E$13,1,IF(L18&lt;=Inputs!$C$46,Inputs!$D$46,IF(L18&lt;=Inputs!$C$47,Inputs!$D$47,Inputs!$D$48))))*((Inputs!$B$29+(Q18-0.5)*2*Inputs!$B$53)/Inputs!$B$29)</f>
        <v>0.99713813528969508</v>
      </c>
      <c r="W18" s="44">
        <f ca="1">(IF(F18&gt;=Inputs!$E$14,1,IF(M18&lt;=Inputs!$C$46,Inputs!$D$46,IF(M18&lt;=Inputs!$C$47,Inputs!$D$47,Inputs!$D$48))))*((Inputs!$B$30+(R18-0.5)*2*Inputs!$B$53)/Inputs!$B$30)</f>
        <v>0.99874710734096994</v>
      </c>
      <c r="X18" s="44">
        <f ca="1">(IF(G18&gt;=Inputs!$E$15,1,IF(N18&lt;=Inputs!$C$46,Inputs!$D$46,IF(N18&lt;=Inputs!$C$47,Inputs!$D$47,Inputs!$D$48))))*((Inputs!$B$31+(S18-0.5)*2*Inputs!$B$53)/Inputs!$B$31)</f>
        <v>1.0017495516242103</v>
      </c>
      <c r="Y18" s="44">
        <f ca="1">(IF(H18&gt;=Inputs!$E$16,1,IF(O18&lt;=Inputs!$C$46,Inputs!$D$46,IF(O18&lt;=Inputs!$C$47,Inputs!$D$47,Inputs!$D$48))))*((Inputs!$B$32+(T18-0.5)*2*Inputs!$B$53)/Inputs!$B$32)</f>
        <v>1.0041900466000091</v>
      </c>
      <c r="Z18" s="45">
        <f ca="1">ILP_B_Moderate!$C$9*U18+ILP_B_Moderate!$C$10*V18+ILP_B_Moderate!$C$11*W18+ILP_B_Moderate!$C$12*X18+ILP_B_Moderate!$C$13*Y18</f>
        <v>18017.020149045369</v>
      </c>
      <c r="AA18" s="45">
        <f ca="1">ILP_B_Moderate!$D$9*U18+ILP_B_Moderate!$D$10*V18+ILP_B_Moderate!$D$11*W18+ILP_B_Moderate!$D$12*X18+ILP_B_Moderate!$D$13*Y18</f>
        <v>14994.745670506776</v>
      </c>
      <c r="AB18" s="45">
        <f ca="1">ILP_B_Moderate!$E$9*U18+ILP_B_Moderate!$E$10*V18+ILP_B_Moderate!$E$11*W18+ILP_B_Moderate!$E$12*X18+ILP_B_Moderate!$E$13*Y18</f>
        <v>12021.853978760984</v>
      </c>
      <c r="AC18" s="45">
        <f ca="1">Inputs!$B$6*$C18</f>
        <v>20700</v>
      </c>
      <c r="AD18" s="45">
        <f ca="1">Inputs!$B$7*$C18</f>
        <v>17250</v>
      </c>
      <c r="AE18" s="45">
        <f ca="1">Inputs!$B$8*$C18</f>
        <v>13799.999999999998</v>
      </c>
      <c r="AF18" s="45">
        <f t="shared" ca="1" si="3"/>
        <v>2682.9798509546308</v>
      </c>
      <c r="AG18" s="45">
        <f t="shared" ca="1" si="4"/>
        <v>2255.2543294932238</v>
      </c>
      <c r="AH18" s="45">
        <f t="shared" ca="1" si="5"/>
        <v>1778.1460212390139</v>
      </c>
      <c r="AI18" s="45">
        <f t="shared" ca="1" si="6"/>
        <v>6716.3802016868685</v>
      </c>
      <c r="AJ18" s="45">
        <f ca="1">U18*(Inputs!$B$12-ILP_B_Moderate!$F$9)+V18*(Inputs!$B$13-ILP_B_Moderate!$F$10)+W18*(Inputs!$B$14-ILP_B_Moderate!$F$11)+X18*(Inputs!$B$15-ILP_B_Moderate!$F$12)+Y18*(Inputs!$B$16-ILP_B_Moderate!$F$13)</f>
        <v>25032.421964379682</v>
      </c>
      <c r="AK18" s="45">
        <f t="shared" ca="1" si="7"/>
        <v>6716.3802016868685</v>
      </c>
      <c r="AL18" s="45">
        <f t="shared" ca="1" si="8"/>
        <v>0</v>
      </c>
      <c r="AM18" s="45">
        <f t="shared" ca="1" si="9"/>
        <v>0</v>
      </c>
      <c r="AN18" s="45">
        <f t="shared" ca="1" si="10"/>
        <v>0</v>
      </c>
      <c r="AO18" s="45">
        <f ca="1">MIN(AL18,Inputs!$B$36)</f>
        <v>0</v>
      </c>
      <c r="AP18" s="45">
        <f ca="1">MIN(AN18,Inputs!$B$36-AO18)</f>
        <v>0</v>
      </c>
      <c r="AQ18" s="45">
        <f ca="1">MIN(AM18,Inputs!$B$36-AO18-AP18)</f>
        <v>0</v>
      </c>
      <c r="AR18" s="45">
        <f t="shared" ca="1" si="11"/>
        <v>0</v>
      </c>
      <c r="AS18" s="45">
        <f t="shared" ca="1" si="12"/>
        <v>0</v>
      </c>
      <c r="AT18" s="45">
        <f t="shared" ca="1" si="13"/>
        <v>0</v>
      </c>
      <c r="AU18" s="45">
        <f t="shared" ca="1" si="14"/>
        <v>0</v>
      </c>
      <c r="AV18" s="46">
        <f ca="1">AU18*Inputs!$B$35</f>
        <v>0</v>
      </c>
      <c r="AW18" s="46">
        <f ca="1">AR18*Inputs!$C$6+AT18*Inputs!$C$7+AS18*Inputs!$C$8</f>
        <v>0</v>
      </c>
      <c r="AX18" s="46">
        <f t="shared" ca="1" si="15"/>
        <v>47604873.764233634</v>
      </c>
      <c r="AY18" s="46">
        <f ca="1">IF(J18&gt;1,($CD$4)*Inputs!$B$55*((Z18+AA18+AB18)/(SUM(ILP_B_Moderate!$C$9:$E$13))),0)</f>
        <v>0</v>
      </c>
      <c r="AZ18" s="46">
        <f t="shared" ca="1" si="16"/>
        <v>0</v>
      </c>
      <c r="BA18" s="41">
        <f t="shared" ca="1" si="17"/>
        <v>0</v>
      </c>
      <c r="BB18" s="41">
        <f t="shared" ca="1" si="18"/>
        <v>1</v>
      </c>
      <c r="BC18" s="41">
        <f t="shared" ca="1" si="19"/>
        <v>1</v>
      </c>
      <c r="BD18" s="41">
        <f t="shared" ca="1" si="20"/>
        <v>1</v>
      </c>
    </row>
    <row r="19" spans="1:56" ht="15" customHeight="1" x14ac:dyDescent="0.3">
      <c r="A19" s="41">
        <v>12</v>
      </c>
      <c r="B19" s="42">
        <f t="shared" ca="1" si="0"/>
        <v>0.56686028160361046</v>
      </c>
      <c r="C19" s="43">
        <f ca="1">IF(B19&lt;=Inputs!$C$40,Inputs!$D$40,IF(B19&lt;=Inputs!$C$41,Inputs!$D$41,Inputs!$D$42))</f>
        <v>1</v>
      </c>
      <c r="D19" s="42">
        <f t="shared" ca="1" si="21"/>
        <v>0.33201187320661463</v>
      </c>
      <c r="E19" s="42">
        <f t="shared" ca="1" si="21"/>
        <v>0.94256034428955926</v>
      </c>
      <c r="F19" s="42">
        <f t="shared" ca="1" si="21"/>
        <v>0.85193242976647721</v>
      </c>
      <c r="G19" s="42">
        <f t="shared" ca="1" si="21"/>
        <v>0.33700504695669042</v>
      </c>
      <c r="H19" s="42">
        <f t="shared" ca="1" si="21"/>
        <v>0.61907427680380589</v>
      </c>
      <c r="I19" s="42">
        <f t="shared" ca="1" si="21"/>
        <v>1.1172819914592957E-2</v>
      </c>
      <c r="J19" s="43">
        <f ca="1">IF(I19&lt;Inputs!$B$54,1+Inputs!$B$55,1)</f>
        <v>1.25</v>
      </c>
      <c r="K19" s="42">
        <f t="shared" ca="1" si="22"/>
        <v>0.85896089509129514</v>
      </c>
      <c r="L19" s="42">
        <f t="shared" ca="1" si="22"/>
        <v>0.87957434807280332</v>
      </c>
      <c r="M19" s="42">
        <f t="shared" ca="1" si="22"/>
        <v>0.52901670415262647</v>
      </c>
      <c r="N19" s="42">
        <f t="shared" ca="1" si="22"/>
        <v>0.65708164235870792</v>
      </c>
      <c r="O19" s="42">
        <f t="shared" ca="1" si="22"/>
        <v>0.27453534145755165</v>
      </c>
      <c r="P19" s="42">
        <f t="shared" ca="1" si="22"/>
        <v>0.94510954912599376</v>
      </c>
      <c r="Q19" s="42">
        <f t="shared" ca="1" si="22"/>
        <v>0.62853726136059118</v>
      </c>
      <c r="R19" s="42">
        <f t="shared" ca="1" si="22"/>
        <v>0.3799067202237506</v>
      </c>
      <c r="S19" s="42">
        <f t="shared" ca="1" si="22"/>
        <v>0.2126541720205426</v>
      </c>
      <c r="T19" s="42">
        <f t="shared" ca="1" si="22"/>
        <v>0.76417154237333174</v>
      </c>
      <c r="U19" s="44">
        <f ca="1">(IF(D19&gt;=Inputs!$E$12,1,IF(K19&lt;=Inputs!$C$46,Inputs!$D$46,IF(K19&lt;=Inputs!$C$47,Inputs!$D$47,Inputs!$D$48))))*((Inputs!$B$28+(P19-0.5)*2*Inputs!$B$53)/Inputs!$B$28)</f>
        <v>1.0045051573798178</v>
      </c>
      <c r="V19" s="44">
        <f ca="1">(IF(E19&gt;=Inputs!$E$13,1,IF(L19&lt;=Inputs!$C$46,Inputs!$D$46,IF(L19&lt;=Inputs!$C$47,Inputs!$D$47,Inputs!$D$48))))*((Inputs!$B$29+(Q19-0.5)*2*Inputs!$B$53)/Inputs!$B$29)</f>
        <v>1.0012957385217802</v>
      </c>
      <c r="W19" s="44">
        <f ca="1">(IF(F19&gt;=Inputs!$E$14,1,IF(M19&lt;=Inputs!$C$46,Inputs!$D$46,IF(M19&lt;=Inputs!$C$47,Inputs!$D$47,Inputs!$D$48))))*((Inputs!$B$30+(R19-0.5)*2*Inputs!$B$53)/Inputs!$B$30)</f>
        <v>0.99879303236405781</v>
      </c>
      <c r="X19" s="44">
        <f ca="1">(IF(G19&gt;=Inputs!$E$15,1,IF(N19&lt;=Inputs!$C$46,Inputs!$D$46,IF(N19&lt;=Inputs!$C$47,Inputs!$D$47,Inputs!$D$48))))*((Inputs!$B$31+(S19-0.5)*2*Inputs!$B$53)/Inputs!$B$31)</f>
        <v>0.99708278347228974</v>
      </c>
      <c r="Y19" s="44">
        <f ca="1">(IF(H19&gt;=Inputs!$E$16,1,IF(O19&lt;=Inputs!$C$46,Inputs!$D$46,IF(O19&lt;=Inputs!$C$47,Inputs!$D$47,Inputs!$D$48))))*((Inputs!$B$32+(T19-0.5)*2*Inputs!$B$53)/Inputs!$B$32)</f>
        <v>1.0026576613920859</v>
      </c>
      <c r="Z19" s="45">
        <f ca="1">ILP_B_Moderate!$C$9*U19+ILP_B_Moderate!$C$10*V19+ILP_B_Moderate!$C$11*W19+ILP_B_Moderate!$C$12*X19+ILP_B_Moderate!$C$13*Y19</f>
        <v>18001.864597850647</v>
      </c>
      <c r="AA19" s="45">
        <f ca="1">ILP_B_Moderate!$D$9*U19+ILP_B_Moderate!$D$10*V19+ILP_B_Moderate!$D$11*W19+ILP_B_Moderate!$D$12*X19+ILP_B_Moderate!$D$13*Y19</f>
        <v>15022.575624842757</v>
      </c>
      <c r="AB19" s="45">
        <f ca="1">ILP_B_Moderate!$E$9*U19+ILP_B_Moderate!$E$10*V19+ILP_B_Moderate!$E$11*W19+ILP_B_Moderate!$E$12*X19+ILP_B_Moderate!$E$13*Y19</f>
        <v>12039.550314689734</v>
      </c>
      <c r="AC19" s="45">
        <f ca="1">Inputs!$B$6*$C19</f>
        <v>18000</v>
      </c>
      <c r="AD19" s="45">
        <f ca="1">Inputs!$B$7*$C19</f>
        <v>15000</v>
      </c>
      <c r="AE19" s="45">
        <f ca="1">Inputs!$B$8*$C19</f>
        <v>12000</v>
      </c>
      <c r="AF19" s="45">
        <f t="shared" ca="1" si="3"/>
        <v>0</v>
      </c>
      <c r="AG19" s="45">
        <f t="shared" ca="1" si="4"/>
        <v>0</v>
      </c>
      <c r="AH19" s="45">
        <f t="shared" ca="1" si="5"/>
        <v>0</v>
      </c>
      <c r="AI19" s="45">
        <f t="shared" ca="1" si="6"/>
        <v>0</v>
      </c>
      <c r="AJ19" s="45">
        <f ca="1">U19*(Inputs!$B$12-ILP_B_Moderate!$F$9)+V19*(Inputs!$B$13-ILP_B_Moderate!$F$10)+W19*(Inputs!$B$14-ILP_B_Moderate!$F$11)+X19*(Inputs!$B$15-ILP_B_Moderate!$F$12)+Y19*(Inputs!$B$16-ILP_B_Moderate!$F$13)</f>
        <v>25015.400063280391</v>
      </c>
      <c r="AK19" s="45">
        <f t="shared" ca="1" si="7"/>
        <v>0</v>
      </c>
      <c r="AL19" s="45">
        <f t="shared" ca="1" si="8"/>
        <v>0</v>
      </c>
      <c r="AM19" s="45">
        <f t="shared" ca="1" si="9"/>
        <v>0</v>
      </c>
      <c r="AN19" s="45">
        <f t="shared" ca="1" si="10"/>
        <v>0</v>
      </c>
      <c r="AO19" s="45">
        <f ca="1">MIN(AL19,Inputs!$B$36)</f>
        <v>0</v>
      </c>
      <c r="AP19" s="45">
        <f ca="1">MIN(AN19,Inputs!$B$36-AO19)</f>
        <v>0</v>
      </c>
      <c r="AQ19" s="45">
        <f ca="1">MIN(AM19,Inputs!$B$36-AO19-AP19)</f>
        <v>0</v>
      </c>
      <c r="AR19" s="45">
        <f t="shared" ca="1" si="11"/>
        <v>0</v>
      </c>
      <c r="AS19" s="45">
        <f t="shared" ca="1" si="12"/>
        <v>0</v>
      </c>
      <c r="AT19" s="45">
        <f t="shared" ca="1" si="13"/>
        <v>0</v>
      </c>
      <c r="AU19" s="45">
        <f t="shared" ca="1" si="14"/>
        <v>0</v>
      </c>
      <c r="AV19" s="46">
        <f ca="1">AU19*Inputs!$B$35</f>
        <v>0</v>
      </c>
      <c r="AW19" s="46">
        <f ca="1">AR19*Inputs!$C$6+AT19*Inputs!$C$7+AS19*Inputs!$C$8</f>
        <v>0</v>
      </c>
      <c r="AX19" s="46">
        <f t="shared" ca="1" si="15"/>
        <v>47638015.141070649</v>
      </c>
      <c r="AY19" s="46">
        <f ca="1">IF(J19&gt;1,($CD$4)*Inputs!$B$55*((Z19+AA19+AB19)/(SUM(ILP_B_Moderate!$C$9:$E$13))),0)</f>
        <v>571521.55643533182</v>
      </c>
      <c r="AZ19" s="46">
        <f t="shared" ca="1" si="16"/>
        <v>0</v>
      </c>
      <c r="BA19" s="41">
        <f t="shared" ca="1" si="17"/>
        <v>0</v>
      </c>
      <c r="BB19" s="41">
        <f t="shared" ca="1" si="18"/>
        <v>1</v>
      </c>
      <c r="BC19" s="41">
        <f t="shared" ca="1" si="19"/>
        <v>1</v>
      </c>
      <c r="BD19" s="41">
        <f t="shared" ca="1" si="20"/>
        <v>1</v>
      </c>
    </row>
    <row r="20" spans="1:56" ht="15" customHeight="1" x14ac:dyDescent="0.3">
      <c r="A20" s="41">
        <v>13</v>
      </c>
      <c r="B20" s="42">
        <f t="shared" ca="1" si="0"/>
        <v>0.49725045059258433</v>
      </c>
      <c r="C20" s="43">
        <f ca="1">IF(B20&lt;=Inputs!$C$40,Inputs!$D$40,IF(B20&lt;=Inputs!$C$41,Inputs!$D$41,Inputs!$D$42))</f>
        <v>1</v>
      </c>
      <c r="D20" s="42">
        <f t="shared" ca="1" si="21"/>
        <v>0.43567651151776776</v>
      </c>
      <c r="E20" s="42">
        <f t="shared" ca="1" si="21"/>
        <v>0.28315962968820585</v>
      </c>
      <c r="F20" s="42">
        <f t="shared" ca="1" si="21"/>
        <v>7.7652913763323173E-2</v>
      </c>
      <c r="G20" s="42">
        <f t="shared" ca="1" si="21"/>
        <v>0.83206432350298865</v>
      </c>
      <c r="H20" s="42">
        <f t="shared" ca="1" si="21"/>
        <v>0.79983964135649466</v>
      </c>
      <c r="I20" s="42">
        <f t="shared" ca="1" si="21"/>
        <v>0.96745210012850757</v>
      </c>
      <c r="J20" s="43">
        <f ca="1">IF(I20&lt;Inputs!$B$54,1+Inputs!$B$55,1)</f>
        <v>1</v>
      </c>
      <c r="K20" s="42">
        <f t="shared" ca="1" si="22"/>
        <v>0.12710841269228912</v>
      </c>
      <c r="L20" s="42">
        <f t="shared" ca="1" si="22"/>
        <v>8.8142263344760385E-3</v>
      </c>
      <c r="M20" s="42">
        <f t="shared" ca="1" si="22"/>
        <v>0.45503430359277053</v>
      </c>
      <c r="N20" s="42">
        <f t="shared" ca="1" si="22"/>
        <v>0.11473698490283313</v>
      </c>
      <c r="O20" s="42">
        <f t="shared" ca="1" si="22"/>
        <v>0.11215535203421023</v>
      </c>
      <c r="P20" s="42">
        <f t="shared" ca="1" si="22"/>
        <v>0.11681056901486953</v>
      </c>
      <c r="Q20" s="42">
        <f t="shared" ca="1" si="22"/>
        <v>0.22665495253860601</v>
      </c>
      <c r="R20" s="42">
        <f t="shared" ca="1" si="22"/>
        <v>0.10883950042443757</v>
      </c>
      <c r="S20" s="42">
        <f t="shared" ca="1" si="22"/>
        <v>0.95575683093346653</v>
      </c>
      <c r="T20" s="42">
        <f t="shared" ca="1" si="22"/>
        <v>4.8763259233813638E-2</v>
      </c>
      <c r="U20" s="44">
        <f ca="1">(IF(D20&gt;=Inputs!$E$12,1,IF(K20&lt;=Inputs!$C$46,Inputs!$D$46,IF(K20&lt;=Inputs!$C$47,Inputs!$D$47,Inputs!$D$48))))*((Inputs!$B$28+(P20-0.5)*2*Inputs!$B$53)/Inputs!$B$28)</f>
        <v>0.99612156446371325</v>
      </c>
      <c r="V20" s="44">
        <f ca="1">(IF(E20&gt;=Inputs!$E$13,1,IF(L20&lt;=Inputs!$C$46,Inputs!$D$46,IF(L20&lt;=Inputs!$C$47,Inputs!$D$47,Inputs!$D$48))))*((Inputs!$B$29+(Q20-0.5)*2*Inputs!$B$53)/Inputs!$B$29)</f>
        <v>0.99724450556994559</v>
      </c>
      <c r="W20" s="44">
        <f ca="1">(IF(F20&gt;=Inputs!$E$14,1,IF(M20&lt;=Inputs!$C$46,Inputs!$D$46,IF(M20&lt;=Inputs!$C$47,Inputs!$D$47,Inputs!$D$48))))*((Inputs!$B$30+(R20-0.5)*2*Inputs!$B$53)/Inputs!$B$30)</f>
        <v>0.99606873869773305</v>
      </c>
      <c r="X20" s="44">
        <f ca="1">(IF(G20&gt;=Inputs!$E$15,1,IF(N20&lt;=Inputs!$C$46,Inputs!$D$46,IF(N20&lt;=Inputs!$C$47,Inputs!$D$47,Inputs!$D$48))))*((Inputs!$B$31+(S20-0.5)*2*Inputs!$B$53)/Inputs!$B$31)</f>
        <v>1.0046269729028778</v>
      </c>
      <c r="Y20" s="44">
        <f ca="1">(IF(H20&gt;=Inputs!$E$16,1,IF(O20&lt;=Inputs!$C$46,Inputs!$D$46,IF(O20&lt;=Inputs!$C$47,Inputs!$D$47,Inputs!$D$48))))*((Inputs!$B$32+(T20-0.5)*2*Inputs!$B$53)/Inputs!$B$32)</f>
        <v>0.99546039496211081</v>
      </c>
      <c r="Z20" s="45">
        <f ca="1">ILP_B_Moderate!$C$9*U20+ILP_B_Moderate!$C$10*V20+ILP_B_Moderate!$C$11*W20+ILP_B_Moderate!$C$12*X20+ILP_B_Moderate!$C$13*Y20</f>
        <v>18011.084864262652</v>
      </c>
      <c r="AA20" s="45">
        <f ca="1">ILP_B_Moderate!$D$9*U20+ILP_B_Moderate!$D$10*V20+ILP_B_Moderate!$D$11*W20+ILP_B_Moderate!$D$12*X20+ILP_B_Moderate!$D$13*Y20</f>
        <v>14974.230777050885</v>
      </c>
      <c r="AB20" s="45">
        <f ca="1">ILP_B_Moderate!$E$9*U20+ILP_B_Moderate!$E$10*V20+ILP_B_Moderate!$E$11*W20+ILP_B_Moderate!$E$12*X20+ILP_B_Moderate!$E$13*Y20</f>
        <v>11953.980578844257</v>
      </c>
      <c r="AC20" s="45">
        <f ca="1">Inputs!$B$6*$C20</f>
        <v>18000</v>
      </c>
      <c r="AD20" s="45">
        <f ca="1">Inputs!$B$7*$C20</f>
        <v>15000</v>
      </c>
      <c r="AE20" s="45">
        <f ca="1">Inputs!$B$8*$C20</f>
        <v>12000</v>
      </c>
      <c r="AF20" s="45">
        <f t="shared" ca="1" si="3"/>
        <v>0</v>
      </c>
      <c r="AG20" s="45">
        <f t="shared" ca="1" si="4"/>
        <v>25.769222949114919</v>
      </c>
      <c r="AH20" s="45">
        <f t="shared" ca="1" si="5"/>
        <v>46.019421155742748</v>
      </c>
      <c r="AI20" s="45">
        <f t="shared" ca="1" si="6"/>
        <v>71.788644104857667</v>
      </c>
      <c r="AJ20" s="45">
        <f ca="1">U20*(Inputs!$B$12-ILP_B_Moderate!$F$9)+V20*(Inputs!$B$13-ILP_B_Moderate!$F$10)+W20*(Inputs!$B$14-ILP_B_Moderate!$F$11)+X20*(Inputs!$B$15-ILP_B_Moderate!$F$12)+Y20*(Inputs!$B$16-ILP_B_Moderate!$F$13)</f>
        <v>24896.395091577586</v>
      </c>
      <c r="AK20" s="45">
        <f t="shared" ca="1" si="7"/>
        <v>71.788644104857667</v>
      </c>
      <c r="AL20" s="45">
        <f t="shared" ca="1" si="8"/>
        <v>0</v>
      </c>
      <c r="AM20" s="45">
        <f t="shared" ca="1" si="9"/>
        <v>0</v>
      </c>
      <c r="AN20" s="45">
        <f t="shared" ca="1" si="10"/>
        <v>0</v>
      </c>
      <c r="AO20" s="45">
        <f ca="1">MIN(AL20,Inputs!$B$36)</f>
        <v>0</v>
      </c>
      <c r="AP20" s="45">
        <f ca="1">MIN(AN20,Inputs!$B$36-AO20)</f>
        <v>0</v>
      </c>
      <c r="AQ20" s="45">
        <f ca="1">MIN(AM20,Inputs!$B$36-AO20-AP20)</f>
        <v>0</v>
      </c>
      <c r="AR20" s="45">
        <f t="shared" ca="1" si="11"/>
        <v>0</v>
      </c>
      <c r="AS20" s="45">
        <f t="shared" ca="1" si="12"/>
        <v>0</v>
      </c>
      <c r="AT20" s="45">
        <f t="shared" ca="1" si="13"/>
        <v>0</v>
      </c>
      <c r="AU20" s="45">
        <f t="shared" ca="1" si="14"/>
        <v>0</v>
      </c>
      <c r="AV20" s="46">
        <f ca="1">AU20*Inputs!$B$35</f>
        <v>0</v>
      </c>
      <c r="AW20" s="46">
        <f ca="1">AR20*Inputs!$C$6+AT20*Inputs!$C$7+AS20*Inputs!$C$8</f>
        <v>0</v>
      </c>
      <c r="AX20" s="46">
        <f t="shared" ca="1" si="15"/>
        <v>47502391.7727395</v>
      </c>
      <c r="AY20" s="46">
        <f ca="1">IF(J20&gt;1,($CD$4)*Inputs!$B$55*((Z20+AA20+AB20)/(SUM(ILP_B_Moderate!$C$9:$E$13))),0)</f>
        <v>0</v>
      </c>
      <c r="AZ20" s="46">
        <f t="shared" ca="1" si="16"/>
        <v>0</v>
      </c>
      <c r="BA20" s="41">
        <f t="shared" ca="1" si="17"/>
        <v>0</v>
      </c>
      <c r="BB20" s="41">
        <f t="shared" ca="1" si="18"/>
        <v>1</v>
      </c>
      <c r="BC20" s="41">
        <f t="shared" ca="1" si="19"/>
        <v>1</v>
      </c>
      <c r="BD20" s="41">
        <f t="shared" ca="1" si="20"/>
        <v>1</v>
      </c>
    </row>
    <row r="21" spans="1:56" ht="15" customHeight="1" x14ac:dyDescent="0.3">
      <c r="A21" s="41">
        <v>14</v>
      </c>
      <c r="B21" s="42">
        <f t="shared" ca="1" si="0"/>
        <v>0.78838219487988903</v>
      </c>
      <c r="C21" s="43">
        <f ca="1">IF(B21&lt;=Inputs!$C$40,Inputs!$D$40,IF(B21&lt;=Inputs!$C$41,Inputs!$D$41,Inputs!$D$42))</f>
        <v>1.1499999999999999</v>
      </c>
      <c r="D21" s="42">
        <f t="shared" ca="1" si="21"/>
        <v>0.55136788379455803</v>
      </c>
      <c r="E21" s="42">
        <f t="shared" ca="1" si="21"/>
        <v>0.90708011810676969</v>
      </c>
      <c r="F21" s="42">
        <f t="shared" ca="1" si="21"/>
        <v>0.30997475256627161</v>
      </c>
      <c r="G21" s="42">
        <f t="shared" ca="1" si="21"/>
        <v>0.91336679689646783</v>
      </c>
      <c r="H21" s="42">
        <f t="shared" ca="1" si="21"/>
        <v>0.5620582552652581</v>
      </c>
      <c r="I21" s="42">
        <f t="shared" ca="1" si="21"/>
        <v>6.7541017051188756E-2</v>
      </c>
      <c r="J21" s="43">
        <f ca="1">IF(I21&lt;Inputs!$B$54,1+Inputs!$B$55,1)</f>
        <v>1.25</v>
      </c>
      <c r="K21" s="42">
        <f t="shared" ca="1" si="22"/>
        <v>9.2697787490065187E-2</v>
      </c>
      <c r="L21" s="42">
        <f t="shared" ca="1" si="22"/>
        <v>5.6435570609295937E-2</v>
      </c>
      <c r="M21" s="42">
        <f t="shared" ca="1" si="22"/>
        <v>0.1361746074699266</v>
      </c>
      <c r="N21" s="42">
        <f t="shared" ca="1" si="22"/>
        <v>0.15665656362713887</v>
      </c>
      <c r="O21" s="42">
        <f t="shared" ca="1" si="22"/>
        <v>0.19375397751986889</v>
      </c>
      <c r="P21" s="42">
        <f t="shared" ca="1" si="22"/>
        <v>0.31674031328210572</v>
      </c>
      <c r="Q21" s="42">
        <f t="shared" ca="1" si="22"/>
        <v>2.4199145005093348E-2</v>
      </c>
      <c r="R21" s="42">
        <f t="shared" ca="1" si="22"/>
        <v>0.31756573062315607</v>
      </c>
      <c r="S21" s="42">
        <f t="shared" ca="1" si="22"/>
        <v>0.53396869951178838</v>
      </c>
      <c r="T21" s="42">
        <f t="shared" ca="1" si="22"/>
        <v>9.7270353114107921E-2</v>
      </c>
      <c r="U21" s="44">
        <f ca="1">(IF(D21&gt;=Inputs!$E$12,1,IF(K21&lt;=Inputs!$C$46,Inputs!$D$46,IF(K21&lt;=Inputs!$C$47,Inputs!$D$47,Inputs!$D$48))))*((Inputs!$B$28+(P21-0.5)*2*Inputs!$B$53)/Inputs!$B$28)</f>
        <v>0.99814514487127637</v>
      </c>
      <c r="V21" s="44">
        <f ca="1">(IF(E21&gt;=Inputs!$E$13,1,IF(L21&lt;=Inputs!$C$46,Inputs!$D$46,IF(L21&lt;=Inputs!$C$47,Inputs!$D$47,Inputs!$D$48))))*((Inputs!$B$29+(Q21-0.5)*2*Inputs!$B$53)/Inputs!$B$29)</f>
        <v>0.99520362041335786</v>
      </c>
      <c r="W21" s="44">
        <f ca="1">(IF(F21&gt;=Inputs!$E$14,1,IF(M21&lt;=Inputs!$C$46,Inputs!$D$46,IF(M21&lt;=Inputs!$C$47,Inputs!$D$47,Inputs!$D$48))))*((Inputs!$B$30+(R21-0.5)*2*Inputs!$B$53)/Inputs!$B$30)</f>
        <v>0.99816648975500666</v>
      </c>
      <c r="X21" s="44">
        <f ca="1">(IF(G21&gt;=Inputs!$E$15,1,IF(N21&lt;=Inputs!$C$46,Inputs!$D$46,IF(N21&lt;=Inputs!$C$47,Inputs!$D$47,Inputs!$D$48))))*((Inputs!$B$31+(S21-0.5)*2*Inputs!$B$53)/Inputs!$B$31)</f>
        <v>1.0003448598935207</v>
      </c>
      <c r="Y21" s="44">
        <f ca="1">(IF(H21&gt;=Inputs!$E$16,1,IF(O21&lt;=Inputs!$C$46,Inputs!$D$46,IF(O21&lt;=Inputs!$C$47,Inputs!$D$47,Inputs!$D$48))))*((Inputs!$B$32+(T21-0.5)*2*Inputs!$B$53)/Inputs!$B$32)</f>
        <v>0.99594839389450818</v>
      </c>
      <c r="Z21" s="45">
        <f ca="1">ILP_B_Moderate!$C$9*U21+ILP_B_Moderate!$C$10*V21+ILP_B_Moderate!$C$11*W21+ILP_B_Moderate!$C$12*X21+ILP_B_Moderate!$C$13*Y21</f>
        <v>17975.020460182113</v>
      </c>
      <c r="AA21" s="45">
        <f ca="1">ILP_B_Moderate!$D$9*U21+ILP_B_Moderate!$D$10*V21+ILP_B_Moderate!$D$11*W21+ILP_B_Moderate!$D$12*X21+ILP_B_Moderate!$D$13*Y21</f>
        <v>14956.318935997486</v>
      </c>
      <c r="AB21" s="45">
        <f ca="1">ILP_B_Moderate!$E$9*U21+ILP_B_Moderate!$E$10*V21+ILP_B_Moderate!$E$11*W21+ILP_B_Moderate!$E$12*X21+ILP_B_Moderate!$E$13*Y21</f>
        <v>11962.687382516135</v>
      </c>
      <c r="AC21" s="45">
        <f ca="1">Inputs!$B$6*$C21</f>
        <v>20700</v>
      </c>
      <c r="AD21" s="45">
        <f ca="1">Inputs!$B$7*$C21</f>
        <v>17250</v>
      </c>
      <c r="AE21" s="45">
        <f ca="1">Inputs!$B$8*$C21</f>
        <v>13799.999999999998</v>
      </c>
      <c r="AF21" s="45">
        <f t="shared" ca="1" si="3"/>
        <v>2724.9795398178867</v>
      </c>
      <c r="AG21" s="45">
        <f t="shared" ca="1" si="4"/>
        <v>2293.6810640025142</v>
      </c>
      <c r="AH21" s="45">
        <f t="shared" ca="1" si="5"/>
        <v>1837.3126174838635</v>
      </c>
      <c r="AI21" s="45">
        <f t="shared" ca="1" si="6"/>
        <v>6855.9732213042644</v>
      </c>
      <c r="AJ21" s="45">
        <f ca="1">U21*(Inputs!$B$12-ILP_B_Moderate!$F$9)+V21*(Inputs!$B$13-ILP_B_Moderate!$F$10)+W21*(Inputs!$B$14-ILP_B_Moderate!$F$11)+X21*(Inputs!$B$15-ILP_B_Moderate!$F$12)+Y21*(Inputs!$B$16-ILP_B_Moderate!$F$13)</f>
        <v>24928.674818986656</v>
      </c>
      <c r="AK21" s="45">
        <f t="shared" ca="1" si="7"/>
        <v>6855.9732213042644</v>
      </c>
      <c r="AL21" s="45">
        <f t="shared" ca="1" si="8"/>
        <v>0</v>
      </c>
      <c r="AM21" s="45">
        <f t="shared" ca="1" si="9"/>
        <v>0</v>
      </c>
      <c r="AN21" s="45">
        <f t="shared" ca="1" si="10"/>
        <v>0</v>
      </c>
      <c r="AO21" s="45">
        <f ca="1">MIN(AL21,Inputs!$B$36)</f>
        <v>0</v>
      </c>
      <c r="AP21" s="45">
        <f ca="1">MIN(AN21,Inputs!$B$36-AO21)</f>
        <v>0</v>
      </c>
      <c r="AQ21" s="45">
        <f ca="1">MIN(AM21,Inputs!$B$36-AO21-AP21)</f>
        <v>0</v>
      </c>
      <c r="AR21" s="45">
        <f t="shared" ca="1" si="11"/>
        <v>0</v>
      </c>
      <c r="AS21" s="45">
        <f t="shared" ca="1" si="12"/>
        <v>0</v>
      </c>
      <c r="AT21" s="45">
        <f t="shared" ca="1" si="13"/>
        <v>0</v>
      </c>
      <c r="AU21" s="45">
        <f t="shared" ca="1" si="14"/>
        <v>0</v>
      </c>
      <c r="AV21" s="46">
        <f ca="1">AU21*Inputs!$B$35</f>
        <v>0</v>
      </c>
      <c r="AW21" s="46">
        <f ca="1">AR21*Inputs!$C$6+AT21*Inputs!$C$7+AS21*Inputs!$C$8</f>
        <v>0</v>
      </c>
      <c r="AX21" s="46">
        <f t="shared" ca="1" si="15"/>
        <v>47455938.602503598</v>
      </c>
      <c r="AY21" s="46">
        <f ca="1">IF(J21&gt;1,($CD$4)*Inputs!$B$55*((Z21+AA21+AB21)/(SUM(ILP_B_Moderate!$C$9:$E$13))),0)</f>
        <v>569366.00050820969</v>
      </c>
      <c r="AZ21" s="46">
        <f t="shared" ca="1" si="16"/>
        <v>0</v>
      </c>
      <c r="BA21" s="41">
        <f t="shared" ca="1" si="17"/>
        <v>0</v>
      </c>
      <c r="BB21" s="41">
        <f t="shared" ca="1" si="18"/>
        <v>1</v>
      </c>
      <c r="BC21" s="41">
        <f t="shared" ca="1" si="19"/>
        <v>1</v>
      </c>
      <c r="BD21" s="41">
        <f t="shared" ca="1" si="20"/>
        <v>1</v>
      </c>
    </row>
    <row r="22" spans="1:56" ht="15" customHeight="1" x14ac:dyDescent="0.3">
      <c r="A22" s="41">
        <v>15</v>
      </c>
      <c r="B22" s="42">
        <f t="shared" ca="1" si="0"/>
        <v>0.50902857902990239</v>
      </c>
      <c r="C22" s="43">
        <f ca="1">IF(B22&lt;=Inputs!$C$40,Inputs!$D$40,IF(B22&lt;=Inputs!$C$41,Inputs!$D$41,Inputs!$D$42))</f>
        <v>1</v>
      </c>
      <c r="D22" s="42">
        <f t="shared" ca="1" si="21"/>
        <v>0.66575566787982099</v>
      </c>
      <c r="E22" s="42">
        <f t="shared" ca="1" si="21"/>
        <v>0.8352341309760879</v>
      </c>
      <c r="F22" s="42">
        <f t="shared" ca="1" si="21"/>
        <v>3.2194070659796514E-2</v>
      </c>
      <c r="G22" s="42">
        <f t="shared" ca="1" si="21"/>
        <v>0.99618572549922058</v>
      </c>
      <c r="H22" s="42">
        <f t="shared" ca="1" si="21"/>
        <v>0.54975296230365645</v>
      </c>
      <c r="I22" s="42">
        <f t="shared" ca="1" si="21"/>
        <v>4.9754121946385732E-2</v>
      </c>
      <c r="J22" s="43">
        <f ca="1">IF(I22&lt;Inputs!$B$54,1+Inputs!$B$55,1)</f>
        <v>1.25</v>
      </c>
      <c r="K22" s="42">
        <f t="shared" ca="1" si="22"/>
        <v>0.11166043081926458</v>
      </c>
      <c r="L22" s="42">
        <f t="shared" ca="1" si="22"/>
        <v>0.32999382375315478</v>
      </c>
      <c r="M22" s="42">
        <f t="shared" ca="1" si="22"/>
        <v>0.31580463245198187</v>
      </c>
      <c r="N22" s="42">
        <f t="shared" ca="1" si="22"/>
        <v>0.93865529291217431</v>
      </c>
      <c r="O22" s="42">
        <f t="shared" ca="1" si="22"/>
        <v>0.98829494304901377</v>
      </c>
      <c r="P22" s="42">
        <f t="shared" ca="1" si="22"/>
        <v>0.19145714246760381</v>
      </c>
      <c r="Q22" s="42">
        <f t="shared" ca="1" si="22"/>
        <v>0.93134897787506099</v>
      </c>
      <c r="R22" s="42">
        <f t="shared" ca="1" si="22"/>
        <v>0.1413390456928989</v>
      </c>
      <c r="S22" s="42">
        <f t="shared" ca="1" si="22"/>
        <v>0.30159889217244029</v>
      </c>
      <c r="T22" s="42">
        <f t="shared" ca="1" si="22"/>
        <v>0.42026145816191895</v>
      </c>
      <c r="U22" s="44">
        <f ca="1">(IF(D22&gt;=Inputs!$E$12,1,IF(K22&lt;=Inputs!$C$46,Inputs!$D$46,IF(K22&lt;=Inputs!$C$47,Inputs!$D$47,Inputs!$D$48))))*((Inputs!$B$28+(P22-0.5)*2*Inputs!$B$53)/Inputs!$B$28)</f>
        <v>0.99687709658368018</v>
      </c>
      <c r="V22" s="44">
        <f ca="1">(IF(E22&gt;=Inputs!$E$13,1,IF(L22&lt;=Inputs!$C$46,Inputs!$D$46,IF(L22&lt;=Inputs!$C$47,Inputs!$D$47,Inputs!$D$48))))*((Inputs!$B$29+(Q22-0.5)*2*Inputs!$B$53)/Inputs!$B$29)</f>
        <v>1.0043482759866438</v>
      </c>
      <c r="W22" s="44">
        <f ca="1">(IF(F22&gt;=Inputs!$E$14,1,IF(M22&lt;=Inputs!$C$46,Inputs!$D$46,IF(M22&lt;=Inputs!$C$47,Inputs!$D$47,Inputs!$D$48))))*((Inputs!$B$30+(R22-0.5)*2*Inputs!$B$53)/Inputs!$B$30)</f>
        <v>0.59783722037603759</v>
      </c>
      <c r="X22" s="44">
        <f ca="1">(IF(G22&gt;=Inputs!$E$15,1,IF(N22&lt;=Inputs!$C$46,Inputs!$D$46,IF(N22&lt;=Inputs!$C$47,Inputs!$D$47,Inputs!$D$48))))*((Inputs!$B$31+(S22-0.5)*2*Inputs!$B$53)/Inputs!$B$31)</f>
        <v>0.99798577555505008</v>
      </c>
      <c r="Y22" s="44">
        <f ca="1">(IF(H22&gt;=Inputs!$E$16,1,IF(O22&lt;=Inputs!$C$46,Inputs!$D$46,IF(O22&lt;=Inputs!$C$47,Inputs!$D$47,Inputs!$D$48))))*((Inputs!$B$32+(T22-0.5)*2*Inputs!$B$53)/Inputs!$B$32)</f>
        <v>0.99919780138995895</v>
      </c>
      <c r="Z22" s="45">
        <f ca="1">ILP_B_Moderate!$C$9*U22+ILP_B_Moderate!$C$10*V22+ILP_B_Moderate!$C$11*W22+ILP_B_Moderate!$C$12*X22+ILP_B_Moderate!$C$13*Y22</f>
        <v>17982.694255896848</v>
      </c>
      <c r="AA22" s="45">
        <f ca="1">ILP_B_Moderate!$D$9*U22+ILP_B_Moderate!$D$10*V22+ILP_B_Moderate!$D$11*W22+ILP_B_Moderate!$D$12*X22+ILP_B_Moderate!$D$13*Y22</f>
        <v>15012.316768976692</v>
      </c>
      <c r="AB22" s="45">
        <f ca="1">ILP_B_Moderate!$E$9*U22+ILP_B_Moderate!$E$10*V22+ILP_B_Moderate!$E$11*W22+ILP_B_Moderate!$E$12*X22+ILP_B_Moderate!$E$13*Y22</f>
        <v>11989.407981927094</v>
      </c>
      <c r="AC22" s="45">
        <f ca="1">Inputs!$B$6*$C22</f>
        <v>18000</v>
      </c>
      <c r="AD22" s="45">
        <f ca="1">Inputs!$B$7*$C22</f>
        <v>15000</v>
      </c>
      <c r="AE22" s="45">
        <f ca="1">Inputs!$B$8*$C22</f>
        <v>12000</v>
      </c>
      <c r="AF22" s="45">
        <f t="shared" ca="1" si="3"/>
        <v>17.305744103152392</v>
      </c>
      <c r="AG22" s="45">
        <f t="shared" ca="1" si="4"/>
        <v>0</v>
      </c>
      <c r="AH22" s="45">
        <f t="shared" ca="1" si="5"/>
        <v>10.592018072906285</v>
      </c>
      <c r="AI22" s="45">
        <f t="shared" ca="1" si="6"/>
        <v>27.897762176058677</v>
      </c>
      <c r="AJ22" s="45">
        <f ca="1">U22*(Inputs!$B$12-ILP_B_Moderate!$F$9)+V22*(Inputs!$B$13-ILP_B_Moderate!$F$10)+W22*(Inputs!$B$14-ILP_B_Moderate!$F$11)+X22*(Inputs!$B$15-ILP_B_Moderate!$F$12)+Y22*(Inputs!$B$16-ILP_B_Moderate!$F$13)</f>
        <v>19762.170594749736</v>
      </c>
      <c r="AK22" s="45">
        <f t="shared" ca="1" si="7"/>
        <v>27.897762176058677</v>
      </c>
      <c r="AL22" s="45">
        <f t="shared" ca="1" si="8"/>
        <v>0</v>
      </c>
      <c r="AM22" s="45">
        <f t="shared" ca="1" si="9"/>
        <v>0</v>
      </c>
      <c r="AN22" s="45">
        <f t="shared" ca="1" si="10"/>
        <v>0</v>
      </c>
      <c r="AO22" s="45">
        <f ca="1">MIN(AL22,Inputs!$B$36)</f>
        <v>0</v>
      </c>
      <c r="AP22" s="45">
        <f ca="1">MIN(AN22,Inputs!$B$36-AO22)</f>
        <v>0</v>
      </c>
      <c r="AQ22" s="45">
        <f ca="1">MIN(AM22,Inputs!$B$36-AO22-AP22)</f>
        <v>0</v>
      </c>
      <c r="AR22" s="45">
        <f t="shared" ca="1" si="11"/>
        <v>0</v>
      </c>
      <c r="AS22" s="45">
        <f t="shared" ca="1" si="12"/>
        <v>0</v>
      </c>
      <c r="AT22" s="45">
        <f t="shared" ca="1" si="13"/>
        <v>0</v>
      </c>
      <c r="AU22" s="45">
        <f t="shared" ca="1" si="14"/>
        <v>0</v>
      </c>
      <c r="AV22" s="46">
        <f ca="1">AU22*Inputs!$B$35</f>
        <v>0</v>
      </c>
      <c r="AW22" s="46">
        <f ca="1">AR22*Inputs!$C$6+AT22*Inputs!$C$7+AS22*Inputs!$C$8</f>
        <v>0</v>
      </c>
      <c r="AX22" s="46">
        <f t="shared" ca="1" si="15"/>
        <v>47552205.205000363</v>
      </c>
      <c r="AY22" s="46">
        <f ca="1">IF(J22&gt;1,($CD$4)*Inputs!$B$55*((Z22+AA22+AB22)/(SUM(ILP_B_Moderate!$C$9:$E$13))),0)</f>
        <v>570512.39491935982</v>
      </c>
      <c r="AZ22" s="46">
        <f t="shared" ca="1" si="16"/>
        <v>0</v>
      </c>
      <c r="BA22" s="41">
        <f t="shared" ca="1" si="17"/>
        <v>0</v>
      </c>
      <c r="BB22" s="41">
        <f t="shared" ca="1" si="18"/>
        <v>1</v>
      </c>
      <c r="BC22" s="41">
        <f t="shared" ca="1" si="19"/>
        <v>1</v>
      </c>
      <c r="BD22" s="41">
        <f t="shared" ca="1" si="20"/>
        <v>1</v>
      </c>
    </row>
    <row r="23" spans="1:56" ht="15" customHeight="1" x14ac:dyDescent="0.3">
      <c r="A23" s="41">
        <v>16</v>
      </c>
      <c r="B23" s="42">
        <f t="shared" ca="1" si="0"/>
        <v>0.75960143442440942</v>
      </c>
      <c r="C23" s="43">
        <f ca="1">IF(B23&lt;=Inputs!$C$40,Inputs!$D$40,IF(B23&lt;=Inputs!$C$41,Inputs!$D$41,Inputs!$D$42))</f>
        <v>1.1499999999999999</v>
      </c>
      <c r="D23" s="42">
        <f t="shared" ca="1" si="21"/>
        <v>0.32674078428448705</v>
      </c>
      <c r="E23" s="42">
        <f t="shared" ca="1" si="21"/>
        <v>0.96768020949238864</v>
      </c>
      <c r="F23" s="42">
        <f t="shared" ca="1" si="21"/>
        <v>0.78866705810221394</v>
      </c>
      <c r="G23" s="42">
        <f t="shared" ca="1" si="21"/>
        <v>0.24395971585126452</v>
      </c>
      <c r="H23" s="42">
        <f t="shared" ca="1" si="21"/>
        <v>0.32834443977716732</v>
      </c>
      <c r="I23" s="42">
        <f t="shared" ca="1" si="21"/>
        <v>4.1454817125913812E-2</v>
      </c>
      <c r="J23" s="43">
        <f ca="1">IF(I23&lt;Inputs!$B$54,1+Inputs!$B$55,1)</f>
        <v>1.25</v>
      </c>
      <c r="K23" s="42">
        <f t="shared" ca="1" si="22"/>
        <v>8.7253659309483256E-2</v>
      </c>
      <c r="L23" s="42">
        <f t="shared" ca="1" si="22"/>
        <v>0.95332240002641078</v>
      </c>
      <c r="M23" s="42">
        <f t="shared" ca="1" si="22"/>
        <v>0.596767907632058</v>
      </c>
      <c r="N23" s="42">
        <f t="shared" ca="1" si="22"/>
        <v>0.1168849653833024</v>
      </c>
      <c r="O23" s="42">
        <f t="shared" ca="1" si="22"/>
        <v>0.27480200071660399</v>
      </c>
      <c r="P23" s="42">
        <f t="shared" ca="1" si="22"/>
        <v>0.49192267283502933</v>
      </c>
      <c r="Q23" s="42">
        <f t="shared" ca="1" si="22"/>
        <v>0.83053135403209699</v>
      </c>
      <c r="R23" s="42">
        <f t="shared" ca="1" si="22"/>
        <v>0.13117284533190199</v>
      </c>
      <c r="S23" s="42">
        <f t="shared" ca="1" si="22"/>
        <v>0.21316176988507096</v>
      </c>
      <c r="T23" s="42">
        <f t="shared" ca="1" si="22"/>
        <v>0.95095547667088531</v>
      </c>
      <c r="U23" s="44">
        <f ca="1">(IF(D23&gt;=Inputs!$E$12,1,IF(K23&lt;=Inputs!$C$46,Inputs!$D$46,IF(K23&lt;=Inputs!$C$47,Inputs!$D$47,Inputs!$D$48))))*((Inputs!$B$28+(P23-0.5)*2*Inputs!$B$53)/Inputs!$B$28)</f>
        <v>0.99991824567646792</v>
      </c>
      <c r="V23" s="44">
        <f ca="1">(IF(E23&gt;=Inputs!$E$13,1,IF(L23&lt;=Inputs!$C$46,Inputs!$D$46,IF(L23&lt;=Inputs!$C$47,Inputs!$D$47,Inputs!$D$48))))*((Inputs!$B$29+(Q23-0.5)*2*Inputs!$B$53)/Inputs!$B$29)</f>
        <v>1.0033319692946783</v>
      </c>
      <c r="W23" s="44">
        <f ca="1">(IF(F23&gt;=Inputs!$E$14,1,IF(M23&lt;=Inputs!$C$46,Inputs!$D$46,IF(M23&lt;=Inputs!$C$47,Inputs!$D$47,Inputs!$D$48))))*((Inputs!$B$30+(R23-0.5)*2*Inputs!$B$53)/Inputs!$B$30)</f>
        <v>0.99629319442544628</v>
      </c>
      <c r="X23" s="44">
        <f ca="1">(IF(G23&gt;=Inputs!$E$15,1,IF(N23&lt;=Inputs!$C$46,Inputs!$D$46,IF(N23&lt;=Inputs!$C$47,Inputs!$D$47,Inputs!$D$48))))*((Inputs!$B$31+(S23-0.5)*2*Inputs!$B$53)/Inputs!$B$31)</f>
        <v>0.99708793675010221</v>
      </c>
      <c r="Y23" s="44">
        <f ca="1">(IF(H23&gt;=Inputs!$E$16,1,IF(O23&lt;=Inputs!$C$46,Inputs!$D$46,IF(O23&lt;=Inputs!$C$47,Inputs!$D$47,Inputs!$D$48))))*((Inputs!$B$32+(T23-0.5)*2*Inputs!$B$53)/Inputs!$B$32)</f>
        <v>1.0045367754192243</v>
      </c>
      <c r="Z23" s="45">
        <f ca="1">ILP_B_Moderate!$C$9*U23+ILP_B_Moderate!$C$10*V23+ILP_B_Moderate!$C$11*W23+ILP_B_Moderate!$C$12*X23+ILP_B_Moderate!$C$13*Y23</f>
        <v>17986.273579688841</v>
      </c>
      <c r="AA23" s="45">
        <f ca="1">ILP_B_Moderate!$D$9*U23+ILP_B_Moderate!$D$10*V23+ILP_B_Moderate!$D$11*W23+ILP_B_Moderate!$D$12*X23+ILP_B_Moderate!$D$13*Y23</f>
        <v>15016.395141111245</v>
      </c>
      <c r="AB23" s="45">
        <f ca="1">ILP_B_Moderate!$E$9*U23+ILP_B_Moderate!$E$10*V23+ILP_B_Moderate!$E$11*W23+ILP_B_Moderate!$E$12*X23+ILP_B_Moderate!$E$13*Y23</f>
        <v>12023.698834364795</v>
      </c>
      <c r="AC23" s="45">
        <f ca="1">Inputs!$B$6*$C23</f>
        <v>20700</v>
      </c>
      <c r="AD23" s="45">
        <f ca="1">Inputs!$B$7*$C23</f>
        <v>17250</v>
      </c>
      <c r="AE23" s="45">
        <f ca="1">Inputs!$B$8*$C23</f>
        <v>13799.999999999998</v>
      </c>
      <c r="AF23" s="45">
        <f t="shared" ca="1" si="3"/>
        <v>2713.726420311159</v>
      </c>
      <c r="AG23" s="45">
        <f t="shared" ca="1" si="4"/>
        <v>2233.6048588887552</v>
      </c>
      <c r="AH23" s="45">
        <f t="shared" ca="1" si="5"/>
        <v>1776.3011656352028</v>
      </c>
      <c r="AI23" s="45">
        <f t="shared" ca="1" si="6"/>
        <v>6723.632444835117</v>
      </c>
      <c r="AJ23" s="45">
        <f ca="1">U23*(Inputs!$B$12-ILP_B_Moderate!$F$9)+V23*(Inputs!$B$13-ILP_B_Moderate!$F$10)+W23*(Inputs!$B$14-ILP_B_Moderate!$F$11)+X23*(Inputs!$B$15-ILP_B_Moderate!$F$12)+Y23*(Inputs!$B$16-ILP_B_Moderate!$F$13)</f>
        <v>25003.890345604494</v>
      </c>
      <c r="AK23" s="45">
        <f t="shared" ca="1" si="7"/>
        <v>6723.632444835117</v>
      </c>
      <c r="AL23" s="45">
        <f t="shared" ca="1" si="8"/>
        <v>0</v>
      </c>
      <c r="AM23" s="45">
        <f t="shared" ca="1" si="9"/>
        <v>0</v>
      </c>
      <c r="AN23" s="45">
        <f t="shared" ca="1" si="10"/>
        <v>0</v>
      </c>
      <c r="AO23" s="45">
        <f ca="1">MIN(AL23,Inputs!$B$36)</f>
        <v>0</v>
      </c>
      <c r="AP23" s="45">
        <f ca="1">MIN(AN23,Inputs!$B$36-AO23)</f>
        <v>0</v>
      </c>
      <c r="AQ23" s="45">
        <f ca="1">MIN(AM23,Inputs!$B$36-AO23-AP23)</f>
        <v>0</v>
      </c>
      <c r="AR23" s="45">
        <f t="shared" ca="1" si="11"/>
        <v>0</v>
      </c>
      <c r="AS23" s="45">
        <f t="shared" ca="1" si="12"/>
        <v>0</v>
      </c>
      <c r="AT23" s="45">
        <f t="shared" ca="1" si="13"/>
        <v>0</v>
      </c>
      <c r="AU23" s="45">
        <f t="shared" ca="1" si="14"/>
        <v>0</v>
      </c>
      <c r="AV23" s="46">
        <f ca="1">AU23*Inputs!$B$35</f>
        <v>0</v>
      </c>
      <c r="AW23" s="46">
        <f ca="1">AR23*Inputs!$C$6+AT23*Inputs!$C$7+AS23*Inputs!$C$8</f>
        <v>0</v>
      </c>
      <c r="AX23" s="46">
        <f t="shared" ca="1" si="15"/>
        <v>47597966.649422459</v>
      </c>
      <c r="AY23" s="46">
        <f ca="1">IF(J23&gt;1,($CD$4)*Inputs!$B$55*((Z23+AA23+AB23)/(SUM(ILP_B_Moderate!$C$9:$E$13))),0)</f>
        <v>571044.40505351452</v>
      </c>
      <c r="AZ23" s="46">
        <f t="shared" ca="1" si="16"/>
        <v>0</v>
      </c>
      <c r="BA23" s="41">
        <f t="shared" ca="1" si="17"/>
        <v>0</v>
      </c>
      <c r="BB23" s="41">
        <f t="shared" ca="1" si="18"/>
        <v>1</v>
      </c>
      <c r="BC23" s="41">
        <f t="shared" ca="1" si="19"/>
        <v>1</v>
      </c>
      <c r="BD23" s="41">
        <f t="shared" ca="1" si="20"/>
        <v>1</v>
      </c>
    </row>
    <row r="24" spans="1:56" ht="15" customHeight="1" x14ac:dyDescent="0.3">
      <c r="A24" s="41">
        <v>17</v>
      </c>
      <c r="B24" s="42">
        <f t="shared" ca="1" si="0"/>
        <v>0.13948664192818883</v>
      </c>
      <c r="C24" s="43">
        <f ca="1">IF(B24&lt;=Inputs!$C$40,Inputs!$D$40,IF(B24&lt;=Inputs!$C$41,Inputs!$D$41,Inputs!$D$42))</f>
        <v>0.9</v>
      </c>
      <c r="D24" s="42">
        <f t="shared" ca="1" si="21"/>
        <v>0.63032475286716705</v>
      </c>
      <c r="E24" s="42">
        <f t="shared" ca="1" si="21"/>
        <v>0.88270873921757742</v>
      </c>
      <c r="F24" s="42">
        <f t="shared" ca="1" si="21"/>
        <v>0.17840605076577054</v>
      </c>
      <c r="G24" s="42">
        <f t="shared" ca="1" si="21"/>
        <v>0.32342265816305726</v>
      </c>
      <c r="H24" s="42">
        <f t="shared" ca="1" si="21"/>
        <v>0.10857743531686348</v>
      </c>
      <c r="I24" s="42">
        <f t="shared" ca="1" si="21"/>
        <v>0.77870707465875688</v>
      </c>
      <c r="J24" s="43">
        <f ca="1">IF(I24&lt;Inputs!$B$54,1+Inputs!$B$55,1)</f>
        <v>1</v>
      </c>
      <c r="K24" s="42">
        <f t="shared" ca="1" si="22"/>
        <v>0.74300305941174261</v>
      </c>
      <c r="L24" s="42">
        <f t="shared" ca="1" si="22"/>
        <v>0.36534717648423098</v>
      </c>
      <c r="M24" s="42">
        <f t="shared" ca="1" si="22"/>
        <v>0.27869327428989277</v>
      </c>
      <c r="N24" s="42">
        <f t="shared" ca="1" si="22"/>
        <v>0.23868616689722844</v>
      </c>
      <c r="O24" s="42">
        <f t="shared" ca="1" si="22"/>
        <v>0.79775443052841621</v>
      </c>
      <c r="P24" s="42">
        <f t="shared" ca="1" si="22"/>
        <v>0.84569262180760607</v>
      </c>
      <c r="Q24" s="42">
        <f t="shared" ca="1" si="22"/>
        <v>0.46366085475304786</v>
      </c>
      <c r="R24" s="42">
        <f t="shared" ca="1" si="22"/>
        <v>0.20133269817255584</v>
      </c>
      <c r="S24" s="42">
        <f t="shared" ca="1" si="22"/>
        <v>0.91388151606247015</v>
      </c>
      <c r="T24" s="42">
        <f t="shared" ca="1" si="22"/>
        <v>0.96307673706901553</v>
      </c>
      <c r="U24" s="44">
        <f ca="1">(IF(D24&gt;=Inputs!$E$12,1,IF(K24&lt;=Inputs!$C$46,Inputs!$D$46,IF(K24&lt;=Inputs!$C$47,Inputs!$D$47,Inputs!$D$48))))*((Inputs!$B$28+(P24-0.5)*2*Inputs!$B$53)/Inputs!$B$28)</f>
        <v>1.0034989131761902</v>
      </c>
      <c r="V24" s="44">
        <f ca="1">(IF(E24&gt;=Inputs!$E$13,1,IF(L24&lt;=Inputs!$C$46,Inputs!$D$46,IF(L24&lt;=Inputs!$C$47,Inputs!$D$47,Inputs!$D$48))))*((Inputs!$B$29+(Q24-0.5)*2*Inputs!$B$53)/Inputs!$B$29)</f>
        <v>0.99963367797130087</v>
      </c>
      <c r="W24" s="44">
        <f ca="1">(IF(F24&gt;=Inputs!$E$14,1,IF(M24&lt;=Inputs!$C$46,Inputs!$D$46,IF(M24&lt;=Inputs!$C$47,Inputs!$D$47,Inputs!$D$48))))*((Inputs!$B$30+(R24-0.5)*2*Inputs!$B$53)/Inputs!$B$30)</f>
        <v>0.99699831857459853</v>
      </c>
      <c r="X24" s="44">
        <f ca="1">(IF(G24&gt;=Inputs!$E$15,1,IF(N24&lt;=Inputs!$C$46,Inputs!$D$46,IF(N24&lt;=Inputs!$C$47,Inputs!$D$47,Inputs!$D$48))))*((Inputs!$B$31+(S24-0.5)*2*Inputs!$B$53)/Inputs!$B$31)</f>
        <v>1.0042018428026647</v>
      </c>
      <c r="Y24" s="44">
        <f ca="1">(IF(H24&gt;=Inputs!$E$16,1,IF(O24&lt;=Inputs!$C$46,Inputs!$D$46,IF(O24&lt;=Inputs!$C$47,Inputs!$D$47,Inputs!$D$48))))*((Inputs!$B$32+(T24-0.5)*2*Inputs!$B$53)/Inputs!$B$32)</f>
        <v>1.004658719688823</v>
      </c>
      <c r="Z24" s="45">
        <f ca="1">ILP_B_Moderate!$C$9*U24+ILP_B_Moderate!$C$10*V24+ILP_B_Moderate!$C$11*W24+ILP_B_Moderate!$C$12*X24+ILP_B_Moderate!$C$13*Y24</f>
        <v>18054.340613096363</v>
      </c>
      <c r="AA24" s="45">
        <f ca="1">ILP_B_Moderate!$D$9*U24+ILP_B_Moderate!$D$10*V24+ILP_B_Moderate!$D$11*W24+ILP_B_Moderate!$D$12*X24+ILP_B_Moderate!$D$13*Y24</f>
        <v>15025.47669515284</v>
      </c>
      <c r="AB24" s="45">
        <f ca="1">ILP_B_Moderate!$E$9*U24+ILP_B_Moderate!$E$10*V24+ILP_B_Moderate!$E$11*W24+ILP_B_Moderate!$E$12*X24+ILP_B_Moderate!$E$13*Y24</f>
        <v>12036.302792228795</v>
      </c>
      <c r="AC24" s="45">
        <f ca="1">Inputs!$B$6*$C24</f>
        <v>16200</v>
      </c>
      <c r="AD24" s="45">
        <f ca="1">Inputs!$B$7*$C24</f>
        <v>13500</v>
      </c>
      <c r="AE24" s="45">
        <f ca="1">Inputs!$B$8*$C24</f>
        <v>10800</v>
      </c>
      <c r="AF24" s="45">
        <f t="shared" ca="1" si="3"/>
        <v>0</v>
      </c>
      <c r="AG24" s="45">
        <f t="shared" ca="1" si="4"/>
        <v>0</v>
      </c>
      <c r="AH24" s="45">
        <f t="shared" ca="1" si="5"/>
        <v>0</v>
      </c>
      <c r="AI24" s="45">
        <f t="shared" ca="1" si="6"/>
        <v>0</v>
      </c>
      <c r="AJ24" s="45">
        <f ca="1">U24*(Inputs!$B$12-ILP_B_Moderate!$F$9)+V24*(Inputs!$B$13-ILP_B_Moderate!$F$10)+W24*(Inputs!$B$14-ILP_B_Moderate!$F$11)+X24*(Inputs!$B$15-ILP_B_Moderate!$F$12)+Y24*(Inputs!$B$16-ILP_B_Moderate!$F$13)</f>
        <v>25016.015052373361</v>
      </c>
      <c r="AK24" s="45">
        <f t="shared" ca="1" si="7"/>
        <v>0</v>
      </c>
      <c r="AL24" s="45">
        <f t="shared" ca="1" si="8"/>
        <v>0</v>
      </c>
      <c r="AM24" s="45">
        <f t="shared" ca="1" si="9"/>
        <v>0</v>
      </c>
      <c r="AN24" s="45">
        <f t="shared" ca="1" si="10"/>
        <v>0</v>
      </c>
      <c r="AO24" s="45">
        <f ca="1">MIN(AL24,Inputs!$B$36)</f>
        <v>0</v>
      </c>
      <c r="AP24" s="45">
        <f ca="1">MIN(AN24,Inputs!$B$36-AO24)</f>
        <v>0</v>
      </c>
      <c r="AQ24" s="45">
        <f ca="1">MIN(AM24,Inputs!$B$36-AO24-AP24)</f>
        <v>0</v>
      </c>
      <c r="AR24" s="45">
        <f t="shared" ca="1" si="11"/>
        <v>0</v>
      </c>
      <c r="AS24" s="45">
        <f t="shared" ca="1" si="12"/>
        <v>0</v>
      </c>
      <c r="AT24" s="45">
        <f t="shared" ca="1" si="13"/>
        <v>0</v>
      </c>
      <c r="AU24" s="45">
        <f t="shared" ca="1" si="14"/>
        <v>0</v>
      </c>
      <c r="AV24" s="46">
        <f ca="1">AU24*Inputs!$B$35</f>
        <v>0</v>
      </c>
      <c r="AW24" s="46">
        <f ca="1">AR24*Inputs!$C$6+AT24*Inputs!$C$7+AS24*Inputs!$C$8</f>
        <v>0</v>
      </c>
      <c r="AX24" s="46">
        <f t="shared" ca="1" si="15"/>
        <v>47691619.817126274</v>
      </c>
      <c r="AY24" s="46">
        <f ca="1">IF(J24&gt;1,($CD$4)*Inputs!$B$55*((Z24+AA24+AB24)/(SUM(ILP_B_Moderate!$C$9:$E$13))),0)</f>
        <v>0</v>
      </c>
      <c r="AZ24" s="46">
        <f t="shared" ca="1" si="16"/>
        <v>0</v>
      </c>
      <c r="BA24" s="41">
        <f t="shared" ca="1" si="17"/>
        <v>0</v>
      </c>
      <c r="BB24" s="41">
        <f t="shared" ca="1" si="18"/>
        <v>1</v>
      </c>
      <c r="BC24" s="41">
        <f t="shared" ca="1" si="19"/>
        <v>1</v>
      </c>
      <c r="BD24" s="41">
        <f t="shared" ca="1" si="20"/>
        <v>1</v>
      </c>
    </row>
    <row r="25" spans="1:56" ht="15" customHeight="1" x14ac:dyDescent="0.3">
      <c r="A25" s="41">
        <v>18</v>
      </c>
      <c r="B25" s="42">
        <f t="shared" ca="1" si="0"/>
        <v>0.69155320041143542</v>
      </c>
      <c r="C25" s="43">
        <f ca="1">IF(B25&lt;=Inputs!$C$40,Inputs!$D$40,IF(B25&lt;=Inputs!$C$41,Inputs!$D$41,Inputs!$D$42))</f>
        <v>1</v>
      </c>
      <c r="D25" s="42">
        <f t="shared" ca="1" si="21"/>
        <v>0.98682315298886736</v>
      </c>
      <c r="E25" s="42">
        <f t="shared" ca="1" si="21"/>
        <v>0.36514344174524138</v>
      </c>
      <c r="F25" s="42">
        <f t="shared" ca="1" si="21"/>
        <v>0.18249667594371222</v>
      </c>
      <c r="G25" s="42">
        <f t="shared" ca="1" si="21"/>
        <v>0.73747436829739832</v>
      </c>
      <c r="H25" s="42">
        <f t="shared" ca="1" si="21"/>
        <v>0.38058140787367212</v>
      </c>
      <c r="I25" s="42">
        <f t="shared" ca="1" si="21"/>
        <v>0.90126012710626879</v>
      </c>
      <c r="J25" s="43">
        <f ca="1">IF(I25&lt;Inputs!$B$54,1+Inputs!$B$55,1)</f>
        <v>1</v>
      </c>
      <c r="K25" s="42">
        <f t="shared" ca="1" si="22"/>
        <v>0.78955411171948675</v>
      </c>
      <c r="L25" s="42">
        <f t="shared" ca="1" si="22"/>
        <v>0.23762780983691001</v>
      </c>
      <c r="M25" s="42">
        <f t="shared" ca="1" si="22"/>
        <v>0.54521798395315524</v>
      </c>
      <c r="N25" s="42">
        <f t="shared" ca="1" si="22"/>
        <v>0.9629475338443142</v>
      </c>
      <c r="O25" s="42">
        <f t="shared" ca="1" si="22"/>
        <v>0.87221257302575883</v>
      </c>
      <c r="P25" s="42">
        <f t="shared" ca="1" si="22"/>
        <v>0.74125040332965619</v>
      </c>
      <c r="Q25" s="42">
        <f t="shared" ca="1" si="22"/>
        <v>0.56075527577578455</v>
      </c>
      <c r="R25" s="42">
        <f t="shared" ca="1" si="22"/>
        <v>0.21911648546195683</v>
      </c>
      <c r="S25" s="42">
        <f t="shared" ca="1" si="22"/>
        <v>0.81550525926146544</v>
      </c>
      <c r="T25" s="42">
        <f t="shared" ca="1" si="22"/>
        <v>0.97421337898864402</v>
      </c>
      <c r="U25" s="44">
        <f ca="1">(IF(D25&gt;=Inputs!$E$12,1,IF(K25&lt;=Inputs!$C$46,Inputs!$D$46,IF(K25&lt;=Inputs!$C$47,Inputs!$D$47,Inputs!$D$48))))*((Inputs!$B$28+(P25-0.5)*2*Inputs!$B$53)/Inputs!$B$28)</f>
        <v>1.002441805701717</v>
      </c>
      <c r="V25" s="44">
        <f ca="1">(IF(E25&gt;=Inputs!$E$13,1,IF(L25&lt;=Inputs!$C$46,Inputs!$D$46,IF(L25&lt;=Inputs!$C$47,Inputs!$D$47,Inputs!$D$48))))*((Inputs!$B$29+(Q25-0.5)*2*Inputs!$B$53)/Inputs!$B$29)</f>
        <v>1.0006124523767719</v>
      </c>
      <c r="W25" s="44">
        <f ca="1">(IF(F25&gt;=Inputs!$E$14,1,IF(M25&lt;=Inputs!$C$46,Inputs!$D$46,IF(M25&lt;=Inputs!$C$47,Inputs!$D$47,Inputs!$D$48))))*((Inputs!$B$30+(R25-0.5)*2*Inputs!$B$53)/Inputs!$B$30)</f>
        <v>0.99717705010514524</v>
      </c>
      <c r="X25" s="44">
        <f ca="1">(IF(G25&gt;=Inputs!$E$15,1,IF(N25&lt;=Inputs!$C$46,Inputs!$D$46,IF(N25&lt;=Inputs!$C$47,Inputs!$D$47,Inputs!$D$48))))*((Inputs!$B$31+(S25-0.5)*2*Inputs!$B$53)/Inputs!$B$31)</f>
        <v>1.0032030990787966</v>
      </c>
      <c r="Y25" s="44">
        <f ca="1">(IF(H25&gt;=Inputs!$E$16,1,IF(O25&lt;=Inputs!$C$46,Inputs!$D$46,IF(O25&lt;=Inputs!$C$47,Inputs!$D$47,Inputs!$D$48))))*((Inputs!$B$32+(T25-0.5)*2*Inputs!$B$53)/Inputs!$B$32)</f>
        <v>1.0047707583399259</v>
      </c>
      <c r="Z25" s="45">
        <f ca="1">ILP_B_Moderate!$C$9*U25+ILP_B_Moderate!$C$10*V25+ILP_B_Moderate!$C$11*W25+ILP_B_Moderate!$C$12*X25+ILP_B_Moderate!$C$13*Y25</f>
        <v>18043.720886950432</v>
      </c>
      <c r="AA25" s="45">
        <f ca="1">ILP_B_Moderate!$D$9*U25+ILP_B_Moderate!$D$10*V25+ILP_B_Moderate!$D$11*W25+ILP_B_Moderate!$D$12*X25+ILP_B_Moderate!$D$13*Y25</f>
        <v>15025.053782912031</v>
      </c>
      <c r="AB25" s="45">
        <f ca="1">ILP_B_Moderate!$E$9*U25+ILP_B_Moderate!$E$10*V25+ILP_B_Moderate!$E$11*W25+ILP_B_Moderate!$E$12*X25+ILP_B_Moderate!$E$13*Y25</f>
        <v>12032.813086446562</v>
      </c>
      <c r="AC25" s="45">
        <f ca="1">Inputs!$B$6*$C25</f>
        <v>18000</v>
      </c>
      <c r="AD25" s="45">
        <f ca="1">Inputs!$B$7*$C25</f>
        <v>15000</v>
      </c>
      <c r="AE25" s="45">
        <f ca="1">Inputs!$B$8*$C25</f>
        <v>12000</v>
      </c>
      <c r="AF25" s="45">
        <f t="shared" ca="1" si="3"/>
        <v>0</v>
      </c>
      <c r="AG25" s="45">
        <f t="shared" ca="1" si="4"/>
        <v>0</v>
      </c>
      <c r="AH25" s="45">
        <f t="shared" ca="1" si="5"/>
        <v>0</v>
      </c>
      <c r="AI25" s="45">
        <f t="shared" ca="1" si="6"/>
        <v>0</v>
      </c>
      <c r="AJ25" s="45">
        <f ca="1">U25*(Inputs!$B$12-ILP_B_Moderate!$F$9)+V25*(Inputs!$B$13-ILP_B_Moderate!$F$10)+W25*(Inputs!$B$14-ILP_B_Moderate!$F$11)+X25*(Inputs!$B$15-ILP_B_Moderate!$F$12)+Y25*(Inputs!$B$16-ILP_B_Moderate!$F$13)</f>
        <v>25019.355683604586</v>
      </c>
      <c r="AK25" s="45">
        <f t="shared" ca="1" si="7"/>
        <v>0</v>
      </c>
      <c r="AL25" s="45">
        <f t="shared" ca="1" si="8"/>
        <v>0</v>
      </c>
      <c r="AM25" s="45">
        <f t="shared" ca="1" si="9"/>
        <v>0</v>
      </c>
      <c r="AN25" s="45">
        <f t="shared" ca="1" si="10"/>
        <v>0</v>
      </c>
      <c r="AO25" s="45">
        <f ca="1">MIN(AL25,Inputs!$B$36)</f>
        <v>0</v>
      </c>
      <c r="AP25" s="45">
        <f ca="1">MIN(AN25,Inputs!$B$36-AO25)</f>
        <v>0</v>
      </c>
      <c r="AQ25" s="45">
        <f ca="1">MIN(AM25,Inputs!$B$36-AO25-AP25)</f>
        <v>0</v>
      </c>
      <c r="AR25" s="45">
        <f t="shared" ca="1" si="11"/>
        <v>0</v>
      </c>
      <c r="AS25" s="45">
        <f t="shared" ca="1" si="12"/>
        <v>0</v>
      </c>
      <c r="AT25" s="45">
        <f t="shared" ca="1" si="13"/>
        <v>0</v>
      </c>
      <c r="AU25" s="45">
        <f t="shared" ca="1" si="14"/>
        <v>0</v>
      </c>
      <c r="AV25" s="46">
        <f ca="1">AU25*Inputs!$B$35</f>
        <v>0</v>
      </c>
      <c r="AW25" s="46">
        <f ca="1">AR25*Inputs!$C$6+AT25*Inputs!$C$7+AS25*Inputs!$C$8</f>
        <v>0</v>
      </c>
      <c r="AX25" s="46">
        <f t="shared" ca="1" si="15"/>
        <v>47676375.706746466</v>
      </c>
      <c r="AY25" s="46">
        <f ca="1">IF(J25&gt;1,($CD$4)*Inputs!$B$55*((Z25+AA25+AB25)/(SUM(ILP_B_Moderate!$C$9:$E$13))),0)</f>
        <v>0</v>
      </c>
      <c r="AZ25" s="46">
        <f t="shared" ca="1" si="16"/>
        <v>0</v>
      </c>
      <c r="BA25" s="41">
        <f t="shared" ca="1" si="17"/>
        <v>0</v>
      </c>
      <c r="BB25" s="41">
        <f t="shared" ca="1" si="18"/>
        <v>1</v>
      </c>
      <c r="BC25" s="41">
        <f t="shared" ca="1" si="19"/>
        <v>1</v>
      </c>
      <c r="BD25" s="41">
        <f t="shared" ca="1" si="20"/>
        <v>1</v>
      </c>
    </row>
    <row r="26" spans="1:56" ht="15" customHeight="1" x14ac:dyDescent="0.3">
      <c r="A26" s="41">
        <v>19</v>
      </c>
      <c r="B26" s="42">
        <f t="shared" ca="1" si="0"/>
        <v>0.58313217058180356</v>
      </c>
      <c r="C26" s="43">
        <f ca="1">IF(B26&lt;=Inputs!$C$40,Inputs!$D$40,IF(B26&lt;=Inputs!$C$41,Inputs!$D$41,Inputs!$D$42))</f>
        <v>1</v>
      </c>
      <c r="D26" s="42">
        <f t="shared" ca="1" si="21"/>
        <v>0.12570181383667511</v>
      </c>
      <c r="E26" s="42">
        <f t="shared" ca="1" si="21"/>
        <v>0.49389565002198577</v>
      </c>
      <c r="F26" s="42">
        <f t="shared" ca="1" si="21"/>
        <v>1.9001301023382822E-2</v>
      </c>
      <c r="G26" s="42">
        <f t="shared" ca="1" si="21"/>
        <v>0.15796768851326726</v>
      </c>
      <c r="H26" s="42">
        <f t="shared" ca="1" si="21"/>
        <v>0.87417374915801338</v>
      </c>
      <c r="I26" s="42">
        <f t="shared" ca="1" si="21"/>
        <v>0.56948697524072023</v>
      </c>
      <c r="J26" s="43">
        <f ca="1">IF(I26&lt;Inputs!$B$54,1+Inputs!$B$55,1)</f>
        <v>1</v>
      </c>
      <c r="K26" s="42">
        <f t="shared" ca="1" si="22"/>
        <v>0.9029422589874404</v>
      </c>
      <c r="L26" s="42">
        <f t="shared" ca="1" si="22"/>
        <v>0.48774228629942828</v>
      </c>
      <c r="M26" s="42">
        <f t="shared" ca="1" si="22"/>
        <v>0.5895088375676576</v>
      </c>
      <c r="N26" s="42">
        <f t="shared" ca="1" si="22"/>
        <v>0.35399740246793576</v>
      </c>
      <c r="O26" s="42">
        <f t="shared" ca="1" si="22"/>
        <v>0.71456789536892196</v>
      </c>
      <c r="P26" s="42">
        <f t="shared" ca="1" si="22"/>
        <v>0.25014883558956746</v>
      </c>
      <c r="Q26" s="42">
        <f t="shared" ca="1" si="22"/>
        <v>0.90287885414302882</v>
      </c>
      <c r="R26" s="42">
        <f t="shared" ca="1" si="22"/>
        <v>0.95676648023307764</v>
      </c>
      <c r="S26" s="42">
        <f t="shared" ca="1" si="22"/>
        <v>0.27986355096769344</v>
      </c>
      <c r="T26" s="42">
        <f t="shared" ca="1" si="22"/>
        <v>0.24926569282583655</v>
      </c>
      <c r="U26" s="44">
        <f ca="1">(IF(D26&gt;=Inputs!$E$12,1,IF(K26&lt;=Inputs!$C$46,Inputs!$D$46,IF(K26&lt;=Inputs!$C$47,Inputs!$D$47,Inputs!$D$48))))*((Inputs!$B$28+(P26-0.5)*2*Inputs!$B$53)/Inputs!$B$28)</f>
        <v>0.99747114206062315</v>
      </c>
      <c r="V26" s="44">
        <f ca="1">(IF(E26&gt;=Inputs!$E$13,1,IF(L26&lt;=Inputs!$C$46,Inputs!$D$46,IF(L26&lt;=Inputs!$C$47,Inputs!$D$47,Inputs!$D$48))))*((Inputs!$B$29+(Q26-0.5)*2*Inputs!$B$53)/Inputs!$B$29)</f>
        <v>1.0040612787716032</v>
      </c>
      <c r="W26" s="44">
        <f ca="1">(IF(F26&gt;=Inputs!$E$14,1,IF(M26&lt;=Inputs!$C$46,Inputs!$D$46,IF(M26&lt;=Inputs!$C$47,Inputs!$D$47,Inputs!$D$48))))*((Inputs!$B$30+(R26-0.5)*2*Inputs!$B$53)/Inputs!$B$30)</f>
        <v>0.30137718536753688</v>
      </c>
      <c r="X26" s="44">
        <f ca="1">(IF(G26&gt;=Inputs!$E$15,1,IF(N26&lt;=Inputs!$C$46,Inputs!$D$46,IF(N26&lt;=Inputs!$C$47,Inputs!$D$47,Inputs!$D$48))))*((Inputs!$B$31+(S26-0.5)*2*Inputs!$B$53)/Inputs!$B$31)</f>
        <v>0.29932953365776965</v>
      </c>
      <c r="Y26" s="44">
        <f ca="1">(IF(H26&gt;=Inputs!$E$16,1,IF(O26&lt;=Inputs!$C$46,Inputs!$D$46,IF(O26&lt;=Inputs!$C$47,Inputs!$D$47,Inputs!$D$48))))*((Inputs!$B$32+(T26-0.5)*2*Inputs!$B$53)/Inputs!$B$32)</f>
        <v>0.99747752206062212</v>
      </c>
      <c r="Z26" s="45">
        <f ca="1">ILP_B_Moderate!$C$9*U26+ILP_B_Moderate!$C$10*V26+ILP_B_Moderate!$C$11*W26+ILP_B_Moderate!$C$12*X26+ILP_B_Moderate!$C$13*Y26</f>
        <v>11696.72309081045</v>
      </c>
      <c r="AA26" s="45">
        <f ca="1">ILP_B_Moderate!$D$9*U26+ILP_B_Moderate!$D$10*V26+ILP_B_Moderate!$D$11*W26+ILP_B_Moderate!$D$12*X26+ILP_B_Moderate!$D$13*Y26</f>
        <v>13042.733820545651</v>
      </c>
      <c r="AB26" s="45">
        <f ca="1">ILP_B_Moderate!$E$9*U26+ILP_B_Moderate!$E$10*V26+ILP_B_Moderate!$E$11*W26+ILP_B_Moderate!$E$12*X26+ILP_B_Moderate!$E$13*Y26</f>
        <v>11986.256716612299</v>
      </c>
      <c r="AC26" s="45">
        <f ca="1">Inputs!$B$6*$C26</f>
        <v>18000</v>
      </c>
      <c r="AD26" s="45">
        <f ca="1">Inputs!$B$7*$C26</f>
        <v>15000</v>
      </c>
      <c r="AE26" s="45">
        <f ca="1">Inputs!$B$8*$C26</f>
        <v>12000</v>
      </c>
      <c r="AF26" s="45">
        <f t="shared" ca="1" si="3"/>
        <v>6303.2769091895498</v>
      </c>
      <c r="AG26" s="45">
        <f t="shared" ca="1" si="4"/>
        <v>1957.2661794543492</v>
      </c>
      <c r="AH26" s="45">
        <f t="shared" ca="1" si="5"/>
        <v>13.743283387701013</v>
      </c>
      <c r="AI26" s="45">
        <f t="shared" ca="1" si="6"/>
        <v>8274.2863720316</v>
      </c>
      <c r="AJ26" s="45">
        <f ca="1">U26*(Inputs!$B$12-ILP_B_Moderate!$F$9)+V26*(Inputs!$B$13-ILP_B_Moderate!$F$10)+W26*(Inputs!$B$14-ILP_B_Moderate!$F$11)+X26*(Inputs!$B$15-ILP_B_Moderate!$F$12)+Y26*(Inputs!$B$16-ILP_B_Moderate!$F$13)</f>
        <v>15762.703192384561</v>
      </c>
      <c r="AK26" s="45">
        <f t="shared" ca="1" si="7"/>
        <v>8274.2863720316</v>
      </c>
      <c r="AL26" s="45">
        <f t="shared" ca="1" si="8"/>
        <v>0</v>
      </c>
      <c r="AM26" s="45">
        <f t="shared" ca="1" si="9"/>
        <v>0</v>
      </c>
      <c r="AN26" s="45">
        <f t="shared" ca="1" si="10"/>
        <v>0</v>
      </c>
      <c r="AO26" s="45">
        <f ca="1">MIN(AL26,Inputs!$B$36)</f>
        <v>0</v>
      </c>
      <c r="AP26" s="45">
        <f ca="1">MIN(AN26,Inputs!$B$36-AO26)</f>
        <v>0</v>
      </c>
      <c r="AQ26" s="45">
        <f ca="1">MIN(AM26,Inputs!$B$36-AO26-AP26)</f>
        <v>0</v>
      </c>
      <c r="AR26" s="45">
        <f t="shared" ca="1" si="11"/>
        <v>0</v>
      </c>
      <c r="AS26" s="45">
        <f t="shared" ca="1" si="12"/>
        <v>0</v>
      </c>
      <c r="AT26" s="45">
        <f t="shared" ca="1" si="13"/>
        <v>0</v>
      </c>
      <c r="AU26" s="45">
        <f t="shared" ca="1" si="14"/>
        <v>0</v>
      </c>
      <c r="AV26" s="46">
        <f ca="1">AU26*Inputs!$B$35</f>
        <v>0</v>
      </c>
      <c r="AW26" s="46">
        <f ca="1">AR26*Inputs!$C$6+AT26*Inputs!$C$7+AS26*Inputs!$C$8</f>
        <v>0</v>
      </c>
      <c r="AX26" s="46">
        <f t="shared" ca="1" si="15"/>
        <v>38992484.461935222</v>
      </c>
      <c r="AY26" s="46">
        <f ca="1">IF(J26&gt;1,($CD$4)*Inputs!$B$55*((Z26+AA26+AB26)/(SUM(ILP_B_Moderate!$C$9:$E$13))),0)</f>
        <v>0</v>
      </c>
      <c r="AZ26" s="46">
        <f t="shared" ca="1" si="16"/>
        <v>0</v>
      </c>
      <c r="BA26" s="41">
        <f t="shared" ca="1" si="17"/>
        <v>0</v>
      </c>
      <c r="BB26" s="41">
        <f t="shared" ca="1" si="18"/>
        <v>1</v>
      </c>
      <c r="BC26" s="41">
        <f t="shared" ca="1" si="19"/>
        <v>1</v>
      </c>
      <c r="BD26" s="41">
        <f t="shared" ca="1" si="20"/>
        <v>1</v>
      </c>
    </row>
    <row r="27" spans="1:56" ht="15" customHeight="1" x14ac:dyDescent="0.3">
      <c r="A27" s="41">
        <v>20</v>
      </c>
      <c r="B27" s="42">
        <f t="shared" ca="1" si="0"/>
        <v>0.23817805306593909</v>
      </c>
      <c r="C27" s="43">
        <f ca="1">IF(B27&lt;=Inputs!$C$40,Inputs!$D$40,IF(B27&lt;=Inputs!$C$41,Inputs!$D$41,Inputs!$D$42))</f>
        <v>1</v>
      </c>
      <c r="D27" s="42">
        <f t="shared" ca="1" si="21"/>
        <v>8.3314031018912327E-2</v>
      </c>
      <c r="E27" s="42">
        <f t="shared" ca="1" si="21"/>
        <v>0.23077401134469688</v>
      </c>
      <c r="F27" s="42">
        <f t="shared" ca="1" si="21"/>
        <v>0.47325747041879718</v>
      </c>
      <c r="G27" s="42">
        <f t="shared" ca="1" si="21"/>
        <v>9.9817553000416503E-2</v>
      </c>
      <c r="H27" s="42">
        <f t="shared" ca="1" si="21"/>
        <v>1.1328665549522721E-2</v>
      </c>
      <c r="I27" s="42">
        <f t="shared" ca="1" si="21"/>
        <v>6.2227068666196206E-2</v>
      </c>
      <c r="J27" s="43">
        <f ca="1">IF(I27&lt;Inputs!$B$54,1+Inputs!$B$55,1)</f>
        <v>1.25</v>
      </c>
      <c r="K27" s="42">
        <f t="shared" ca="1" si="22"/>
        <v>0.99193833244244156</v>
      </c>
      <c r="L27" s="42">
        <f t="shared" ca="1" si="22"/>
        <v>0.68093966551377871</v>
      </c>
      <c r="M27" s="42">
        <f t="shared" ca="1" si="22"/>
        <v>0.39714480769530092</v>
      </c>
      <c r="N27" s="42">
        <f t="shared" ca="1" si="22"/>
        <v>0.87286099825504293</v>
      </c>
      <c r="O27" s="42">
        <f t="shared" ca="1" si="22"/>
        <v>0.39204276116641446</v>
      </c>
      <c r="P27" s="42">
        <f t="shared" ca="1" si="22"/>
        <v>4.901055979159763E-2</v>
      </c>
      <c r="Q27" s="42">
        <f t="shared" ca="1" si="22"/>
        <v>0.67424025608432703</v>
      </c>
      <c r="R27" s="42">
        <f t="shared" ca="1" si="22"/>
        <v>0.42000335764989105</v>
      </c>
      <c r="S27" s="42">
        <f t="shared" ca="1" si="22"/>
        <v>0.94433130310476654</v>
      </c>
      <c r="T27" s="42">
        <f t="shared" ca="1" si="22"/>
        <v>0.783011709914053</v>
      </c>
      <c r="U27" s="44">
        <f ca="1">(IF(D27&gt;=Inputs!$E$12,1,IF(K27&lt;=Inputs!$C$46,Inputs!$D$46,IF(K27&lt;=Inputs!$C$47,Inputs!$D$47,Inputs!$D$48))))*((Inputs!$B$28+(P27-0.5)*2*Inputs!$B$53)/Inputs!$B$28)</f>
        <v>0.99543532955254654</v>
      </c>
      <c r="V27" s="44">
        <f ca="1">(IF(E27&gt;=Inputs!$E$13,1,IF(L27&lt;=Inputs!$C$46,Inputs!$D$46,IF(L27&lt;=Inputs!$C$47,Inputs!$D$47,Inputs!$D$48))))*((Inputs!$B$29+(Q27-0.5)*2*Inputs!$B$53)/Inputs!$B$29)</f>
        <v>1.0017564541943984</v>
      </c>
      <c r="W27" s="44">
        <f ca="1">(IF(F27&gt;=Inputs!$E$14,1,IF(M27&lt;=Inputs!$C$46,Inputs!$D$46,IF(M27&lt;=Inputs!$C$47,Inputs!$D$47,Inputs!$D$48))))*((Inputs!$B$30+(R27-0.5)*2*Inputs!$B$53)/Inputs!$B$30)</f>
        <v>0.99919601364472255</v>
      </c>
      <c r="X27" s="44">
        <f ca="1">(IF(G27&gt;=Inputs!$E$15,1,IF(N27&lt;=Inputs!$C$46,Inputs!$D$46,IF(N27&lt;=Inputs!$C$47,Inputs!$D$47,Inputs!$D$48))))*((Inputs!$B$31+(S27-0.5)*2*Inputs!$B$53)/Inputs!$B$31)</f>
        <v>0</v>
      </c>
      <c r="Y27" s="44">
        <f ca="1">(IF(H27&gt;=Inputs!$E$16,1,IF(O27&lt;=Inputs!$C$46,Inputs!$D$46,IF(O27&lt;=Inputs!$C$47,Inputs!$D$47,Inputs!$D$48))))*((Inputs!$B$32+(T27-0.5)*2*Inputs!$B$53)/Inputs!$B$32)</f>
        <v>0.30085416009028382</v>
      </c>
      <c r="Z27" s="45">
        <f ca="1">ILP_B_Moderate!$C$9*U27+ILP_B_Moderate!$C$10*V27+ILP_B_Moderate!$C$11*W27+ILP_B_Moderate!$C$12*X27+ILP_B_Moderate!$C$13*Y27</f>
        <v>8983.3933605861694</v>
      </c>
      <c r="AA27" s="45">
        <f ca="1">ILP_B_Moderate!$D$9*U27+ILP_B_Moderate!$D$10*V27+ILP_B_Moderate!$D$11*W27+ILP_B_Moderate!$D$12*X27+ILP_B_Moderate!$D$13*Y27</f>
        <v>12171.810748763906</v>
      </c>
      <c r="AB27" s="45">
        <f ca="1">ILP_B_Moderate!$E$9*U27+ILP_B_Moderate!$E$10*V27+ILP_B_Moderate!$E$11*W27+ILP_B_Moderate!$E$12*X27+ILP_B_Moderate!$E$13*Y27</f>
        <v>9541.2071098229353</v>
      </c>
      <c r="AC27" s="45">
        <f ca="1">Inputs!$B$6*$C27</f>
        <v>18000</v>
      </c>
      <c r="AD27" s="45">
        <f ca="1">Inputs!$B$7*$C27</f>
        <v>15000</v>
      </c>
      <c r="AE27" s="45">
        <f ca="1">Inputs!$B$8*$C27</f>
        <v>12000</v>
      </c>
      <c r="AF27" s="45">
        <f t="shared" ca="1" si="3"/>
        <v>9016.6066394138306</v>
      </c>
      <c r="AG27" s="45">
        <f t="shared" ca="1" si="4"/>
        <v>2828.1892512360937</v>
      </c>
      <c r="AH27" s="45">
        <f t="shared" ca="1" si="5"/>
        <v>2458.7928901770647</v>
      </c>
      <c r="AI27" s="45">
        <f t="shared" ca="1" si="6"/>
        <v>14303.588780826989</v>
      </c>
      <c r="AJ27" s="45">
        <f ca="1">U27*(Inputs!$B$12-ILP_B_Moderate!$F$9)+V27*(Inputs!$B$13-ILP_B_Moderate!$F$10)+W27*(Inputs!$B$14-ILP_B_Moderate!$F$11)+X27*(Inputs!$B$15-ILP_B_Moderate!$F$12)+Y27*(Inputs!$B$16-ILP_B_Moderate!$F$13)</f>
        <v>16757.504991124963</v>
      </c>
      <c r="AK27" s="45">
        <f t="shared" ca="1" si="7"/>
        <v>14303.588780826989</v>
      </c>
      <c r="AL27" s="45">
        <f t="shared" ca="1" si="8"/>
        <v>0</v>
      </c>
      <c r="AM27" s="45">
        <f t="shared" ca="1" si="9"/>
        <v>0</v>
      </c>
      <c r="AN27" s="45">
        <f t="shared" ca="1" si="10"/>
        <v>0</v>
      </c>
      <c r="AO27" s="45">
        <f ca="1">MIN(AL27,Inputs!$B$36)</f>
        <v>0</v>
      </c>
      <c r="AP27" s="45">
        <f ca="1">MIN(AN27,Inputs!$B$36-AO27)</f>
        <v>0</v>
      </c>
      <c r="AQ27" s="45">
        <f ca="1">MIN(AM27,Inputs!$B$36-AO27-AP27)</f>
        <v>0</v>
      </c>
      <c r="AR27" s="45">
        <f t="shared" ca="1" si="11"/>
        <v>0</v>
      </c>
      <c r="AS27" s="45">
        <f t="shared" ca="1" si="12"/>
        <v>0</v>
      </c>
      <c r="AT27" s="45">
        <f t="shared" ca="1" si="13"/>
        <v>0</v>
      </c>
      <c r="AU27" s="45">
        <f t="shared" ca="1" si="14"/>
        <v>0</v>
      </c>
      <c r="AV27" s="46">
        <f ca="1">AU27*Inputs!$B$35</f>
        <v>0</v>
      </c>
      <c r="AW27" s="46">
        <f ca="1">AR27*Inputs!$C$6+AT27*Inputs!$C$7+AS27*Inputs!$C$8</f>
        <v>0</v>
      </c>
      <c r="AX27" s="46">
        <f t="shared" ca="1" si="15"/>
        <v>32583617.659375899</v>
      </c>
      <c r="AY27" s="46">
        <f ca="1">IF(J27&gt;1,($CD$4)*Inputs!$B$55*((Z27+AA27+AB27)/(SUM(ILP_B_Moderate!$C$9:$E$13))),0)</f>
        <v>389305.52993098286</v>
      </c>
      <c r="AZ27" s="46">
        <f t="shared" ca="1" si="16"/>
        <v>0</v>
      </c>
      <c r="BA27" s="41">
        <f t="shared" ca="1" si="17"/>
        <v>0</v>
      </c>
      <c r="BB27" s="41">
        <f t="shared" ca="1" si="18"/>
        <v>1</v>
      </c>
      <c r="BC27" s="41">
        <f t="shared" ca="1" si="19"/>
        <v>1</v>
      </c>
      <c r="BD27" s="41">
        <f t="shared" ca="1" si="20"/>
        <v>1</v>
      </c>
    </row>
    <row r="28" spans="1:56" ht="15" customHeight="1" x14ac:dyDescent="0.3">
      <c r="A28" s="41">
        <v>21</v>
      </c>
      <c r="B28" s="42">
        <f t="shared" ca="1" si="0"/>
        <v>1.5073377574360114E-2</v>
      </c>
      <c r="C28" s="43">
        <f ca="1">IF(B28&lt;=Inputs!$C$40,Inputs!$D$40,IF(B28&lt;=Inputs!$C$41,Inputs!$D$41,Inputs!$D$42))</f>
        <v>0.9</v>
      </c>
      <c r="D28" s="42">
        <f t="shared" ref="D28:I37" ca="1" si="23">RAND()</f>
        <v>0.69067320151550771</v>
      </c>
      <c r="E28" s="42">
        <f t="shared" ca="1" si="23"/>
        <v>0.53265223682644947</v>
      </c>
      <c r="F28" s="42">
        <f t="shared" ca="1" si="23"/>
        <v>0.62387079932969847</v>
      </c>
      <c r="G28" s="42">
        <f t="shared" ca="1" si="23"/>
        <v>7.9388846218930276E-2</v>
      </c>
      <c r="H28" s="42">
        <f t="shared" ca="1" si="23"/>
        <v>0.50950609111103284</v>
      </c>
      <c r="I28" s="42">
        <f t="shared" ca="1" si="23"/>
        <v>0.86532801093974565</v>
      </c>
      <c r="J28" s="43">
        <f ca="1">IF(I28&lt;Inputs!$B$54,1+Inputs!$B$55,1)</f>
        <v>1</v>
      </c>
      <c r="K28" s="42">
        <f t="shared" ref="K28:T37" ca="1" si="24">RAND()</f>
        <v>5.8535636973431338E-3</v>
      </c>
      <c r="L28" s="42">
        <f t="shared" ca="1" si="24"/>
        <v>0.14242009273580014</v>
      </c>
      <c r="M28" s="42">
        <f t="shared" ca="1" si="24"/>
        <v>0.25161497305526148</v>
      </c>
      <c r="N28" s="42">
        <f t="shared" ca="1" si="24"/>
        <v>0.75455788526651368</v>
      </c>
      <c r="O28" s="42">
        <f t="shared" ca="1" si="24"/>
        <v>0.55338295442417595</v>
      </c>
      <c r="P28" s="42">
        <f t="shared" ca="1" si="24"/>
        <v>0.83076143073140785</v>
      </c>
      <c r="Q28" s="42">
        <f t="shared" ca="1" si="24"/>
        <v>0.66193039253668196</v>
      </c>
      <c r="R28" s="42">
        <f t="shared" ca="1" si="24"/>
        <v>0.70333712402595416</v>
      </c>
      <c r="S28" s="42">
        <f t="shared" ca="1" si="24"/>
        <v>0.52794262907323586</v>
      </c>
      <c r="T28" s="42">
        <f t="shared" ca="1" si="24"/>
        <v>0.73580084736659657</v>
      </c>
      <c r="U28" s="44">
        <f ca="1">(IF(D28&gt;=Inputs!$E$12,1,IF(K28&lt;=Inputs!$C$46,Inputs!$D$46,IF(K28&lt;=Inputs!$C$47,Inputs!$D$47,Inputs!$D$48))))*((Inputs!$B$28+(P28-0.5)*2*Inputs!$B$53)/Inputs!$B$28)</f>
        <v>1.0033477877604393</v>
      </c>
      <c r="V28" s="44">
        <f ca="1">(IF(E28&gt;=Inputs!$E$13,1,IF(L28&lt;=Inputs!$C$46,Inputs!$D$46,IF(L28&lt;=Inputs!$C$47,Inputs!$D$47,Inputs!$D$48))))*((Inputs!$B$29+(Q28-0.5)*2*Inputs!$B$53)/Inputs!$B$29)</f>
        <v>1.0016323628279906</v>
      </c>
      <c r="W28" s="44">
        <f ca="1">(IF(F28&gt;=Inputs!$E$14,1,IF(M28&lt;=Inputs!$C$46,Inputs!$D$46,IF(M28&lt;=Inputs!$C$47,Inputs!$D$47,Inputs!$D$48))))*((Inputs!$B$30+(R28-0.5)*2*Inputs!$B$53)/Inputs!$B$30)</f>
        <v>1.0020435891861905</v>
      </c>
      <c r="X28" s="44">
        <f ca="1">(IF(G28&gt;=Inputs!$E$15,1,IF(N28&lt;=Inputs!$C$46,Inputs!$D$46,IF(N28&lt;=Inputs!$C$47,Inputs!$D$47,Inputs!$D$48))))*((Inputs!$B$31+(S28-0.5)*2*Inputs!$B$53)/Inputs!$B$31)</f>
        <v>0.30008510445403019</v>
      </c>
      <c r="Y28" s="44">
        <f ca="1">(IF(H28&gt;=Inputs!$E$16,1,IF(O28&lt;=Inputs!$C$46,Inputs!$D$46,IF(O28&lt;=Inputs!$C$47,Inputs!$D$47,Inputs!$D$48))))*((Inputs!$B$32+(T28-0.5)*2*Inputs!$B$53)/Inputs!$B$32)</f>
        <v>1.0023722419252172</v>
      </c>
      <c r="Z28" s="45">
        <f ca="1">ILP_B_Moderate!$C$9*U28+ILP_B_Moderate!$C$10*V28+ILP_B_Moderate!$C$11*W28+ILP_B_Moderate!$C$12*X28+ILP_B_Moderate!$C$13*Y28</f>
        <v>11724.253904591784</v>
      </c>
      <c r="AA28" s="45">
        <f ca="1">ILP_B_Moderate!$D$9*U28+ILP_B_Moderate!$D$10*V28+ILP_B_Moderate!$D$11*W28+ILP_B_Moderate!$D$12*X28+ILP_B_Moderate!$D$13*Y28</f>
        <v>13054.150362489152</v>
      </c>
      <c r="AB28" s="45">
        <f ca="1">ILP_B_Moderate!$E$9*U28+ILP_B_Moderate!$E$10*V28+ILP_B_Moderate!$E$11*W28+ILP_B_Moderate!$E$12*X28+ILP_B_Moderate!$E$13*Y28</f>
        <v>12032.458642305317</v>
      </c>
      <c r="AC28" s="45">
        <f ca="1">Inputs!$B$6*$C28</f>
        <v>16200</v>
      </c>
      <c r="AD28" s="45">
        <f ca="1">Inputs!$B$7*$C28</f>
        <v>13500</v>
      </c>
      <c r="AE28" s="45">
        <f ca="1">Inputs!$B$8*$C28</f>
        <v>10800</v>
      </c>
      <c r="AF28" s="45">
        <f t="shared" ca="1" si="3"/>
        <v>4475.7460954082162</v>
      </c>
      <c r="AG28" s="45">
        <f t="shared" ca="1" si="4"/>
        <v>445.84963751084797</v>
      </c>
      <c r="AH28" s="45">
        <f t="shared" ca="1" si="5"/>
        <v>0</v>
      </c>
      <c r="AI28" s="45">
        <f t="shared" ca="1" si="6"/>
        <v>4921.5957329190642</v>
      </c>
      <c r="AJ28" s="45">
        <f ca="1">U28*(Inputs!$B$12-ILP_B_Moderate!$F$9)+V28*(Inputs!$B$13-ILP_B_Moderate!$F$10)+W28*(Inputs!$B$14-ILP_B_Moderate!$F$11)+X28*(Inputs!$B$15-ILP_B_Moderate!$F$12)+Y28*(Inputs!$B$16-ILP_B_Moderate!$F$13)</f>
        <v>24928.726316119741</v>
      </c>
      <c r="AK28" s="45">
        <f t="shared" ca="1" si="7"/>
        <v>4921.5957329190642</v>
      </c>
      <c r="AL28" s="45">
        <f t="shared" ca="1" si="8"/>
        <v>0</v>
      </c>
      <c r="AM28" s="45">
        <f t="shared" ca="1" si="9"/>
        <v>0</v>
      </c>
      <c r="AN28" s="45">
        <f t="shared" ca="1" si="10"/>
        <v>0</v>
      </c>
      <c r="AO28" s="45">
        <f ca="1">MIN(AL28,Inputs!$B$36)</f>
        <v>0</v>
      </c>
      <c r="AP28" s="45">
        <f ca="1">MIN(AN28,Inputs!$B$36-AO28)</f>
        <v>0</v>
      </c>
      <c r="AQ28" s="45">
        <f ca="1">MIN(AM28,Inputs!$B$36-AO28-AP28)</f>
        <v>0</v>
      </c>
      <c r="AR28" s="45">
        <f t="shared" ca="1" si="11"/>
        <v>0</v>
      </c>
      <c r="AS28" s="45">
        <f t="shared" ca="1" si="12"/>
        <v>0</v>
      </c>
      <c r="AT28" s="45">
        <f t="shared" ca="1" si="13"/>
        <v>0</v>
      </c>
      <c r="AU28" s="45">
        <f t="shared" ca="1" si="14"/>
        <v>0</v>
      </c>
      <c r="AV28" s="46">
        <f ca="1">AU28*Inputs!$B$35</f>
        <v>0</v>
      </c>
      <c r="AW28" s="46">
        <f ca="1">AR28*Inputs!$C$6+AT28*Inputs!$C$7+AS28*Inputs!$C$8</f>
        <v>0</v>
      </c>
      <c r="AX28" s="46">
        <f t="shared" ca="1" si="15"/>
        <v>39083795.203679457</v>
      </c>
      <c r="AY28" s="46">
        <f ca="1">IF(J28&gt;1,($CD$4)*Inputs!$B$55*((Z28+AA28+AB28)/(SUM(ILP_B_Moderate!$C$9:$E$13))),0)</f>
        <v>0</v>
      </c>
      <c r="AZ28" s="46">
        <f t="shared" ca="1" si="16"/>
        <v>0</v>
      </c>
      <c r="BA28" s="41">
        <f t="shared" ca="1" si="17"/>
        <v>0</v>
      </c>
      <c r="BB28" s="41">
        <f t="shared" ca="1" si="18"/>
        <v>1</v>
      </c>
      <c r="BC28" s="41">
        <f t="shared" ca="1" si="19"/>
        <v>1</v>
      </c>
      <c r="BD28" s="41">
        <f t="shared" ca="1" si="20"/>
        <v>1</v>
      </c>
    </row>
    <row r="29" spans="1:56" ht="15" customHeight="1" x14ac:dyDescent="0.3">
      <c r="A29" s="41">
        <v>22</v>
      </c>
      <c r="B29" s="42">
        <f t="shared" ca="1" si="0"/>
        <v>8.1619873871853765E-2</v>
      </c>
      <c r="C29" s="43">
        <f ca="1">IF(B29&lt;=Inputs!$C$40,Inputs!$D$40,IF(B29&lt;=Inputs!$C$41,Inputs!$D$41,Inputs!$D$42))</f>
        <v>0.9</v>
      </c>
      <c r="D29" s="42">
        <f t="shared" ca="1" si="23"/>
        <v>0.55718871882424426</v>
      </c>
      <c r="E29" s="42">
        <f t="shared" ca="1" si="23"/>
        <v>0.18430245161049263</v>
      </c>
      <c r="F29" s="42">
        <f t="shared" ca="1" si="23"/>
        <v>8.4651914165031372E-2</v>
      </c>
      <c r="G29" s="42">
        <f t="shared" ca="1" si="23"/>
        <v>0.89692685313783183</v>
      </c>
      <c r="H29" s="42">
        <f t="shared" ca="1" si="23"/>
        <v>0.18838319583609997</v>
      </c>
      <c r="I29" s="42">
        <f t="shared" ca="1" si="23"/>
        <v>0.83305930396891537</v>
      </c>
      <c r="J29" s="43">
        <f ca="1">IF(I29&lt;Inputs!$B$54,1+Inputs!$B$55,1)</f>
        <v>1</v>
      </c>
      <c r="K29" s="42">
        <f t="shared" ca="1" si="24"/>
        <v>0.92460814714760586</v>
      </c>
      <c r="L29" s="42">
        <f t="shared" ca="1" si="24"/>
        <v>0.38292064959412375</v>
      </c>
      <c r="M29" s="42">
        <f t="shared" ca="1" si="24"/>
        <v>0.49337472876829802</v>
      </c>
      <c r="N29" s="42">
        <f t="shared" ca="1" si="24"/>
        <v>0.87864310401507817</v>
      </c>
      <c r="O29" s="42">
        <f t="shared" ca="1" si="24"/>
        <v>0.73010466502123561</v>
      </c>
      <c r="P29" s="42">
        <f t="shared" ca="1" si="24"/>
        <v>0.48333886503018164</v>
      </c>
      <c r="Q29" s="42">
        <f t="shared" ca="1" si="24"/>
        <v>0.76330772299989647</v>
      </c>
      <c r="R29" s="42">
        <f t="shared" ca="1" si="24"/>
        <v>0.80225954793384535</v>
      </c>
      <c r="S29" s="42">
        <f t="shared" ca="1" si="24"/>
        <v>0.11508634764840198</v>
      </c>
      <c r="T29" s="42">
        <f t="shared" ca="1" si="24"/>
        <v>0.38483767727540408</v>
      </c>
      <c r="U29" s="44">
        <f ca="1">(IF(D29&gt;=Inputs!$E$12,1,IF(K29&lt;=Inputs!$C$46,Inputs!$D$46,IF(K29&lt;=Inputs!$C$47,Inputs!$D$47,Inputs!$D$48))))*((Inputs!$B$28+(P29-0.5)*2*Inputs!$B$53)/Inputs!$B$28)</f>
        <v>0.99983136503066983</v>
      </c>
      <c r="V29" s="44">
        <f ca="1">(IF(E29&gt;=Inputs!$E$13,1,IF(L29&lt;=Inputs!$C$46,Inputs!$D$46,IF(L29&lt;=Inputs!$C$47,Inputs!$D$47,Inputs!$D$48))))*((Inputs!$B$29+(Q29-0.5)*2*Inputs!$B$53)/Inputs!$B$29)</f>
        <v>1.0026543117237892</v>
      </c>
      <c r="W29" s="44">
        <f ca="1">(IF(F29&gt;=Inputs!$E$14,1,IF(M29&lt;=Inputs!$C$46,Inputs!$D$46,IF(M29&lt;=Inputs!$C$47,Inputs!$D$47,Inputs!$D$48))))*((Inputs!$B$30+(R29-0.5)*2*Inputs!$B$53)/Inputs!$B$30)</f>
        <v>1.0030377844013452</v>
      </c>
      <c r="X29" s="44">
        <f ca="1">(IF(G29&gt;=Inputs!$E$15,1,IF(N29&lt;=Inputs!$C$46,Inputs!$D$46,IF(N29&lt;=Inputs!$C$47,Inputs!$D$47,Inputs!$D$48))))*((Inputs!$B$31+(S29-0.5)*2*Inputs!$B$53)/Inputs!$B$31)</f>
        <v>0.99609224718424783</v>
      </c>
      <c r="Y29" s="44">
        <f ca="1">(IF(H29&gt;=Inputs!$E$16,1,IF(O29&lt;=Inputs!$C$46,Inputs!$D$46,IF(O29&lt;=Inputs!$C$47,Inputs!$D$47,Inputs!$D$48))))*((Inputs!$B$32+(T29-0.5)*2*Inputs!$B$53)/Inputs!$B$32)</f>
        <v>0.99884142532470233</v>
      </c>
      <c r="Z29" s="45">
        <f ca="1">ILP_B_Moderate!$C$9*U29+ILP_B_Moderate!$C$10*V29+ILP_B_Moderate!$C$11*W29+ILP_B_Moderate!$C$12*X29+ILP_B_Moderate!$C$13*Y29</f>
        <v>17974.242959530016</v>
      </c>
      <c r="AA29" s="45">
        <f ca="1">ILP_B_Moderate!$D$9*U29+ILP_B_Moderate!$D$10*V29+ILP_B_Moderate!$D$11*W29+ILP_B_Moderate!$D$12*X29+ILP_B_Moderate!$D$13*Y29</f>
        <v>15008.098263331533</v>
      </c>
      <c r="AB29" s="45">
        <f ca="1">ILP_B_Moderate!$E$9*U29+ILP_B_Moderate!$E$10*V29+ILP_B_Moderate!$E$11*W29+ILP_B_Moderate!$E$12*X29+ILP_B_Moderate!$E$13*Y29</f>
        <v>12001.629964312335</v>
      </c>
      <c r="AC29" s="45">
        <f ca="1">Inputs!$B$6*$C29</f>
        <v>16200</v>
      </c>
      <c r="AD29" s="45">
        <f ca="1">Inputs!$B$7*$C29</f>
        <v>13500</v>
      </c>
      <c r="AE29" s="45">
        <f ca="1">Inputs!$B$8*$C29</f>
        <v>10800</v>
      </c>
      <c r="AF29" s="45">
        <f t="shared" ca="1" si="3"/>
        <v>0</v>
      </c>
      <c r="AG29" s="45">
        <f t="shared" ca="1" si="4"/>
        <v>0</v>
      </c>
      <c r="AH29" s="45">
        <f t="shared" ca="1" si="5"/>
        <v>0</v>
      </c>
      <c r="AI29" s="45">
        <f t="shared" ca="1" si="6"/>
        <v>0</v>
      </c>
      <c r="AJ29" s="45">
        <f ca="1">U29*(Inputs!$B$12-ILP_B_Moderate!$F$9)+V29*(Inputs!$B$13-ILP_B_Moderate!$F$10)+W29*(Inputs!$B$14-ILP_B_Moderate!$F$11)+X29*(Inputs!$B$15-ILP_B_Moderate!$F$12)+Y29*(Inputs!$B$16-ILP_B_Moderate!$F$13)</f>
        <v>25025.710560748877</v>
      </c>
      <c r="AK29" s="45">
        <f t="shared" ca="1" si="7"/>
        <v>0</v>
      </c>
      <c r="AL29" s="45">
        <f t="shared" ca="1" si="8"/>
        <v>0</v>
      </c>
      <c r="AM29" s="45">
        <f t="shared" ca="1" si="9"/>
        <v>0</v>
      </c>
      <c r="AN29" s="45">
        <f t="shared" ca="1" si="10"/>
        <v>0</v>
      </c>
      <c r="AO29" s="45">
        <f ca="1">MIN(AL29,Inputs!$B$36)</f>
        <v>0</v>
      </c>
      <c r="AP29" s="45">
        <f ca="1">MIN(AN29,Inputs!$B$36-AO29)</f>
        <v>0</v>
      </c>
      <c r="AQ29" s="45">
        <f ca="1">MIN(AM29,Inputs!$B$36-AO29-AP29)</f>
        <v>0</v>
      </c>
      <c r="AR29" s="45">
        <f t="shared" ca="1" si="11"/>
        <v>0</v>
      </c>
      <c r="AS29" s="45">
        <f t="shared" ca="1" si="12"/>
        <v>0</v>
      </c>
      <c r="AT29" s="45">
        <f t="shared" ca="1" si="13"/>
        <v>0</v>
      </c>
      <c r="AU29" s="45">
        <f t="shared" ca="1" si="14"/>
        <v>0</v>
      </c>
      <c r="AV29" s="46">
        <f ca="1">AU29*Inputs!$B$35</f>
        <v>0</v>
      </c>
      <c r="AW29" s="46">
        <f ca="1">AR29*Inputs!$C$6+AT29*Inputs!$C$7+AS29*Inputs!$C$8</f>
        <v>0</v>
      </c>
      <c r="AX29" s="46">
        <f t="shared" ca="1" si="15"/>
        <v>47552514.484792583</v>
      </c>
      <c r="AY29" s="46">
        <f ca="1">IF(J29&gt;1,($CD$4)*Inputs!$B$55*((Z29+AA29+AB29)/(SUM(ILP_B_Moderate!$C$9:$E$13))),0)</f>
        <v>0</v>
      </c>
      <c r="AZ29" s="46">
        <f t="shared" ca="1" si="16"/>
        <v>0</v>
      </c>
      <c r="BA29" s="41">
        <f t="shared" ca="1" si="17"/>
        <v>0</v>
      </c>
      <c r="BB29" s="41">
        <f t="shared" ca="1" si="18"/>
        <v>1</v>
      </c>
      <c r="BC29" s="41">
        <f t="shared" ca="1" si="19"/>
        <v>1</v>
      </c>
      <c r="BD29" s="41">
        <f t="shared" ca="1" si="20"/>
        <v>1</v>
      </c>
    </row>
    <row r="30" spans="1:56" ht="15" customHeight="1" x14ac:dyDescent="0.3">
      <c r="A30" s="41">
        <v>23</v>
      </c>
      <c r="B30" s="42">
        <f t="shared" ca="1" si="0"/>
        <v>0.6191950132918197</v>
      </c>
      <c r="C30" s="43">
        <f ca="1">IF(B30&lt;=Inputs!$C$40,Inputs!$D$40,IF(B30&lt;=Inputs!$C$41,Inputs!$D$41,Inputs!$D$42))</f>
        <v>1</v>
      </c>
      <c r="D30" s="42">
        <f t="shared" ca="1" si="23"/>
        <v>0.13756752027578434</v>
      </c>
      <c r="E30" s="42">
        <f t="shared" ca="1" si="23"/>
        <v>0.42457488025068602</v>
      </c>
      <c r="F30" s="42">
        <f t="shared" ca="1" si="23"/>
        <v>0.75754165642620286</v>
      </c>
      <c r="G30" s="42">
        <f t="shared" ca="1" si="23"/>
        <v>0.96076444382423432</v>
      </c>
      <c r="H30" s="42">
        <f t="shared" ca="1" si="23"/>
        <v>0.81978041919549893</v>
      </c>
      <c r="I30" s="42">
        <f t="shared" ca="1" si="23"/>
        <v>0.1757871309077419</v>
      </c>
      <c r="J30" s="43">
        <f ca="1">IF(I30&lt;Inputs!$B$54,1+Inputs!$B$55,1)</f>
        <v>1</v>
      </c>
      <c r="K30" s="42">
        <f t="shared" ca="1" si="24"/>
        <v>8.5635875069007383E-2</v>
      </c>
      <c r="L30" s="42">
        <f t="shared" ca="1" si="24"/>
        <v>0.19535429628962653</v>
      </c>
      <c r="M30" s="42">
        <f t="shared" ca="1" si="24"/>
        <v>0.65989835345068348</v>
      </c>
      <c r="N30" s="42">
        <f t="shared" ca="1" si="24"/>
        <v>0.37756931782911352</v>
      </c>
      <c r="O30" s="42">
        <f t="shared" ca="1" si="24"/>
        <v>0.97628566989569843</v>
      </c>
      <c r="P30" s="42">
        <f t="shared" ca="1" si="24"/>
        <v>0.5049585018590228</v>
      </c>
      <c r="Q30" s="42">
        <f t="shared" ca="1" si="24"/>
        <v>0.68192135949458843</v>
      </c>
      <c r="R30" s="42">
        <f t="shared" ca="1" si="24"/>
        <v>0.42373000275817507</v>
      </c>
      <c r="S30" s="42">
        <f t="shared" ca="1" si="24"/>
        <v>0.14790098345833214</v>
      </c>
      <c r="T30" s="42">
        <f t="shared" ca="1" si="24"/>
        <v>0.50577851543100671</v>
      </c>
      <c r="U30" s="44">
        <f ca="1">(IF(D30&gt;=Inputs!$E$12,1,IF(K30&lt;=Inputs!$C$46,Inputs!$D$46,IF(K30&lt;=Inputs!$C$47,Inputs!$D$47,Inputs!$D$48))))*((Inputs!$B$28+(P30-0.5)*2*Inputs!$B$53)/Inputs!$B$28)</f>
        <v>1.0000501872657797</v>
      </c>
      <c r="V30" s="44">
        <f ca="1">(IF(E30&gt;=Inputs!$E$13,1,IF(L30&lt;=Inputs!$C$46,Inputs!$D$46,IF(L30&lt;=Inputs!$C$47,Inputs!$D$47,Inputs!$D$48))))*((Inputs!$B$29+(Q30-0.5)*2*Inputs!$B$53)/Inputs!$B$29)</f>
        <v>1.0018338846723245</v>
      </c>
      <c r="W30" s="44">
        <f ca="1">(IF(F30&gt;=Inputs!$E$14,1,IF(M30&lt;=Inputs!$C$46,Inputs!$D$46,IF(M30&lt;=Inputs!$C$47,Inputs!$D$47,Inputs!$D$48))))*((Inputs!$B$30+(R30-0.5)*2*Inputs!$B$53)/Inputs!$B$30)</f>
        <v>0.99923346736440377</v>
      </c>
      <c r="X30" s="44">
        <f ca="1">(IF(G30&gt;=Inputs!$E$15,1,IF(N30&lt;=Inputs!$C$46,Inputs!$D$46,IF(N30&lt;=Inputs!$C$47,Inputs!$D$47,Inputs!$D$48))))*((Inputs!$B$31+(S30-0.5)*2*Inputs!$B$53)/Inputs!$B$31)</f>
        <v>0.99642539069500846</v>
      </c>
      <c r="Y30" s="44">
        <f ca="1">(IF(H30&gt;=Inputs!$E$16,1,IF(O30&lt;=Inputs!$C$46,Inputs!$D$46,IF(O30&lt;=Inputs!$C$47,Inputs!$D$47,Inputs!$D$48))))*((Inputs!$B$32+(T30-0.5)*2*Inputs!$B$53)/Inputs!$B$32)</f>
        <v>1.0000581339580585</v>
      </c>
      <c r="Z30" s="45">
        <f ca="1">ILP_B_Moderate!$C$9*U30+ILP_B_Moderate!$C$10*V30+ILP_B_Moderate!$C$11*W30+ILP_B_Moderate!$C$12*X30+ILP_B_Moderate!$C$13*Y30</f>
        <v>17975.186678005237</v>
      </c>
      <c r="AA30" s="45">
        <f ca="1">ILP_B_Moderate!$D$9*U30+ILP_B_Moderate!$D$10*V30+ILP_B_Moderate!$D$11*W30+ILP_B_Moderate!$D$12*X30+ILP_B_Moderate!$D$13*Y30</f>
        <v>15003.908613206208</v>
      </c>
      <c r="AB30" s="45">
        <f ca="1">ILP_B_Moderate!$E$9*U30+ILP_B_Moderate!$E$10*V30+ILP_B_Moderate!$E$11*W30+ILP_B_Moderate!$E$12*X30+ILP_B_Moderate!$E$13*Y30</f>
        <v>12005.117716140123</v>
      </c>
      <c r="AC30" s="45">
        <f ca="1">Inputs!$B$6*$C30</f>
        <v>18000</v>
      </c>
      <c r="AD30" s="45">
        <f ca="1">Inputs!$B$7*$C30</f>
        <v>15000</v>
      </c>
      <c r="AE30" s="45">
        <f ca="1">Inputs!$B$8*$C30</f>
        <v>12000</v>
      </c>
      <c r="AF30" s="45">
        <f t="shared" ca="1" si="3"/>
        <v>24.813321994763101</v>
      </c>
      <c r="AG30" s="45">
        <f t="shared" ca="1" si="4"/>
        <v>0</v>
      </c>
      <c r="AH30" s="45">
        <f t="shared" ca="1" si="5"/>
        <v>0</v>
      </c>
      <c r="AI30" s="45">
        <f t="shared" ca="1" si="6"/>
        <v>24.813321994763101</v>
      </c>
      <c r="AJ30" s="45">
        <f ca="1">U30*(Inputs!$B$12-ILP_B_Moderate!$F$9)+V30*(Inputs!$B$13-ILP_B_Moderate!$F$10)+W30*(Inputs!$B$14-ILP_B_Moderate!$F$11)+X30*(Inputs!$B$15-ILP_B_Moderate!$F$12)+Y30*(Inputs!$B$16-ILP_B_Moderate!$F$13)</f>
        <v>24990.27614776168</v>
      </c>
      <c r="AK30" s="45">
        <f t="shared" ca="1" si="7"/>
        <v>24.813321994763101</v>
      </c>
      <c r="AL30" s="45">
        <f t="shared" ca="1" si="8"/>
        <v>0</v>
      </c>
      <c r="AM30" s="45">
        <f t="shared" ca="1" si="9"/>
        <v>0</v>
      </c>
      <c r="AN30" s="45">
        <f t="shared" ca="1" si="10"/>
        <v>0</v>
      </c>
      <c r="AO30" s="45">
        <f ca="1">MIN(AL30,Inputs!$B$36)</f>
        <v>0</v>
      </c>
      <c r="AP30" s="45">
        <f ca="1">MIN(AN30,Inputs!$B$36-AO30)</f>
        <v>0</v>
      </c>
      <c r="AQ30" s="45">
        <f ca="1">MIN(AM30,Inputs!$B$36-AO30-AP30)</f>
        <v>0</v>
      </c>
      <c r="AR30" s="45">
        <f t="shared" ca="1" si="11"/>
        <v>0</v>
      </c>
      <c r="AS30" s="45">
        <f t="shared" ca="1" si="12"/>
        <v>0</v>
      </c>
      <c r="AT30" s="45">
        <f t="shared" ca="1" si="13"/>
        <v>0</v>
      </c>
      <c r="AU30" s="45">
        <f t="shared" ca="1" si="14"/>
        <v>0</v>
      </c>
      <c r="AV30" s="46">
        <f ca="1">AU30*Inputs!$B$35</f>
        <v>0</v>
      </c>
      <c r="AW30" s="46">
        <f ca="1">AR30*Inputs!$C$6+AT30*Inputs!$C$7+AS30*Inputs!$C$8</f>
        <v>0</v>
      </c>
      <c r="AX30" s="46">
        <f t="shared" ca="1" si="15"/>
        <v>47552922.733786926</v>
      </c>
      <c r="AY30" s="46">
        <f ca="1">IF(J30&gt;1,($CD$4)*Inputs!$B$55*((Z30+AA30+AB30)/(SUM(ILP_B_Moderate!$C$9:$E$13))),0)</f>
        <v>0</v>
      </c>
      <c r="AZ30" s="46">
        <f t="shared" ca="1" si="16"/>
        <v>0</v>
      </c>
      <c r="BA30" s="41">
        <f t="shared" ca="1" si="17"/>
        <v>0</v>
      </c>
      <c r="BB30" s="41">
        <f t="shared" ca="1" si="18"/>
        <v>1</v>
      </c>
      <c r="BC30" s="41">
        <f t="shared" ca="1" si="19"/>
        <v>1</v>
      </c>
      <c r="BD30" s="41">
        <f t="shared" ca="1" si="20"/>
        <v>1</v>
      </c>
    </row>
    <row r="31" spans="1:56" ht="15" customHeight="1" x14ac:dyDescent="0.3">
      <c r="A31" s="41">
        <v>24</v>
      </c>
      <c r="B31" s="42">
        <f t="shared" ca="1" si="0"/>
        <v>0.53458230544457397</v>
      </c>
      <c r="C31" s="43">
        <f ca="1">IF(B31&lt;=Inputs!$C$40,Inputs!$D$40,IF(B31&lt;=Inputs!$C$41,Inputs!$D$41,Inputs!$D$42))</f>
        <v>1</v>
      </c>
      <c r="D31" s="42">
        <f t="shared" ca="1" si="23"/>
        <v>0.42586404065440353</v>
      </c>
      <c r="E31" s="42">
        <f t="shared" ca="1" si="23"/>
        <v>0.29532746940141075</v>
      </c>
      <c r="F31" s="42">
        <f t="shared" ca="1" si="23"/>
        <v>0.35310650114317443</v>
      </c>
      <c r="G31" s="42">
        <f t="shared" ca="1" si="23"/>
        <v>0.85923893883248503</v>
      </c>
      <c r="H31" s="42">
        <f t="shared" ca="1" si="23"/>
        <v>0.90886135468378204</v>
      </c>
      <c r="I31" s="42">
        <f t="shared" ca="1" si="23"/>
        <v>0.46163852197396849</v>
      </c>
      <c r="J31" s="43">
        <f ca="1">IF(I31&lt;Inputs!$B$54,1+Inputs!$B$55,1)</f>
        <v>1</v>
      </c>
      <c r="K31" s="42">
        <f t="shared" ca="1" si="24"/>
        <v>0.20587021391317228</v>
      </c>
      <c r="L31" s="42">
        <f t="shared" ca="1" si="24"/>
        <v>0.40932837610742001</v>
      </c>
      <c r="M31" s="42">
        <f t="shared" ca="1" si="24"/>
        <v>0.74336772771179827</v>
      </c>
      <c r="N31" s="42">
        <f t="shared" ca="1" si="24"/>
        <v>0.40657033172633328</v>
      </c>
      <c r="O31" s="42">
        <f t="shared" ca="1" si="24"/>
        <v>0.27178401844712896</v>
      </c>
      <c r="P31" s="42">
        <f t="shared" ca="1" si="24"/>
        <v>0.11626462527772086</v>
      </c>
      <c r="Q31" s="42">
        <f t="shared" ca="1" si="24"/>
        <v>2.5900615618152156E-2</v>
      </c>
      <c r="R31" s="42">
        <f t="shared" ca="1" si="24"/>
        <v>0.29461162340181068</v>
      </c>
      <c r="S31" s="42">
        <f t="shared" ca="1" si="24"/>
        <v>1.5514767714993272E-2</v>
      </c>
      <c r="T31" s="42">
        <f t="shared" ca="1" si="24"/>
        <v>0.10596156499603138</v>
      </c>
      <c r="U31" s="44">
        <f ca="1">(IF(D31&gt;=Inputs!$E$12,1,IF(K31&lt;=Inputs!$C$46,Inputs!$D$46,IF(K31&lt;=Inputs!$C$47,Inputs!$D$47,Inputs!$D$48))))*((Inputs!$B$28+(P31-0.5)*2*Inputs!$B$53)/Inputs!$B$28)</f>
        <v>0.99611603871738585</v>
      </c>
      <c r="V31" s="44">
        <f ca="1">(IF(E31&gt;=Inputs!$E$13,1,IF(L31&lt;=Inputs!$C$46,Inputs!$D$46,IF(L31&lt;=Inputs!$C$47,Inputs!$D$47,Inputs!$D$48))))*((Inputs!$B$29+(Q31-0.5)*2*Inputs!$B$53)/Inputs!$B$29)</f>
        <v>0.9952207723348605</v>
      </c>
      <c r="W31" s="44">
        <f ca="1">(IF(F31&gt;=Inputs!$E$14,1,IF(M31&lt;=Inputs!$C$46,Inputs!$D$46,IF(M31&lt;=Inputs!$C$47,Inputs!$D$47,Inputs!$D$48))))*((Inputs!$B$30+(R31-0.5)*2*Inputs!$B$53)/Inputs!$B$30)</f>
        <v>0.99793579521006837</v>
      </c>
      <c r="X31" s="44">
        <f ca="1">(IF(G31&gt;=Inputs!$E$15,1,IF(N31&lt;=Inputs!$C$46,Inputs!$D$46,IF(N31&lt;=Inputs!$C$47,Inputs!$D$47,Inputs!$D$48))))*((Inputs!$B$31+(S31-0.5)*2*Inputs!$B$53)/Inputs!$B$31)</f>
        <v>0.99508136820015225</v>
      </c>
      <c r="Y31" s="44">
        <f ca="1">(IF(H31&gt;=Inputs!$E$16,1,IF(O31&lt;=Inputs!$C$46,Inputs!$D$46,IF(O31&lt;=Inputs!$C$47,Inputs!$D$47,Inputs!$D$48))))*((Inputs!$B$32+(T31-0.5)*2*Inputs!$B$53)/Inputs!$B$32)</f>
        <v>0.99603583063376289</v>
      </c>
      <c r="Z31" s="45">
        <f ca="1">ILP_B_Moderate!$C$9*U31+ILP_B_Moderate!$C$10*V31+ILP_B_Moderate!$C$11*W31+ILP_B_Moderate!$C$12*X31+ILP_B_Moderate!$C$13*Y31</f>
        <v>17917.310190824704</v>
      </c>
      <c r="AA31" s="45">
        <f ca="1">ILP_B_Moderate!$D$9*U31+ILP_B_Moderate!$D$10*V31+ILP_B_Moderate!$D$11*W31+ILP_B_Moderate!$D$12*X31+ILP_B_Moderate!$D$13*Y31</f>
        <v>14932.10831203325</v>
      </c>
      <c r="AB31" s="45">
        <f ca="1">ILP_B_Moderate!$E$9*U31+ILP_B_Moderate!$E$10*V31+ILP_B_Moderate!$E$11*W31+ILP_B_Moderate!$E$12*X31+ILP_B_Moderate!$E$13*Y31</f>
        <v>11950.860529426855</v>
      </c>
      <c r="AC31" s="45">
        <f ca="1">Inputs!$B$6*$C31</f>
        <v>18000</v>
      </c>
      <c r="AD31" s="45">
        <f ca="1">Inputs!$B$7*$C31</f>
        <v>15000</v>
      </c>
      <c r="AE31" s="45">
        <f ca="1">Inputs!$B$8*$C31</f>
        <v>12000</v>
      </c>
      <c r="AF31" s="45">
        <f t="shared" ca="1" si="3"/>
        <v>82.689809175295522</v>
      </c>
      <c r="AG31" s="45">
        <f t="shared" ca="1" si="4"/>
        <v>67.891687966750396</v>
      </c>
      <c r="AH31" s="45">
        <f t="shared" ca="1" si="5"/>
        <v>49.139470573145445</v>
      </c>
      <c r="AI31" s="45">
        <f t="shared" ca="1" si="6"/>
        <v>199.72096771519136</v>
      </c>
      <c r="AJ31" s="45">
        <f ca="1">U31*(Inputs!$B$12-ILP_B_Moderate!$F$9)+V31*(Inputs!$B$13-ILP_B_Moderate!$F$10)+W31*(Inputs!$B$14-ILP_B_Moderate!$F$11)+X31*(Inputs!$B$15-ILP_B_Moderate!$F$12)+Y31*(Inputs!$B$16-ILP_B_Moderate!$F$13)</f>
        <v>24925.347615520572</v>
      </c>
      <c r="AK31" s="45">
        <f t="shared" ca="1" si="7"/>
        <v>199.72096771519136</v>
      </c>
      <c r="AL31" s="45">
        <f t="shared" ca="1" si="8"/>
        <v>0</v>
      </c>
      <c r="AM31" s="45">
        <f t="shared" ca="1" si="9"/>
        <v>0</v>
      </c>
      <c r="AN31" s="45">
        <f t="shared" ca="1" si="10"/>
        <v>0</v>
      </c>
      <c r="AO31" s="45">
        <f ca="1">MIN(AL31,Inputs!$B$36)</f>
        <v>0</v>
      </c>
      <c r="AP31" s="45">
        <f ca="1">MIN(AN31,Inputs!$B$36-AO31)</f>
        <v>0</v>
      </c>
      <c r="AQ31" s="45">
        <f ca="1">MIN(AM31,Inputs!$B$36-AO31-AP31)</f>
        <v>0</v>
      </c>
      <c r="AR31" s="45">
        <f t="shared" ca="1" si="11"/>
        <v>0</v>
      </c>
      <c r="AS31" s="45">
        <f t="shared" ca="1" si="12"/>
        <v>0</v>
      </c>
      <c r="AT31" s="45">
        <f t="shared" ca="1" si="13"/>
        <v>0</v>
      </c>
      <c r="AU31" s="45">
        <f t="shared" ca="1" si="14"/>
        <v>0</v>
      </c>
      <c r="AV31" s="46">
        <f ca="1">AU31*Inputs!$B$35</f>
        <v>0</v>
      </c>
      <c r="AW31" s="46">
        <f ca="1">AR31*Inputs!$C$6+AT31*Inputs!$C$7+AS31*Inputs!$C$8</f>
        <v>0</v>
      </c>
      <c r="AX31" s="46">
        <f t="shared" ca="1" si="15"/>
        <v>47357908.336716294</v>
      </c>
      <c r="AY31" s="46">
        <f ca="1">IF(J31&gt;1,($CD$4)*Inputs!$B$55*((Z31+AA31+AB31)/(SUM(ILP_B_Moderate!$C$9:$E$13))),0)</f>
        <v>0</v>
      </c>
      <c r="AZ31" s="46">
        <f t="shared" ca="1" si="16"/>
        <v>0</v>
      </c>
      <c r="BA31" s="41">
        <f t="shared" ca="1" si="17"/>
        <v>0</v>
      </c>
      <c r="BB31" s="41">
        <f t="shared" ca="1" si="18"/>
        <v>1</v>
      </c>
      <c r="BC31" s="41">
        <f t="shared" ca="1" si="19"/>
        <v>1</v>
      </c>
      <c r="BD31" s="41">
        <f t="shared" ca="1" si="20"/>
        <v>1</v>
      </c>
    </row>
    <row r="32" spans="1:56" ht="15" customHeight="1" x14ac:dyDescent="0.3">
      <c r="A32" s="41">
        <v>25</v>
      </c>
      <c r="B32" s="42">
        <f t="shared" ca="1" si="0"/>
        <v>0.33881105779727339</v>
      </c>
      <c r="C32" s="43">
        <f ca="1">IF(B32&lt;=Inputs!$C$40,Inputs!$D$40,IF(B32&lt;=Inputs!$C$41,Inputs!$D$41,Inputs!$D$42))</f>
        <v>1</v>
      </c>
      <c r="D32" s="42">
        <f t="shared" ca="1" si="23"/>
        <v>0.81827074092448904</v>
      </c>
      <c r="E32" s="42">
        <f t="shared" ca="1" si="23"/>
        <v>0.7406089371485074</v>
      </c>
      <c r="F32" s="42">
        <f t="shared" ca="1" si="23"/>
        <v>9.4135060397754988E-2</v>
      </c>
      <c r="G32" s="42">
        <f t="shared" ca="1" si="23"/>
        <v>0.40417432284490795</v>
      </c>
      <c r="H32" s="42">
        <f t="shared" ca="1" si="23"/>
        <v>0.26708965453218425</v>
      </c>
      <c r="I32" s="42">
        <f t="shared" ca="1" si="23"/>
        <v>0.6776998931826691</v>
      </c>
      <c r="J32" s="43">
        <f ca="1">IF(I32&lt;Inputs!$B$54,1+Inputs!$B$55,1)</f>
        <v>1</v>
      </c>
      <c r="K32" s="42">
        <f t="shared" ca="1" si="24"/>
        <v>0.44842115136330829</v>
      </c>
      <c r="L32" s="42">
        <f t="shared" ca="1" si="24"/>
        <v>0.83861750004568791</v>
      </c>
      <c r="M32" s="42">
        <f t="shared" ca="1" si="24"/>
        <v>0.32850208089172128</v>
      </c>
      <c r="N32" s="42">
        <f t="shared" ca="1" si="24"/>
        <v>0.63026310855521239</v>
      </c>
      <c r="O32" s="42">
        <f t="shared" ca="1" si="24"/>
        <v>0.80985488870340916</v>
      </c>
      <c r="P32" s="42">
        <f t="shared" ca="1" si="24"/>
        <v>0.80374698569118341</v>
      </c>
      <c r="Q32" s="42">
        <f t="shared" ca="1" si="24"/>
        <v>0.88585265584866468</v>
      </c>
      <c r="R32" s="42">
        <f t="shared" ca="1" si="24"/>
        <v>0.65349100749560762</v>
      </c>
      <c r="S32" s="42">
        <f t="shared" ca="1" si="24"/>
        <v>0.36789703403845175</v>
      </c>
      <c r="T32" s="42">
        <f t="shared" ca="1" si="24"/>
        <v>0.53844511586979826</v>
      </c>
      <c r="U32" s="44">
        <f ca="1">(IF(D32&gt;=Inputs!$E$12,1,IF(K32&lt;=Inputs!$C$46,Inputs!$D$46,IF(K32&lt;=Inputs!$C$47,Inputs!$D$47,Inputs!$D$48))))*((Inputs!$B$28+(P32-0.5)*2*Inputs!$B$53)/Inputs!$B$28)</f>
        <v>1.003074362203352</v>
      </c>
      <c r="V32" s="44">
        <f ca="1">(IF(E32&gt;=Inputs!$E$13,1,IF(L32&lt;=Inputs!$C$46,Inputs!$D$46,IF(L32&lt;=Inputs!$C$47,Inputs!$D$47,Inputs!$D$48))))*((Inputs!$B$29+(Q32-0.5)*2*Inputs!$B$53)/Inputs!$B$29)</f>
        <v>1.0038896437081519</v>
      </c>
      <c r="W32" s="44">
        <f ca="1">(IF(F32&gt;=Inputs!$E$14,1,IF(M32&lt;=Inputs!$C$46,Inputs!$D$46,IF(M32&lt;=Inputs!$C$47,Inputs!$D$47,Inputs!$D$48))))*((Inputs!$B$30+(R32-0.5)*2*Inputs!$B$53)/Inputs!$B$30)</f>
        <v>1.0015426231909106</v>
      </c>
      <c r="X32" s="44">
        <f ca="1">(IF(G32&gt;=Inputs!$E$15,1,IF(N32&lt;=Inputs!$C$46,Inputs!$D$46,IF(N32&lt;=Inputs!$C$47,Inputs!$D$47,Inputs!$D$48))))*((Inputs!$B$31+(S32-0.5)*2*Inputs!$B$53)/Inputs!$B$31)</f>
        <v>0.99865885313744629</v>
      </c>
      <c r="Y32" s="44">
        <f ca="1">(IF(H32&gt;=Inputs!$E$16,1,IF(O32&lt;=Inputs!$C$46,Inputs!$D$46,IF(O32&lt;=Inputs!$C$47,Inputs!$D$47,Inputs!$D$48))))*((Inputs!$B$32+(T32-0.5)*2*Inputs!$B$53)/Inputs!$B$32)</f>
        <v>1.0003867717894346</v>
      </c>
      <c r="Z32" s="45">
        <f ca="1">ILP_B_Moderate!$C$9*U32+ILP_B_Moderate!$C$10*V32+ILP_B_Moderate!$C$11*W32+ILP_B_Moderate!$C$12*X32+ILP_B_Moderate!$C$13*Y32</f>
        <v>18018.75570805377</v>
      </c>
      <c r="AA32" s="45">
        <f ca="1">ILP_B_Moderate!$D$9*U32+ILP_B_Moderate!$D$10*V32+ILP_B_Moderate!$D$11*W32+ILP_B_Moderate!$D$12*X32+ILP_B_Moderate!$D$13*Y32</f>
        <v>15039.778308770425</v>
      </c>
      <c r="AB32" s="45">
        <f ca="1">ILP_B_Moderate!$E$9*U32+ILP_B_Moderate!$E$10*V32+ILP_B_Moderate!$E$11*W32+ILP_B_Moderate!$E$12*X32+ILP_B_Moderate!$E$13*Y32</f>
        <v>12029.580029704211</v>
      </c>
      <c r="AC32" s="45">
        <f ca="1">Inputs!$B$6*$C32</f>
        <v>18000</v>
      </c>
      <c r="AD32" s="45">
        <f ca="1">Inputs!$B$7*$C32</f>
        <v>15000</v>
      </c>
      <c r="AE32" s="45">
        <f ca="1">Inputs!$B$8*$C32</f>
        <v>12000</v>
      </c>
      <c r="AF32" s="45">
        <f t="shared" ca="1" si="3"/>
        <v>0</v>
      </c>
      <c r="AG32" s="45">
        <f t="shared" ca="1" si="4"/>
        <v>0</v>
      </c>
      <c r="AH32" s="45">
        <f t="shared" ca="1" si="5"/>
        <v>0</v>
      </c>
      <c r="AI32" s="45">
        <f t="shared" ca="1" si="6"/>
        <v>0</v>
      </c>
      <c r="AJ32" s="45">
        <f ca="1">U32*(Inputs!$B$12-ILP_B_Moderate!$F$9)+V32*(Inputs!$B$13-ILP_B_Moderate!$F$10)+W32*(Inputs!$B$14-ILP_B_Moderate!$F$11)+X32*(Inputs!$B$15-ILP_B_Moderate!$F$12)+Y32*(Inputs!$B$16-ILP_B_Moderate!$F$13)</f>
        <v>25025.292676612065</v>
      </c>
      <c r="AK32" s="45">
        <f t="shared" ca="1" si="7"/>
        <v>0</v>
      </c>
      <c r="AL32" s="45">
        <f t="shared" ca="1" si="8"/>
        <v>0</v>
      </c>
      <c r="AM32" s="45">
        <f t="shared" ca="1" si="9"/>
        <v>0</v>
      </c>
      <c r="AN32" s="45">
        <f t="shared" ca="1" si="10"/>
        <v>0</v>
      </c>
      <c r="AO32" s="45">
        <f ca="1">MIN(AL32,Inputs!$B$36)</f>
        <v>0</v>
      </c>
      <c r="AP32" s="45">
        <f ca="1">MIN(AN32,Inputs!$B$36-AO32)</f>
        <v>0</v>
      </c>
      <c r="AQ32" s="45">
        <f ca="1">MIN(AM32,Inputs!$B$36-AO32-AP32)</f>
        <v>0</v>
      </c>
      <c r="AR32" s="45">
        <f t="shared" ca="1" si="11"/>
        <v>0</v>
      </c>
      <c r="AS32" s="45">
        <f t="shared" ca="1" si="12"/>
        <v>0</v>
      </c>
      <c r="AT32" s="45">
        <f t="shared" ca="1" si="13"/>
        <v>0</v>
      </c>
      <c r="AU32" s="45">
        <f t="shared" ca="1" si="14"/>
        <v>0</v>
      </c>
      <c r="AV32" s="46">
        <f ca="1">AU32*Inputs!$B$35</f>
        <v>0</v>
      </c>
      <c r="AW32" s="46">
        <f ca="1">AR32*Inputs!$C$6+AT32*Inputs!$C$7+AS32*Inputs!$C$8</f>
        <v>0</v>
      </c>
      <c r="AX32" s="46">
        <f t="shared" ca="1" si="15"/>
        <v>47662552.476028644</v>
      </c>
      <c r="AY32" s="46">
        <f ca="1">IF(J32&gt;1,($CD$4)*Inputs!$B$55*((Z32+AA32+AB32)/(SUM(ILP_B_Moderate!$C$9:$E$13))),0)</f>
        <v>0</v>
      </c>
      <c r="AZ32" s="46">
        <f t="shared" ca="1" si="16"/>
        <v>0</v>
      </c>
      <c r="BA32" s="41">
        <f t="shared" ca="1" si="17"/>
        <v>0</v>
      </c>
      <c r="BB32" s="41">
        <f t="shared" ca="1" si="18"/>
        <v>1</v>
      </c>
      <c r="BC32" s="41">
        <f t="shared" ca="1" si="19"/>
        <v>1</v>
      </c>
      <c r="BD32" s="41">
        <f t="shared" ca="1" si="20"/>
        <v>1</v>
      </c>
    </row>
    <row r="33" spans="1:56" ht="15" customHeight="1" x14ac:dyDescent="0.3">
      <c r="A33" s="41">
        <v>26</v>
      </c>
      <c r="B33" s="42">
        <f t="shared" ca="1" si="0"/>
        <v>9.9487646961046616E-2</v>
      </c>
      <c r="C33" s="43">
        <f ca="1">IF(B33&lt;=Inputs!$C$40,Inputs!$D$40,IF(B33&lt;=Inputs!$C$41,Inputs!$D$41,Inputs!$D$42))</f>
        <v>0.9</v>
      </c>
      <c r="D33" s="42">
        <f t="shared" ca="1" si="23"/>
        <v>0.22340108478293508</v>
      </c>
      <c r="E33" s="42">
        <f t="shared" ca="1" si="23"/>
        <v>0.53026279116007091</v>
      </c>
      <c r="F33" s="42">
        <f t="shared" ca="1" si="23"/>
        <v>0.28770535390943863</v>
      </c>
      <c r="G33" s="42">
        <f t="shared" ca="1" si="23"/>
        <v>6.2853394105288563E-2</v>
      </c>
      <c r="H33" s="42">
        <f t="shared" ca="1" si="23"/>
        <v>0.36371729139456355</v>
      </c>
      <c r="I33" s="42">
        <f t="shared" ca="1" si="23"/>
        <v>8.2916064955315782E-2</v>
      </c>
      <c r="J33" s="43">
        <f ca="1">IF(I33&lt;Inputs!$B$54,1+Inputs!$B$55,1)</f>
        <v>1</v>
      </c>
      <c r="K33" s="42">
        <f t="shared" ca="1" si="24"/>
        <v>0.85410726623998334</v>
      </c>
      <c r="L33" s="42">
        <f t="shared" ca="1" si="24"/>
        <v>0.92529427891600602</v>
      </c>
      <c r="M33" s="42">
        <f t="shared" ca="1" si="24"/>
        <v>0.33458788605680401</v>
      </c>
      <c r="N33" s="42">
        <f t="shared" ca="1" si="24"/>
        <v>0.42325074570280607</v>
      </c>
      <c r="O33" s="42">
        <f t="shared" ca="1" si="24"/>
        <v>0.66753436065896921</v>
      </c>
      <c r="P33" s="42">
        <f t="shared" ca="1" si="24"/>
        <v>0.50561886370645881</v>
      </c>
      <c r="Q33" s="42">
        <f t="shared" ca="1" si="24"/>
        <v>0.56523381979927922</v>
      </c>
      <c r="R33" s="42">
        <f t="shared" ca="1" si="24"/>
        <v>0.71030573826881904</v>
      </c>
      <c r="S33" s="42">
        <f t="shared" ca="1" si="24"/>
        <v>0.99474157669222574</v>
      </c>
      <c r="T33" s="42">
        <f t="shared" ca="1" si="24"/>
        <v>0.70333029140103609</v>
      </c>
      <c r="U33" s="44">
        <f ca="1">(IF(D33&gt;=Inputs!$E$12,1,IF(K33&lt;=Inputs!$C$46,Inputs!$D$46,IF(K33&lt;=Inputs!$C$47,Inputs!$D$47,Inputs!$D$48))))*((Inputs!$B$28+(P33-0.5)*2*Inputs!$B$53)/Inputs!$B$28)</f>
        <v>1.0000568710901463</v>
      </c>
      <c r="V33" s="44">
        <f ca="1">(IF(E33&gt;=Inputs!$E$13,1,IF(L33&lt;=Inputs!$C$46,Inputs!$D$46,IF(L33&lt;=Inputs!$C$47,Inputs!$D$47,Inputs!$D$48))))*((Inputs!$B$29+(Q33-0.5)*2*Inputs!$B$53)/Inputs!$B$29)</f>
        <v>1.000657598989912</v>
      </c>
      <c r="W33" s="44">
        <f ca="1">(IF(F33&gt;=Inputs!$E$14,1,IF(M33&lt;=Inputs!$C$46,Inputs!$D$46,IF(M33&lt;=Inputs!$C$47,Inputs!$D$47,Inputs!$D$48))))*((Inputs!$B$30+(R33-0.5)*2*Inputs!$B$53)/Inputs!$B$30)</f>
        <v>1.0021136255102394</v>
      </c>
      <c r="X33" s="44">
        <f ca="1">(IF(G33&gt;=Inputs!$E$15,1,IF(N33&lt;=Inputs!$C$46,Inputs!$D$46,IF(N33&lt;=Inputs!$C$47,Inputs!$D$47,Inputs!$D$48))))*((Inputs!$B$31+(S33-0.5)*2*Inputs!$B$53)/Inputs!$B$31)</f>
        <v>0.30150682713713367</v>
      </c>
      <c r="Y33" s="44">
        <f ca="1">(IF(H33&gt;=Inputs!$E$16,1,IF(O33&lt;=Inputs!$C$46,Inputs!$D$46,IF(O33&lt;=Inputs!$C$47,Inputs!$D$47,Inputs!$D$48))))*((Inputs!$B$32+(T33-0.5)*2*Inputs!$B$53)/Inputs!$B$32)</f>
        <v>1.0020455763722438</v>
      </c>
      <c r="Z33" s="45">
        <f ca="1">ILP_B_Moderate!$C$9*U33+ILP_B_Moderate!$C$10*V33+ILP_B_Moderate!$C$11*W33+ILP_B_Moderate!$C$12*X33+ILP_B_Moderate!$C$13*Y33</f>
        <v>11716.399302473414</v>
      </c>
      <c r="AA33" s="45">
        <f ca="1">ILP_B_Moderate!$D$9*U33+ILP_B_Moderate!$D$10*V33+ILP_B_Moderate!$D$11*W33+ILP_B_Moderate!$D$12*X33+ILP_B_Moderate!$D$13*Y33</f>
        <v>13035.447401652942</v>
      </c>
      <c r="AB33" s="45">
        <f ca="1">ILP_B_Moderate!$E$9*U33+ILP_B_Moderate!$E$10*V33+ILP_B_Moderate!$E$11*W33+ILP_B_Moderate!$E$12*X33+ILP_B_Moderate!$E$13*Y33</f>
        <v>12009.122533680393</v>
      </c>
      <c r="AC33" s="45">
        <f ca="1">Inputs!$B$6*$C33</f>
        <v>16200</v>
      </c>
      <c r="AD33" s="45">
        <f ca="1">Inputs!$B$7*$C33</f>
        <v>13500</v>
      </c>
      <c r="AE33" s="45">
        <f ca="1">Inputs!$B$8*$C33</f>
        <v>10800</v>
      </c>
      <c r="AF33" s="45">
        <f t="shared" ca="1" si="3"/>
        <v>4483.6006975265864</v>
      </c>
      <c r="AG33" s="45">
        <f t="shared" ca="1" si="4"/>
        <v>464.55259834705794</v>
      </c>
      <c r="AH33" s="45">
        <f t="shared" ca="1" si="5"/>
        <v>0</v>
      </c>
      <c r="AI33" s="45">
        <f t="shared" ca="1" si="6"/>
        <v>4948.1532958736443</v>
      </c>
      <c r="AJ33" s="45">
        <f ca="1">U33*(Inputs!$B$12-ILP_B_Moderate!$F$9)+V33*(Inputs!$B$13-ILP_B_Moderate!$F$10)+W33*(Inputs!$B$14-ILP_B_Moderate!$F$11)+X33*(Inputs!$B$15-ILP_B_Moderate!$F$12)+Y33*(Inputs!$B$16-ILP_B_Moderate!$F$13)</f>
        <v>24925.389788356733</v>
      </c>
      <c r="AK33" s="45">
        <f t="shared" ca="1" si="7"/>
        <v>4948.1532958736443</v>
      </c>
      <c r="AL33" s="45">
        <f t="shared" ca="1" si="8"/>
        <v>0</v>
      </c>
      <c r="AM33" s="45">
        <f t="shared" ca="1" si="9"/>
        <v>0</v>
      </c>
      <c r="AN33" s="45">
        <f t="shared" ca="1" si="10"/>
        <v>0</v>
      </c>
      <c r="AO33" s="45">
        <f ca="1">MIN(AL33,Inputs!$B$36)</f>
        <v>0</v>
      </c>
      <c r="AP33" s="45">
        <f ca="1">MIN(AN33,Inputs!$B$36-AO33)</f>
        <v>0</v>
      </c>
      <c r="AQ33" s="45">
        <f ca="1">MIN(AM33,Inputs!$B$36-AO33-AP33)</f>
        <v>0</v>
      </c>
      <c r="AR33" s="45">
        <f t="shared" ca="1" si="11"/>
        <v>0</v>
      </c>
      <c r="AS33" s="45">
        <f t="shared" ca="1" si="12"/>
        <v>0</v>
      </c>
      <c r="AT33" s="45">
        <f t="shared" ca="1" si="13"/>
        <v>0</v>
      </c>
      <c r="AU33" s="45">
        <f t="shared" ca="1" si="14"/>
        <v>0</v>
      </c>
      <c r="AV33" s="46">
        <f ca="1">AU33*Inputs!$B$35</f>
        <v>0</v>
      </c>
      <c r="AW33" s="46">
        <f ca="1">AR33*Inputs!$C$6+AT33*Inputs!$C$7+AS33*Inputs!$C$8</f>
        <v>0</v>
      </c>
      <c r="AX33" s="46">
        <f t="shared" ca="1" si="15"/>
        <v>39030306.871598572</v>
      </c>
      <c r="AY33" s="46">
        <f ca="1">IF(J33&gt;1,($CD$4)*Inputs!$B$55*((Z33+AA33+AB33)/(SUM(ILP_B_Moderate!$C$9:$E$13))),0)</f>
        <v>0</v>
      </c>
      <c r="AZ33" s="46">
        <f t="shared" ca="1" si="16"/>
        <v>0</v>
      </c>
      <c r="BA33" s="41">
        <f t="shared" ca="1" si="17"/>
        <v>0</v>
      </c>
      <c r="BB33" s="41">
        <f t="shared" ca="1" si="18"/>
        <v>1</v>
      </c>
      <c r="BC33" s="41">
        <f t="shared" ca="1" si="19"/>
        <v>1</v>
      </c>
      <c r="BD33" s="41">
        <f t="shared" ca="1" si="20"/>
        <v>1</v>
      </c>
    </row>
    <row r="34" spans="1:56" ht="15" customHeight="1" x14ac:dyDescent="0.3">
      <c r="A34" s="41">
        <v>27</v>
      </c>
      <c r="B34" s="42">
        <f t="shared" ca="1" si="0"/>
        <v>0.93958884899780282</v>
      </c>
      <c r="C34" s="43">
        <f ca="1">IF(B34&lt;=Inputs!$C$40,Inputs!$D$40,IF(B34&lt;=Inputs!$C$41,Inputs!$D$41,Inputs!$D$42))</f>
        <v>1.1499999999999999</v>
      </c>
      <c r="D34" s="42">
        <f t="shared" ca="1" si="23"/>
        <v>0.59704697765745018</v>
      </c>
      <c r="E34" s="42">
        <f t="shared" ca="1" si="23"/>
        <v>0.66186351300625546</v>
      </c>
      <c r="F34" s="42">
        <f t="shared" ca="1" si="23"/>
        <v>0.8181326338632724</v>
      </c>
      <c r="G34" s="42">
        <f t="shared" ca="1" si="23"/>
        <v>0.70707842732808102</v>
      </c>
      <c r="H34" s="42">
        <f t="shared" ca="1" si="23"/>
        <v>0.80991173846680309</v>
      </c>
      <c r="I34" s="42">
        <f t="shared" ca="1" si="23"/>
        <v>8.2205856222643758E-2</v>
      </c>
      <c r="J34" s="43">
        <f ca="1">IF(I34&lt;Inputs!$B$54,1+Inputs!$B$55,1)</f>
        <v>1</v>
      </c>
      <c r="K34" s="42">
        <f t="shared" ca="1" si="24"/>
        <v>0.85425098113343512</v>
      </c>
      <c r="L34" s="42">
        <f t="shared" ca="1" si="24"/>
        <v>0.5231372273578665</v>
      </c>
      <c r="M34" s="42">
        <f t="shared" ca="1" si="24"/>
        <v>0.41419625835454799</v>
      </c>
      <c r="N34" s="42">
        <f t="shared" ca="1" si="24"/>
        <v>0.67067910475138581</v>
      </c>
      <c r="O34" s="42">
        <f t="shared" ca="1" si="24"/>
        <v>0.75983599601260288</v>
      </c>
      <c r="P34" s="42">
        <f t="shared" ca="1" si="24"/>
        <v>0.55306046815595133</v>
      </c>
      <c r="Q34" s="42">
        <f t="shared" ca="1" si="24"/>
        <v>3.6502903005098619E-2</v>
      </c>
      <c r="R34" s="42">
        <f t="shared" ca="1" si="24"/>
        <v>0.80268241771237747</v>
      </c>
      <c r="S34" s="42">
        <f t="shared" ca="1" si="24"/>
        <v>0.35190876284617567</v>
      </c>
      <c r="T34" s="42">
        <f t="shared" ca="1" si="24"/>
        <v>0.27558459751174746</v>
      </c>
      <c r="U34" s="44">
        <f ca="1">(IF(D34&gt;=Inputs!$E$12,1,IF(K34&lt;=Inputs!$C$46,Inputs!$D$46,IF(K34&lt;=Inputs!$C$47,Inputs!$D$47,Inputs!$D$48))))*((Inputs!$B$28+(P34-0.5)*2*Inputs!$B$53)/Inputs!$B$28)</f>
        <v>1.0005370492728336</v>
      </c>
      <c r="V34" s="44">
        <f ca="1">(IF(E34&gt;=Inputs!$E$13,1,IF(L34&lt;=Inputs!$C$46,Inputs!$D$46,IF(L34&lt;=Inputs!$C$47,Inputs!$D$47,Inputs!$D$48))))*((Inputs!$B$29+(Q34-0.5)*2*Inputs!$B$53)/Inputs!$B$29)</f>
        <v>0.99532765023190617</v>
      </c>
      <c r="W34" s="44">
        <f ca="1">(IF(F34&gt;=Inputs!$E$14,1,IF(M34&lt;=Inputs!$C$46,Inputs!$D$46,IF(M34&lt;=Inputs!$C$47,Inputs!$D$47,Inputs!$D$48))))*((Inputs!$B$30+(R34-0.5)*2*Inputs!$B$53)/Inputs!$B$30)</f>
        <v>1.0030420343488682</v>
      </c>
      <c r="X34" s="44">
        <f ca="1">(IF(G34&gt;=Inputs!$E$15,1,IF(N34&lt;=Inputs!$C$46,Inputs!$D$46,IF(N34&lt;=Inputs!$C$47,Inputs!$D$47,Inputs!$D$48))))*((Inputs!$B$31+(S34-0.5)*2*Inputs!$B$53)/Inputs!$B$31)</f>
        <v>0.9984965356634129</v>
      </c>
      <c r="Y34" s="44">
        <f ca="1">(IF(H34&gt;=Inputs!$E$16,1,IF(O34&lt;=Inputs!$C$46,Inputs!$D$46,IF(O34&lt;=Inputs!$C$47,Inputs!$D$47,Inputs!$D$48))))*((Inputs!$B$32+(T34-0.5)*2*Inputs!$B$53)/Inputs!$B$32)</f>
        <v>0.99774229977376006</v>
      </c>
      <c r="Z34" s="45">
        <f ca="1">ILP_B_Moderate!$C$9*U34+ILP_B_Moderate!$C$10*V34+ILP_B_Moderate!$C$11*W34+ILP_B_Moderate!$C$12*X34+ILP_B_Moderate!$C$13*Y34</f>
        <v>17971.131471339748</v>
      </c>
      <c r="AA34" s="45">
        <f ca="1">ILP_B_Moderate!$D$9*U34+ILP_B_Moderate!$D$10*V34+ILP_B_Moderate!$D$11*W34+ILP_B_Moderate!$D$12*X34+ILP_B_Moderate!$D$13*Y34</f>
        <v>14963.230997906983</v>
      </c>
      <c r="AB34" s="45">
        <f ca="1">ILP_B_Moderate!$E$9*U34+ILP_B_Moderate!$E$10*V34+ILP_B_Moderate!$E$11*W34+ILP_B_Moderate!$E$12*X34+ILP_B_Moderate!$E$13*Y34</f>
        <v>11983.600836032259</v>
      </c>
      <c r="AC34" s="45">
        <f ca="1">Inputs!$B$6*$C34</f>
        <v>20700</v>
      </c>
      <c r="AD34" s="45">
        <f ca="1">Inputs!$B$7*$C34</f>
        <v>17250</v>
      </c>
      <c r="AE34" s="45">
        <f ca="1">Inputs!$B$8*$C34</f>
        <v>13799.999999999998</v>
      </c>
      <c r="AF34" s="45">
        <f t="shared" ca="1" si="3"/>
        <v>2728.8685286602522</v>
      </c>
      <c r="AG34" s="45">
        <f t="shared" ca="1" si="4"/>
        <v>2286.7690020930168</v>
      </c>
      <c r="AH34" s="45">
        <f t="shared" ca="1" si="5"/>
        <v>1816.3991639677388</v>
      </c>
      <c r="AI34" s="45">
        <f t="shared" ca="1" si="6"/>
        <v>6832.0366947210077</v>
      </c>
      <c r="AJ34" s="45">
        <f ca="1">U34*(Inputs!$B$12-ILP_B_Moderate!$F$9)+V34*(Inputs!$B$13-ILP_B_Moderate!$F$10)+W34*(Inputs!$B$14-ILP_B_Moderate!$F$11)+X34*(Inputs!$B$15-ILP_B_Moderate!$F$12)+Y34*(Inputs!$B$16-ILP_B_Moderate!$F$13)</f>
        <v>25012.85595743568</v>
      </c>
      <c r="AK34" s="45">
        <f t="shared" ca="1" si="7"/>
        <v>6832.0366947210077</v>
      </c>
      <c r="AL34" s="45">
        <f t="shared" ca="1" si="8"/>
        <v>0</v>
      </c>
      <c r="AM34" s="45">
        <f t="shared" ca="1" si="9"/>
        <v>0</v>
      </c>
      <c r="AN34" s="45">
        <f t="shared" ca="1" si="10"/>
        <v>0</v>
      </c>
      <c r="AO34" s="45">
        <f ca="1">MIN(AL34,Inputs!$B$36)</f>
        <v>0</v>
      </c>
      <c r="AP34" s="45">
        <f ca="1">MIN(AN34,Inputs!$B$36-AO34)</f>
        <v>0</v>
      </c>
      <c r="AQ34" s="45">
        <f ca="1">MIN(AM34,Inputs!$B$36-AO34-AP34)</f>
        <v>0</v>
      </c>
      <c r="AR34" s="45">
        <f t="shared" ca="1" si="11"/>
        <v>0</v>
      </c>
      <c r="AS34" s="45">
        <f t="shared" ca="1" si="12"/>
        <v>0</v>
      </c>
      <c r="AT34" s="45">
        <f t="shared" ca="1" si="13"/>
        <v>0</v>
      </c>
      <c r="AU34" s="45">
        <f t="shared" ca="1" si="14"/>
        <v>0</v>
      </c>
      <c r="AV34" s="46">
        <f ca="1">AU34*Inputs!$B$35</f>
        <v>0</v>
      </c>
      <c r="AW34" s="46">
        <f ca="1">AR34*Inputs!$C$6+AT34*Inputs!$C$7+AS34*Inputs!$C$8</f>
        <v>0</v>
      </c>
      <c r="AX34" s="46">
        <f t="shared" ca="1" si="15"/>
        <v>47482239.426358417</v>
      </c>
      <c r="AY34" s="46">
        <f ca="1">IF(J34&gt;1,($CD$4)*Inputs!$B$55*((Z34+AA34+AB34)/(SUM(ILP_B_Moderate!$C$9:$E$13))),0)</f>
        <v>0</v>
      </c>
      <c r="AZ34" s="46">
        <f t="shared" ca="1" si="16"/>
        <v>0</v>
      </c>
      <c r="BA34" s="41">
        <f t="shared" ca="1" si="17"/>
        <v>0</v>
      </c>
      <c r="BB34" s="41">
        <f t="shared" ca="1" si="18"/>
        <v>1</v>
      </c>
      <c r="BC34" s="41">
        <f t="shared" ca="1" si="19"/>
        <v>1</v>
      </c>
      <c r="BD34" s="41">
        <f t="shared" ca="1" si="20"/>
        <v>1</v>
      </c>
    </row>
    <row r="35" spans="1:56" ht="15" customHeight="1" x14ac:dyDescent="0.3">
      <c r="A35" s="41">
        <v>28</v>
      </c>
      <c r="B35" s="42">
        <f t="shared" ca="1" si="0"/>
        <v>0.29940897299576463</v>
      </c>
      <c r="C35" s="43">
        <f ca="1">IF(B35&lt;=Inputs!$C$40,Inputs!$D$40,IF(B35&lt;=Inputs!$C$41,Inputs!$D$41,Inputs!$D$42))</f>
        <v>1</v>
      </c>
      <c r="D35" s="42">
        <f t="shared" ca="1" si="23"/>
        <v>0.21020327102386283</v>
      </c>
      <c r="E35" s="42">
        <f t="shared" ca="1" si="23"/>
        <v>0.28099602111480138</v>
      </c>
      <c r="F35" s="42">
        <f t="shared" ca="1" si="23"/>
        <v>0.6814600852689523</v>
      </c>
      <c r="G35" s="42">
        <f t="shared" ca="1" si="23"/>
        <v>0.82961945944293536</v>
      </c>
      <c r="H35" s="42">
        <f t="shared" ca="1" si="23"/>
        <v>0.22475827487425293</v>
      </c>
      <c r="I35" s="42">
        <f t="shared" ca="1" si="23"/>
        <v>0.27569872095200276</v>
      </c>
      <c r="J35" s="43">
        <f ca="1">IF(I35&lt;Inputs!$B$54,1+Inputs!$B$55,1)</f>
        <v>1</v>
      </c>
      <c r="K35" s="42">
        <f t="shared" ca="1" si="24"/>
        <v>0.39052053266835085</v>
      </c>
      <c r="L35" s="42">
        <f t="shared" ca="1" si="24"/>
        <v>0.47352815279261873</v>
      </c>
      <c r="M35" s="42">
        <f t="shared" ca="1" si="24"/>
        <v>0.69390217254084163</v>
      </c>
      <c r="N35" s="42">
        <f t="shared" ca="1" si="24"/>
        <v>0.82883246523206699</v>
      </c>
      <c r="O35" s="42">
        <f t="shared" ca="1" si="24"/>
        <v>0.23353033050847483</v>
      </c>
      <c r="P35" s="42">
        <f t="shared" ca="1" si="24"/>
        <v>0.77571014903932189</v>
      </c>
      <c r="Q35" s="42">
        <f t="shared" ca="1" si="24"/>
        <v>0.12921760692755691</v>
      </c>
      <c r="R35" s="42">
        <f t="shared" ca="1" si="24"/>
        <v>0.65911052333497566</v>
      </c>
      <c r="S35" s="42">
        <f t="shared" ca="1" si="24"/>
        <v>4.3335982410215523E-2</v>
      </c>
      <c r="T35" s="42">
        <f t="shared" ca="1" si="24"/>
        <v>0.41285125784785659</v>
      </c>
      <c r="U35" s="44">
        <f ca="1">(IF(D35&gt;=Inputs!$E$12,1,IF(K35&lt;=Inputs!$C$46,Inputs!$D$46,IF(K35&lt;=Inputs!$C$47,Inputs!$D$47,Inputs!$D$48))))*((Inputs!$B$28+(P35-0.5)*2*Inputs!$B$53)/Inputs!$B$28)</f>
        <v>1.0027905885530295</v>
      </c>
      <c r="V35" s="44">
        <f ca="1">(IF(E35&gt;=Inputs!$E$13,1,IF(L35&lt;=Inputs!$C$46,Inputs!$D$46,IF(L35&lt;=Inputs!$C$47,Inputs!$D$47,Inputs!$D$48))))*((Inputs!$B$29+(Q35-0.5)*2*Inputs!$B$53)/Inputs!$B$29)</f>
        <v>0.99626227426338265</v>
      </c>
      <c r="W35" s="44">
        <f ca="1">(IF(F35&gt;=Inputs!$E$14,1,IF(M35&lt;=Inputs!$C$46,Inputs!$D$46,IF(M35&lt;=Inputs!$C$47,Inputs!$D$47,Inputs!$D$48))))*((Inputs!$B$30+(R35-0.5)*2*Inputs!$B$53)/Inputs!$B$30)</f>
        <v>1.0015991007370348</v>
      </c>
      <c r="X35" s="44">
        <f ca="1">(IF(G35&gt;=Inputs!$E$15,1,IF(N35&lt;=Inputs!$C$46,Inputs!$D$46,IF(N35&lt;=Inputs!$C$47,Inputs!$D$47,Inputs!$D$48))))*((Inputs!$B$31+(S35-0.5)*2*Inputs!$B$53)/Inputs!$B$31)</f>
        <v>0.99536381708030675</v>
      </c>
      <c r="Y35" s="44">
        <f ca="1">(IF(H35&gt;=Inputs!$E$16,1,IF(O35&lt;=Inputs!$C$46,Inputs!$D$46,IF(O35&lt;=Inputs!$C$47,Inputs!$D$47,Inputs!$D$48))))*((Inputs!$B$32+(T35-0.5)*2*Inputs!$B$53)/Inputs!$B$32)</f>
        <v>0.99912325209102471</v>
      </c>
      <c r="Z35" s="45">
        <f ca="1">ILP_B_Moderate!$C$9*U35+ILP_B_Moderate!$C$10*V35+ILP_B_Moderate!$C$11*W35+ILP_B_Moderate!$C$12*X35+ILP_B_Moderate!$C$13*Y35</f>
        <v>17958.112017770516</v>
      </c>
      <c r="AA35" s="45">
        <f ca="1">ILP_B_Moderate!$D$9*U35+ILP_B_Moderate!$D$10*V35+ILP_B_Moderate!$D$11*W35+ILP_B_Moderate!$D$12*X35+ILP_B_Moderate!$D$13*Y35</f>
        <v>14971.952975570013</v>
      </c>
      <c r="AB35" s="45">
        <f ca="1">ILP_B_Moderate!$E$9*U35+ILP_B_Moderate!$E$10*V35+ILP_B_Moderate!$E$11*W35+ILP_B_Moderate!$E$12*X35+ILP_B_Moderate!$E$13*Y35</f>
        <v>12004.284823649978</v>
      </c>
      <c r="AC35" s="45">
        <f ca="1">Inputs!$B$6*$C35</f>
        <v>18000</v>
      </c>
      <c r="AD35" s="45">
        <f ca="1">Inputs!$B$7*$C35</f>
        <v>15000</v>
      </c>
      <c r="AE35" s="45">
        <f ca="1">Inputs!$B$8*$C35</f>
        <v>12000</v>
      </c>
      <c r="AF35" s="45">
        <f t="shared" ca="1" si="3"/>
        <v>41.887982229483896</v>
      </c>
      <c r="AG35" s="45">
        <f t="shared" ca="1" si="4"/>
        <v>28.047024429986777</v>
      </c>
      <c r="AH35" s="45">
        <f t="shared" ca="1" si="5"/>
        <v>0</v>
      </c>
      <c r="AI35" s="45">
        <f t="shared" ca="1" si="6"/>
        <v>69.935006659470673</v>
      </c>
      <c r="AJ35" s="45">
        <f ca="1">U35*(Inputs!$B$12-ILP_B_Moderate!$F$9)+V35*(Inputs!$B$13-ILP_B_Moderate!$F$10)+W35*(Inputs!$B$14-ILP_B_Moderate!$F$11)+X35*(Inputs!$B$15-ILP_B_Moderate!$F$12)+Y35*(Inputs!$B$16-ILP_B_Moderate!$F$13)</f>
        <v>25009.974335455827</v>
      </c>
      <c r="AK35" s="45">
        <f t="shared" ca="1" si="7"/>
        <v>69.935006659470673</v>
      </c>
      <c r="AL35" s="45">
        <f t="shared" ca="1" si="8"/>
        <v>0</v>
      </c>
      <c r="AM35" s="45">
        <f t="shared" ca="1" si="9"/>
        <v>0</v>
      </c>
      <c r="AN35" s="45">
        <f t="shared" ca="1" si="10"/>
        <v>0</v>
      </c>
      <c r="AO35" s="45">
        <f ca="1">MIN(AL35,Inputs!$B$36)</f>
        <v>0</v>
      </c>
      <c r="AP35" s="45">
        <f ca="1">MIN(AN35,Inputs!$B$36-AO35)</f>
        <v>0</v>
      </c>
      <c r="AQ35" s="45">
        <f ca="1">MIN(AM35,Inputs!$B$36-AO35-AP35)</f>
        <v>0</v>
      </c>
      <c r="AR35" s="45">
        <f t="shared" ca="1" si="11"/>
        <v>0</v>
      </c>
      <c r="AS35" s="45">
        <f t="shared" ca="1" si="12"/>
        <v>0</v>
      </c>
      <c r="AT35" s="45">
        <f t="shared" ca="1" si="13"/>
        <v>0</v>
      </c>
      <c r="AU35" s="45">
        <f t="shared" ca="1" si="14"/>
        <v>0</v>
      </c>
      <c r="AV35" s="46">
        <f ca="1">AU35*Inputs!$B$35</f>
        <v>0</v>
      </c>
      <c r="AW35" s="46">
        <f ca="1">AR35*Inputs!$C$6+AT35*Inputs!$C$7+AS35*Inputs!$C$8</f>
        <v>0</v>
      </c>
      <c r="AX35" s="46">
        <f t="shared" ca="1" si="15"/>
        <v>47500773.242445841</v>
      </c>
      <c r="AY35" s="46">
        <f ca="1">IF(J35&gt;1,($CD$4)*Inputs!$B$55*((Z35+AA35+AB35)/(SUM(ILP_B_Moderate!$C$9:$E$13))),0)</f>
        <v>0</v>
      </c>
      <c r="AZ35" s="46">
        <f t="shared" ca="1" si="16"/>
        <v>0</v>
      </c>
      <c r="BA35" s="41">
        <f t="shared" ca="1" si="17"/>
        <v>0</v>
      </c>
      <c r="BB35" s="41">
        <f t="shared" ca="1" si="18"/>
        <v>1</v>
      </c>
      <c r="BC35" s="41">
        <f t="shared" ca="1" si="19"/>
        <v>1</v>
      </c>
      <c r="BD35" s="41">
        <f t="shared" ca="1" si="20"/>
        <v>1</v>
      </c>
    </row>
    <row r="36" spans="1:56" ht="15" customHeight="1" x14ac:dyDescent="0.3">
      <c r="A36" s="41">
        <v>29</v>
      </c>
      <c r="B36" s="42">
        <f t="shared" ca="1" si="0"/>
        <v>0.47650404989917716</v>
      </c>
      <c r="C36" s="43">
        <f ca="1">IF(B36&lt;=Inputs!$C$40,Inputs!$D$40,IF(B36&lt;=Inputs!$C$41,Inputs!$D$41,Inputs!$D$42))</f>
        <v>1</v>
      </c>
      <c r="D36" s="42">
        <f t="shared" ca="1" si="23"/>
        <v>0.36921563188353124</v>
      </c>
      <c r="E36" s="42">
        <f t="shared" ca="1" si="23"/>
        <v>0.57447780866638976</v>
      </c>
      <c r="F36" s="42">
        <f t="shared" ca="1" si="23"/>
        <v>0.48389965956947523</v>
      </c>
      <c r="G36" s="42">
        <f t="shared" ca="1" si="23"/>
        <v>0.56891926696138728</v>
      </c>
      <c r="H36" s="42">
        <f t="shared" ca="1" si="23"/>
        <v>3.7027334416757762E-2</v>
      </c>
      <c r="I36" s="42">
        <f t="shared" ca="1" si="23"/>
        <v>0.93186893128474346</v>
      </c>
      <c r="J36" s="43">
        <f ca="1">IF(I36&lt;Inputs!$B$54,1+Inputs!$B$55,1)</f>
        <v>1</v>
      </c>
      <c r="K36" s="42">
        <f t="shared" ca="1" si="24"/>
        <v>0.13085335308461143</v>
      </c>
      <c r="L36" s="42">
        <f t="shared" ca="1" si="24"/>
        <v>3.3351259636501984E-2</v>
      </c>
      <c r="M36" s="42">
        <f t="shared" ca="1" si="24"/>
        <v>0.2998715509985892</v>
      </c>
      <c r="N36" s="42">
        <f t="shared" ca="1" si="24"/>
        <v>8.6986227928516291E-2</v>
      </c>
      <c r="O36" s="42">
        <f t="shared" ca="1" si="24"/>
        <v>0.37336834379377737</v>
      </c>
      <c r="P36" s="42">
        <f t="shared" ca="1" si="24"/>
        <v>0.68910368881426609</v>
      </c>
      <c r="Q36" s="42">
        <f t="shared" ca="1" si="24"/>
        <v>0.40774378376438303</v>
      </c>
      <c r="R36" s="42">
        <f t="shared" ca="1" si="24"/>
        <v>0.38302611318760171</v>
      </c>
      <c r="S36" s="42">
        <f t="shared" ca="1" si="24"/>
        <v>0.31830178312168078</v>
      </c>
      <c r="T36" s="42">
        <f t="shared" ca="1" si="24"/>
        <v>0.87721804364221212</v>
      </c>
      <c r="U36" s="44">
        <f ca="1">(IF(D36&gt;=Inputs!$E$12,1,IF(K36&lt;=Inputs!$C$46,Inputs!$D$46,IF(K36&lt;=Inputs!$C$47,Inputs!$D$47,Inputs!$D$48))))*((Inputs!$B$28+(P36-0.5)*2*Inputs!$B$53)/Inputs!$B$28)</f>
        <v>1.0019140049475128</v>
      </c>
      <c r="V36" s="44">
        <f ca="1">(IF(E36&gt;=Inputs!$E$13,1,IF(L36&lt;=Inputs!$C$46,Inputs!$D$46,IF(L36&lt;=Inputs!$C$47,Inputs!$D$47,Inputs!$D$48))))*((Inputs!$B$29+(Q36-0.5)*2*Inputs!$B$53)/Inputs!$B$29)</f>
        <v>0.99906999782020545</v>
      </c>
      <c r="W36" s="44">
        <f ca="1">(IF(F36&gt;=Inputs!$E$14,1,IF(M36&lt;=Inputs!$C$46,Inputs!$D$46,IF(M36&lt;=Inputs!$C$47,Inputs!$D$47,Inputs!$D$48))))*((Inputs!$B$30+(R36-0.5)*2*Inputs!$B$53)/Inputs!$B$30)</f>
        <v>0.99882438304711152</v>
      </c>
      <c r="X36" s="44">
        <f ca="1">(IF(G36&gt;=Inputs!$E$15,1,IF(N36&lt;=Inputs!$C$46,Inputs!$D$46,IF(N36&lt;=Inputs!$C$47,Inputs!$D$47,Inputs!$D$48))))*((Inputs!$B$31+(S36-0.5)*2*Inputs!$B$53)/Inputs!$B$31)</f>
        <v>0.99815534805199668</v>
      </c>
      <c r="Y36" s="44">
        <f ca="1">(IF(H36&gt;=Inputs!$E$16,1,IF(O36&lt;=Inputs!$C$46,Inputs!$D$46,IF(O36&lt;=Inputs!$C$47,Inputs!$D$47,Inputs!$D$48))))*((Inputs!$B$32+(T36-0.5)*2*Inputs!$B$53)/Inputs!$B$32)</f>
        <v>1.0037949501372456</v>
      </c>
      <c r="Z36" s="45">
        <f ca="1">ILP_B_Moderate!$C$9*U36+ILP_B_Moderate!$C$10*V36+ILP_B_Moderate!$C$11*W36+ILP_B_Moderate!$C$12*X36+ILP_B_Moderate!$C$13*Y36</f>
        <v>17989.61218139865</v>
      </c>
      <c r="AA36" s="45">
        <f ca="1">ILP_B_Moderate!$D$9*U36+ILP_B_Moderate!$D$10*V36+ILP_B_Moderate!$D$11*W36+ILP_B_Moderate!$D$12*X36+ILP_B_Moderate!$D$13*Y36</f>
        <v>14996.780608312531</v>
      </c>
      <c r="AB36" s="45">
        <f ca="1">ILP_B_Moderate!$E$9*U36+ILP_B_Moderate!$E$10*V36+ILP_B_Moderate!$E$11*W36+ILP_B_Moderate!$E$12*X36+ILP_B_Moderate!$E$13*Y36</f>
        <v>12022.365750478879</v>
      </c>
      <c r="AC36" s="45">
        <f ca="1">Inputs!$B$6*$C36</f>
        <v>18000</v>
      </c>
      <c r="AD36" s="45">
        <f ca="1">Inputs!$B$7*$C36</f>
        <v>15000</v>
      </c>
      <c r="AE36" s="45">
        <f ca="1">Inputs!$B$8*$C36</f>
        <v>12000</v>
      </c>
      <c r="AF36" s="45">
        <f t="shared" ca="1" si="3"/>
        <v>10.387818601349863</v>
      </c>
      <c r="AG36" s="45">
        <f t="shared" ca="1" si="4"/>
        <v>3.2193916874693969</v>
      </c>
      <c r="AH36" s="45">
        <f t="shared" ca="1" si="5"/>
        <v>0</v>
      </c>
      <c r="AI36" s="45">
        <f t="shared" ca="1" si="6"/>
        <v>13.60721028881926</v>
      </c>
      <c r="AJ36" s="45">
        <f ca="1">U36*(Inputs!$B$12-ILP_B_Moderate!$F$9)+V36*(Inputs!$B$13-ILP_B_Moderate!$F$10)+W36*(Inputs!$B$14-ILP_B_Moderate!$F$11)+X36*(Inputs!$B$15-ILP_B_Moderate!$F$12)+Y36*(Inputs!$B$16-ILP_B_Moderate!$F$13)</f>
        <v>25028.350916748113</v>
      </c>
      <c r="AK36" s="45">
        <f t="shared" ca="1" si="7"/>
        <v>13.60721028881926</v>
      </c>
      <c r="AL36" s="45">
        <f t="shared" ca="1" si="8"/>
        <v>0</v>
      </c>
      <c r="AM36" s="45">
        <f t="shared" ca="1" si="9"/>
        <v>0</v>
      </c>
      <c r="AN36" s="45">
        <f t="shared" ca="1" si="10"/>
        <v>0</v>
      </c>
      <c r="AO36" s="45">
        <f ca="1">MIN(AL36,Inputs!$B$36)</f>
        <v>0</v>
      </c>
      <c r="AP36" s="45">
        <f ca="1">MIN(AN36,Inputs!$B$36-AO36)</f>
        <v>0</v>
      </c>
      <c r="AQ36" s="45">
        <f ca="1">MIN(AM36,Inputs!$B$36-AO36-AP36)</f>
        <v>0</v>
      </c>
      <c r="AR36" s="45">
        <f t="shared" ca="1" si="11"/>
        <v>0</v>
      </c>
      <c r="AS36" s="45">
        <f t="shared" ca="1" si="12"/>
        <v>0</v>
      </c>
      <c r="AT36" s="45">
        <f t="shared" ca="1" si="13"/>
        <v>0</v>
      </c>
      <c r="AU36" s="45">
        <f t="shared" ca="1" si="14"/>
        <v>0</v>
      </c>
      <c r="AV36" s="46">
        <f ca="1">AU36*Inputs!$B$35</f>
        <v>0</v>
      </c>
      <c r="AW36" s="46">
        <f ca="1">AR36*Inputs!$C$6+AT36*Inputs!$C$7+AS36*Inputs!$C$8</f>
        <v>0</v>
      </c>
      <c r="AX36" s="46">
        <f t="shared" ca="1" si="15"/>
        <v>47579306.378397733</v>
      </c>
      <c r="AY36" s="46">
        <f ca="1">IF(J36&gt;1,($CD$4)*Inputs!$B$55*((Z36+AA36+AB36)/(SUM(ILP_B_Moderate!$C$9:$E$13))),0)</f>
        <v>0</v>
      </c>
      <c r="AZ36" s="46">
        <f t="shared" ca="1" si="16"/>
        <v>0</v>
      </c>
      <c r="BA36" s="41">
        <f t="shared" ca="1" si="17"/>
        <v>0</v>
      </c>
      <c r="BB36" s="41">
        <f t="shared" ca="1" si="18"/>
        <v>1</v>
      </c>
      <c r="BC36" s="41">
        <f t="shared" ca="1" si="19"/>
        <v>1</v>
      </c>
      <c r="BD36" s="41">
        <f t="shared" ca="1" si="20"/>
        <v>1</v>
      </c>
    </row>
    <row r="37" spans="1:56" ht="15" customHeight="1" x14ac:dyDescent="0.3">
      <c r="A37" s="41">
        <v>30</v>
      </c>
      <c r="B37" s="42">
        <f t="shared" ca="1" si="0"/>
        <v>0.70964862394601624</v>
      </c>
      <c r="C37" s="43">
        <f ca="1">IF(B37&lt;=Inputs!$C$40,Inputs!$D$40,IF(B37&lt;=Inputs!$C$41,Inputs!$D$41,Inputs!$D$42))</f>
        <v>1</v>
      </c>
      <c r="D37" s="42">
        <f t="shared" ca="1" si="23"/>
        <v>0.32775374942296942</v>
      </c>
      <c r="E37" s="42">
        <f t="shared" ca="1" si="23"/>
        <v>0.5544261031074571</v>
      </c>
      <c r="F37" s="42">
        <f t="shared" ca="1" si="23"/>
        <v>0.58592967858026423</v>
      </c>
      <c r="G37" s="42">
        <f t="shared" ca="1" si="23"/>
        <v>0.39489063156778426</v>
      </c>
      <c r="H37" s="42">
        <f t="shared" ca="1" si="23"/>
        <v>0.2173084773142534</v>
      </c>
      <c r="I37" s="42">
        <f t="shared" ca="1" si="23"/>
        <v>0.84142132502651779</v>
      </c>
      <c r="J37" s="43">
        <f ca="1">IF(I37&lt;Inputs!$B$54,1+Inputs!$B$55,1)</f>
        <v>1</v>
      </c>
      <c r="K37" s="42">
        <f t="shared" ca="1" si="24"/>
        <v>0.88657656600447188</v>
      </c>
      <c r="L37" s="42">
        <f t="shared" ca="1" si="24"/>
        <v>0.24634079201065928</v>
      </c>
      <c r="M37" s="42">
        <f t="shared" ca="1" si="24"/>
        <v>3.3347169423424972E-2</v>
      </c>
      <c r="N37" s="42">
        <f t="shared" ca="1" si="24"/>
        <v>0.15592738973424591</v>
      </c>
      <c r="O37" s="42">
        <f t="shared" ca="1" si="24"/>
        <v>0.58584867770347027</v>
      </c>
      <c r="P37" s="42">
        <f t="shared" ca="1" si="24"/>
        <v>3.2959774346139059E-2</v>
      </c>
      <c r="Q37" s="42">
        <f t="shared" ca="1" si="24"/>
        <v>0.42620433692053472</v>
      </c>
      <c r="R37" s="42">
        <f t="shared" ca="1" si="24"/>
        <v>0.44655001002638972</v>
      </c>
      <c r="S37" s="42">
        <f t="shared" ca="1" si="24"/>
        <v>0.71894721111770976</v>
      </c>
      <c r="T37" s="42">
        <f t="shared" ca="1" si="24"/>
        <v>0.41783834424006139</v>
      </c>
      <c r="U37" s="44">
        <f ca="1">(IF(D37&gt;=Inputs!$E$12,1,IF(K37&lt;=Inputs!$C$46,Inputs!$D$46,IF(K37&lt;=Inputs!$C$47,Inputs!$D$47,Inputs!$D$48))))*((Inputs!$B$28+(P37-0.5)*2*Inputs!$B$53)/Inputs!$B$28)</f>
        <v>0.99527287220998117</v>
      </c>
      <c r="V37" s="44">
        <f ca="1">(IF(E37&gt;=Inputs!$E$13,1,IF(L37&lt;=Inputs!$C$46,Inputs!$D$46,IF(L37&lt;=Inputs!$C$47,Inputs!$D$47,Inputs!$D$48))))*((Inputs!$B$29+(Q37-0.5)*2*Inputs!$B$53)/Inputs!$B$29)</f>
        <v>0.99925609210605371</v>
      </c>
      <c r="W37" s="44">
        <f ca="1">(IF(F37&gt;=Inputs!$E$14,1,IF(M37&lt;=Inputs!$C$46,Inputs!$D$46,IF(M37&lt;=Inputs!$C$47,Inputs!$D$47,Inputs!$D$48))))*((Inputs!$B$30+(R37-0.5)*2*Inputs!$B$53)/Inputs!$B$30)</f>
        <v>0.99946281417111948</v>
      </c>
      <c r="X37" s="44">
        <f ca="1">(IF(G37&gt;=Inputs!$E$15,1,IF(N37&lt;=Inputs!$C$46,Inputs!$D$46,IF(N37&lt;=Inputs!$C$47,Inputs!$D$47,Inputs!$D$48))))*((Inputs!$B$31+(S37-0.5)*2*Inputs!$B$53)/Inputs!$B$31)</f>
        <v>1.0022228143260681</v>
      </c>
      <c r="Y37" s="44">
        <f ca="1">(IF(H37&gt;=Inputs!$E$16,1,IF(O37&lt;=Inputs!$C$46,Inputs!$D$46,IF(O37&lt;=Inputs!$C$47,Inputs!$D$47,Inputs!$D$48))))*((Inputs!$B$32+(T37-0.5)*2*Inputs!$B$53)/Inputs!$B$32)</f>
        <v>0.99917342398631848</v>
      </c>
      <c r="Z37" s="45">
        <f ca="1">ILP_B_Moderate!$C$9*U37+ILP_B_Moderate!$C$10*V37+ILP_B_Moderate!$C$11*W37+ILP_B_Moderate!$C$12*X37+ILP_B_Moderate!$C$13*Y37</f>
        <v>17992.884206262035</v>
      </c>
      <c r="AA37" s="45">
        <f ca="1">ILP_B_Moderate!$D$9*U37+ILP_B_Moderate!$D$10*V37+ILP_B_Moderate!$D$11*W37+ILP_B_Moderate!$D$12*X37+ILP_B_Moderate!$D$13*Y37</f>
        <v>14978.566069137629</v>
      </c>
      <c r="AB37" s="45">
        <f ca="1">ILP_B_Moderate!$E$9*U37+ILP_B_Moderate!$E$10*V37+ILP_B_Moderate!$E$11*W37+ILP_B_Moderate!$E$12*X37+ILP_B_Moderate!$E$13*Y37</f>
        <v>11966.885770167051</v>
      </c>
      <c r="AC37" s="45">
        <f ca="1">Inputs!$B$6*$C37</f>
        <v>18000</v>
      </c>
      <c r="AD37" s="45">
        <f ca="1">Inputs!$B$7*$C37</f>
        <v>15000</v>
      </c>
      <c r="AE37" s="45">
        <f ca="1">Inputs!$B$8*$C37</f>
        <v>12000</v>
      </c>
      <c r="AF37" s="45">
        <f t="shared" ca="1" si="3"/>
        <v>7.1157937379648502</v>
      </c>
      <c r="AG37" s="45">
        <f t="shared" ca="1" si="4"/>
        <v>21.433930862371199</v>
      </c>
      <c r="AH37" s="45">
        <f t="shared" ca="1" si="5"/>
        <v>33.114229832948695</v>
      </c>
      <c r="AI37" s="45">
        <f t="shared" ca="1" si="6"/>
        <v>61.663954433284744</v>
      </c>
      <c r="AJ37" s="45">
        <f ca="1">U37*(Inputs!$B$12-ILP_B_Moderate!$F$9)+V37*(Inputs!$B$13-ILP_B_Moderate!$F$10)+W37*(Inputs!$B$14-ILP_B_Moderate!$F$11)+X37*(Inputs!$B$15-ILP_B_Moderate!$F$12)+Y37*(Inputs!$B$16-ILP_B_Moderate!$F$13)</f>
        <v>24982.906915209882</v>
      </c>
      <c r="AK37" s="45">
        <f t="shared" ca="1" si="7"/>
        <v>61.663954433284744</v>
      </c>
      <c r="AL37" s="45">
        <f t="shared" ca="1" si="8"/>
        <v>0</v>
      </c>
      <c r="AM37" s="45">
        <f t="shared" ca="1" si="9"/>
        <v>0</v>
      </c>
      <c r="AN37" s="45">
        <f t="shared" ca="1" si="10"/>
        <v>0</v>
      </c>
      <c r="AO37" s="45">
        <f ca="1">MIN(AL37,Inputs!$B$36)</f>
        <v>0</v>
      </c>
      <c r="AP37" s="45">
        <f ca="1">MIN(AN37,Inputs!$B$36-AO37)</f>
        <v>0</v>
      </c>
      <c r="AQ37" s="45">
        <f ca="1">MIN(AM37,Inputs!$B$36-AO37-AP37)</f>
        <v>0</v>
      </c>
      <c r="AR37" s="45">
        <f t="shared" ca="1" si="11"/>
        <v>0</v>
      </c>
      <c r="AS37" s="45">
        <f t="shared" ca="1" si="12"/>
        <v>0</v>
      </c>
      <c r="AT37" s="45">
        <f t="shared" ca="1" si="13"/>
        <v>0</v>
      </c>
      <c r="AU37" s="45">
        <f t="shared" ca="1" si="14"/>
        <v>0</v>
      </c>
      <c r="AV37" s="46">
        <f ca="1">AU37*Inputs!$B$35</f>
        <v>0</v>
      </c>
      <c r="AW37" s="46">
        <f ca="1">AR37*Inputs!$C$6+AT37*Inputs!$C$7+AS37*Inputs!$C$8</f>
        <v>0</v>
      </c>
      <c r="AX37" s="46">
        <f t="shared" ca="1" si="15"/>
        <v>47502396.036517553</v>
      </c>
      <c r="AY37" s="46">
        <f ca="1">IF(J37&gt;1,($CD$4)*Inputs!$B$55*((Z37+AA37+AB37)/(SUM(ILP_B_Moderate!$C$9:$E$13))),0)</f>
        <v>0</v>
      </c>
      <c r="AZ37" s="46">
        <f t="shared" ca="1" si="16"/>
        <v>0</v>
      </c>
      <c r="BA37" s="41">
        <f t="shared" ca="1" si="17"/>
        <v>0</v>
      </c>
      <c r="BB37" s="41">
        <f t="shared" ca="1" si="18"/>
        <v>1</v>
      </c>
      <c r="BC37" s="41">
        <f t="shared" ca="1" si="19"/>
        <v>1</v>
      </c>
      <c r="BD37" s="41">
        <f t="shared" ca="1" si="20"/>
        <v>1</v>
      </c>
    </row>
    <row r="38" spans="1:56" ht="15" customHeight="1" x14ac:dyDescent="0.3">
      <c r="A38" s="41">
        <v>31</v>
      </c>
      <c r="B38" s="42">
        <f t="shared" ca="1" si="0"/>
        <v>0.17246387397072382</v>
      </c>
      <c r="C38" s="43">
        <f ca="1">IF(B38&lt;=Inputs!$C$40,Inputs!$D$40,IF(B38&lt;=Inputs!$C$41,Inputs!$D$41,Inputs!$D$42))</f>
        <v>0.9</v>
      </c>
      <c r="D38" s="42">
        <f t="shared" ref="D38:I47" ca="1" si="25">RAND()</f>
        <v>9.9276333762198909E-2</v>
      </c>
      <c r="E38" s="42">
        <f t="shared" ca="1" si="25"/>
        <v>4.6437186994094048E-2</v>
      </c>
      <c r="F38" s="42">
        <f t="shared" ca="1" si="25"/>
        <v>0.47172406043761295</v>
      </c>
      <c r="G38" s="42">
        <f t="shared" ca="1" si="25"/>
        <v>0.83973413131919872</v>
      </c>
      <c r="H38" s="42">
        <f t="shared" ca="1" si="25"/>
        <v>0.99918874391918178</v>
      </c>
      <c r="I38" s="42">
        <f t="shared" ca="1" si="25"/>
        <v>0.25737885135630767</v>
      </c>
      <c r="J38" s="43">
        <f ca="1">IF(I38&lt;Inputs!$B$54,1+Inputs!$B$55,1)</f>
        <v>1</v>
      </c>
      <c r="K38" s="42">
        <f t="shared" ref="K38:T47" ca="1" si="26">RAND()</f>
        <v>0.57915485845883219</v>
      </c>
      <c r="L38" s="42">
        <f t="shared" ca="1" si="26"/>
        <v>0.77857529039372964</v>
      </c>
      <c r="M38" s="42">
        <f t="shared" ca="1" si="26"/>
        <v>0.86798060124689602</v>
      </c>
      <c r="N38" s="42">
        <f t="shared" ca="1" si="26"/>
        <v>0.24882339622815297</v>
      </c>
      <c r="O38" s="42">
        <f t="shared" ca="1" si="26"/>
        <v>0.85794936226723284</v>
      </c>
      <c r="P38" s="42">
        <f t="shared" ca="1" si="26"/>
        <v>0.23678512345100977</v>
      </c>
      <c r="Q38" s="42">
        <f t="shared" ca="1" si="26"/>
        <v>0.29908405306199182</v>
      </c>
      <c r="R38" s="42">
        <f t="shared" ca="1" si="26"/>
        <v>5.7276994226409528E-3</v>
      </c>
      <c r="S38" s="42">
        <f t="shared" ca="1" si="26"/>
        <v>0.8408574111803101</v>
      </c>
      <c r="T38" s="42">
        <f t="shared" ca="1" si="26"/>
        <v>0.59526983218609208</v>
      </c>
      <c r="U38" s="44">
        <f ca="1">(IF(D38&gt;=Inputs!$E$12,1,IF(K38&lt;=Inputs!$C$46,Inputs!$D$46,IF(K38&lt;=Inputs!$C$47,Inputs!$D$47,Inputs!$D$48))))*((Inputs!$B$28+(P38-0.5)*2*Inputs!$B$53)/Inputs!$B$28)</f>
        <v>0.99733588181630572</v>
      </c>
      <c r="V38" s="44">
        <f ca="1">(IF(E38&gt;=Inputs!$E$13,1,IF(L38&lt;=Inputs!$C$46,Inputs!$D$46,IF(L38&lt;=Inputs!$C$47,Inputs!$D$47,Inputs!$D$48))))*((Inputs!$B$29+(Q38-0.5)*2*Inputs!$B$53)/Inputs!$B$29)</f>
        <v>0.29939239128950196</v>
      </c>
      <c r="W38" s="44">
        <f ca="1">(IF(F38&gt;=Inputs!$E$14,1,IF(M38&lt;=Inputs!$C$46,Inputs!$D$46,IF(M38&lt;=Inputs!$C$47,Inputs!$D$47,Inputs!$D$48))))*((Inputs!$B$30+(R38-0.5)*2*Inputs!$B$53)/Inputs!$B$30)</f>
        <v>0.99503243919017725</v>
      </c>
      <c r="X38" s="44">
        <f ca="1">(IF(G38&gt;=Inputs!$E$15,1,IF(N38&lt;=Inputs!$C$46,Inputs!$D$46,IF(N38&lt;=Inputs!$C$47,Inputs!$D$47,Inputs!$D$48))))*((Inputs!$B$31+(S38-0.5)*2*Inputs!$B$53)/Inputs!$B$31)</f>
        <v>1.0034604813317798</v>
      </c>
      <c r="Y38" s="44">
        <f ca="1">(IF(H38&gt;=Inputs!$E$16,1,IF(O38&lt;=Inputs!$C$46,Inputs!$D$46,IF(O38&lt;=Inputs!$C$47,Inputs!$D$47,Inputs!$D$48))))*((Inputs!$B$32+(T38-0.5)*2*Inputs!$B$53)/Inputs!$B$32)</f>
        <v>1.0009584490159567</v>
      </c>
      <c r="Z38" s="45">
        <f ca="1">ILP_B_Moderate!$C$9*U38+ILP_B_Moderate!$C$10*V38+ILP_B_Moderate!$C$11*W38+ILP_B_Moderate!$C$12*X38+ILP_B_Moderate!$C$13*Y38</f>
        <v>15304.730073012985</v>
      </c>
      <c r="AA38" s="45">
        <f ca="1">ILP_B_Moderate!$D$9*U38+ILP_B_Moderate!$D$10*V38+ILP_B_Moderate!$D$11*W38+ILP_B_Moderate!$D$12*X38+ILP_B_Moderate!$D$13*Y38</f>
        <v>9742.7334189271951</v>
      </c>
      <c r="AB38" s="45">
        <f ca="1">ILP_B_Moderate!$E$9*U38+ILP_B_Moderate!$E$10*V38+ILP_B_Moderate!$E$11*W38+ILP_B_Moderate!$E$12*X38+ILP_B_Moderate!$E$13*Y38</f>
        <v>10224.625783753814</v>
      </c>
      <c r="AC38" s="45">
        <f ca="1">Inputs!$B$6*$C38</f>
        <v>16200</v>
      </c>
      <c r="AD38" s="45">
        <f ca="1">Inputs!$B$7*$C38</f>
        <v>13500</v>
      </c>
      <c r="AE38" s="45">
        <f ca="1">Inputs!$B$8*$C38</f>
        <v>10800</v>
      </c>
      <c r="AF38" s="45">
        <f t="shared" ca="1" si="3"/>
        <v>895.26992698701542</v>
      </c>
      <c r="AG38" s="45">
        <f t="shared" ca="1" si="4"/>
        <v>3757.2665810728049</v>
      </c>
      <c r="AH38" s="45">
        <f t="shared" ca="1" si="5"/>
        <v>575.37421624618582</v>
      </c>
      <c r="AI38" s="45">
        <f t="shared" ca="1" si="6"/>
        <v>5227.9107243060062</v>
      </c>
      <c r="AJ38" s="45">
        <f ca="1">U38*(Inputs!$B$12-ILP_B_Moderate!$F$9)+V38*(Inputs!$B$13-ILP_B_Moderate!$F$10)+W38*(Inputs!$B$14-ILP_B_Moderate!$F$11)+X38*(Inputs!$B$15-ILP_B_Moderate!$F$12)+Y38*(Inputs!$B$16-ILP_B_Moderate!$F$13)</f>
        <v>24868.102532112935</v>
      </c>
      <c r="AK38" s="45">
        <f t="shared" ca="1" si="7"/>
        <v>5227.9107243060062</v>
      </c>
      <c r="AL38" s="45">
        <f t="shared" ca="1" si="8"/>
        <v>0</v>
      </c>
      <c r="AM38" s="45">
        <f t="shared" ca="1" si="9"/>
        <v>0</v>
      </c>
      <c r="AN38" s="45">
        <f t="shared" ca="1" si="10"/>
        <v>0</v>
      </c>
      <c r="AO38" s="45">
        <f ca="1">MIN(AL38,Inputs!$B$36)</f>
        <v>0</v>
      </c>
      <c r="AP38" s="45">
        <f ca="1">MIN(AN38,Inputs!$B$36-AO38)</f>
        <v>0</v>
      </c>
      <c r="AQ38" s="45">
        <f ca="1">MIN(AM38,Inputs!$B$36-AO38-AP38)</f>
        <v>0</v>
      </c>
      <c r="AR38" s="45">
        <f t="shared" ca="1" si="11"/>
        <v>0</v>
      </c>
      <c r="AS38" s="45">
        <f t="shared" ca="1" si="12"/>
        <v>0</v>
      </c>
      <c r="AT38" s="45">
        <f t="shared" ca="1" si="13"/>
        <v>0</v>
      </c>
      <c r="AU38" s="45">
        <f t="shared" ca="1" si="14"/>
        <v>0</v>
      </c>
      <c r="AV38" s="46">
        <f ca="1">AU38*Inputs!$B$35</f>
        <v>0</v>
      </c>
      <c r="AW38" s="46">
        <f ca="1">AR38*Inputs!$C$6+AT38*Inputs!$C$7+AS38*Inputs!$C$8</f>
        <v>0</v>
      </c>
      <c r="AX38" s="46">
        <f t="shared" ca="1" si="15"/>
        <v>37301669.796084888</v>
      </c>
      <c r="AY38" s="46">
        <f ca="1">IF(J38&gt;1,($CD$4)*Inputs!$B$55*((Z38+AA38+AB38)/(SUM(ILP_B_Moderate!$C$9:$E$13))),0)</f>
        <v>0</v>
      </c>
      <c r="AZ38" s="46">
        <f t="shared" ca="1" si="16"/>
        <v>0</v>
      </c>
      <c r="BA38" s="41">
        <f t="shared" ca="1" si="17"/>
        <v>0</v>
      </c>
      <c r="BB38" s="41">
        <f t="shared" ca="1" si="18"/>
        <v>1</v>
      </c>
      <c r="BC38" s="41">
        <f t="shared" ca="1" si="19"/>
        <v>1</v>
      </c>
      <c r="BD38" s="41">
        <f t="shared" ca="1" si="20"/>
        <v>1</v>
      </c>
    </row>
    <row r="39" spans="1:56" ht="15" customHeight="1" x14ac:dyDescent="0.3">
      <c r="A39" s="41">
        <v>32</v>
      </c>
      <c r="B39" s="42">
        <f t="shared" ca="1" si="0"/>
        <v>0.35295371522987962</v>
      </c>
      <c r="C39" s="43">
        <f ca="1">IF(B39&lt;=Inputs!$C$40,Inputs!$D$40,IF(B39&lt;=Inputs!$C$41,Inputs!$D$41,Inputs!$D$42))</f>
        <v>1</v>
      </c>
      <c r="D39" s="42">
        <f t="shared" ca="1" si="25"/>
        <v>0.5961710293232122</v>
      </c>
      <c r="E39" s="42">
        <f t="shared" ca="1" si="25"/>
        <v>0.48368862147990566</v>
      </c>
      <c r="F39" s="42">
        <f t="shared" ca="1" si="25"/>
        <v>0.89359698438445423</v>
      </c>
      <c r="G39" s="42">
        <f t="shared" ca="1" si="25"/>
        <v>0.18152894847050594</v>
      </c>
      <c r="H39" s="42">
        <f t="shared" ca="1" si="25"/>
        <v>0.32408593985733658</v>
      </c>
      <c r="I39" s="42">
        <f t="shared" ca="1" si="25"/>
        <v>5.7411210651154843E-3</v>
      </c>
      <c r="J39" s="43">
        <f ca="1">IF(I39&lt;Inputs!$B$54,1+Inputs!$B$55,1)</f>
        <v>1.25</v>
      </c>
      <c r="K39" s="42">
        <f t="shared" ca="1" si="26"/>
        <v>0.70197394924762735</v>
      </c>
      <c r="L39" s="42">
        <f t="shared" ca="1" si="26"/>
        <v>0.32761545679850523</v>
      </c>
      <c r="M39" s="42">
        <f t="shared" ca="1" si="26"/>
        <v>3.6744231246150227E-2</v>
      </c>
      <c r="N39" s="42">
        <f t="shared" ca="1" si="26"/>
        <v>0.534189394305146</v>
      </c>
      <c r="O39" s="42">
        <f t="shared" ca="1" si="26"/>
        <v>0.12101693439756189</v>
      </c>
      <c r="P39" s="42">
        <f t="shared" ca="1" si="26"/>
        <v>0.40156734973609975</v>
      </c>
      <c r="Q39" s="42">
        <f t="shared" ca="1" si="26"/>
        <v>0.8485083197185942</v>
      </c>
      <c r="R39" s="42">
        <f t="shared" ca="1" si="26"/>
        <v>0.44005800889136315</v>
      </c>
      <c r="S39" s="42">
        <f t="shared" ca="1" si="26"/>
        <v>0.42489741622434984</v>
      </c>
      <c r="T39" s="42">
        <f t="shared" ca="1" si="26"/>
        <v>0.29527307065204389</v>
      </c>
      <c r="U39" s="44">
        <f ca="1">(IF(D39&gt;=Inputs!$E$12,1,IF(K39&lt;=Inputs!$C$46,Inputs!$D$46,IF(K39&lt;=Inputs!$C$47,Inputs!$D$47,Inputs!$D$48))))*((Inputs!$B$28+(P39-0.5)*2*Inputs!$B$53)/Inputs!$B$28)</f>
        <v>0.99900371811473787</v>
      </c>
      <c r="V39" s="44">
        <f ca="1">(IF(E39&gt;=Inputs!$E$13,1,IF(L39&lt;=Inputs!$C$46,Inputs!$D$46,IF(L39&lt;=Inputs!$C$47,Inputs!$D$47,Inputs!$D$48))))*((Inputs!$B$29+(Q39-0.5)*2*Inputs!$B$53)/Inputs!$B$29)</f>
        <v>1.0035131887068407</v>
      </c>
      <c r="W39" s="44">
        <f ca="1">(IF(F39&gt;=Inputs!$E$14,1,IF(M39&lt;=Inputs!$C$46,Inputs!$D$46,IF(M39&lt;=Inputs!$C$47,Inputs!$D$47,Inputs!$D$48))))*((Inputs!$B$30+(R39-0.5)*2*Inputs!$B$53)/Inputs!$B$30)</f>
        <v>0.99939756792855639</v>
      </c>
      <c r="X39" s="44">
        <f ca="1">(IF(G39&gt;=Inputs!$E$15,1,IF(N39&lt;=Inputs!$C$46,Inputs!$D$46,IF(N39&lt;=Inputs!$C$47,Inputs!$D$47,Inputs!$D$48))))*((Inputs!$B$31+(S39-0.5)*2*Inputs!$B$53)/Inputs!$B$31)</f>
        <v>0.99923753722055175</v>
      </c>
      <c r="Y39" s="44">
        <f ca="1">(IF(H39&gt;=Inputs!$E$16,1,IF(O39&lt;=Inputs!$C$46,Inputs!$D$46,IF(O39&lt;=Inputs!$C$47,Inputs!$D$47,Inputs!$D$48))))*((Inputs!$B$32+(T39-0.5)*2*Inputs!$B$53)/Inputs!$B$32)</f>
        <v>0.99794037294418558</v>
      </c>
      <c r="Z39" s="45">
        <f ca="1">ILP_B_Moderate!$C$9*U39+ILP_B_Moderate!$C$10*V39+ILP_B_Moderate!$C$11*W39+ILP_B_Moderate!$C$12*X39+ILP_B_Moderate!$C$13*Y39</f>
        <v>18001.631968150228</v>
      </c>
      <c r="AA39" s="45">
        <f ca="1">ILP_B_Moderate!$D$9*U39+ILP_B_Moderate!$D$10*V39+ILP_B_Moderate!$D$11*W39+ILP_B_Moderate!$D$12*X39+ILP_B_Moderate!$D$13*Y39</f>
        <v>15019.536171040234</v>
      </c>
      <c r="AB39" s="45">
        <f ca="1">ILP_B_Moderate!$E$9*U39+ILP_B_Moderate!$E$10*V39+ILP_B_Moderate!$E$11*W39+ILP_B_Moderate!$E$12*X39+ILP_B_Moderate!$E$13*Y39</f>
        <v>11995.685750812379</v>
      </c>
      <c r="AC39" s="45">
        <f ca="1">Inputs!$B$6*$C39</f>
        <v>18000</v>
      </c>
      <c r="AD39" s="45">
        <f ca="1">Inputs!$B$7*$C39</f>
        <v>15000</v>
      </c>
      <c r="AE39" s="45">
        <f ca="1">Inputs!$B$8*$C39</f>
        <v>12000</v>
      </c>
      <c r="AF39" s="45">
        <f t="shared" ca="1" si="3"/>
        <v>0</v>
      </c>
      <c r="AG39" s="45">
        <f t="shared" ca="1" si="4"/>
        <v>0</v>
      </c>
      <c r="AH39" s="45">
        <f t="shared" ca="1" si="5"/>
        <v>4.3142491876205895</v>
      </c>
      <c r="AI39" s="45">
        <f t="shared" ca="1" si="6"/>
        <v>4.3142491876205895</v>
      </c>
      <c r="AJ39" s="45">
        <f ca="1">U39*(Inputs!$B$12-ILP_B_Moderate!$F$9)+V39*(Inputs!$B$13-ILP_B_Moderate!$F$10)+W39*(Inputs!$B$14-ILP_B_Moderate!$F$11)+X39*(Inputs!$B$15-ILP_B_Moderate!$F$12)+Y39*(Inputs!$B$16-ILP_B_Moderate!$F$13)</f>
        <v>24968.514665609371</v>
      </c>
      <c r="AK39" s="45">
        <f t="shared" ca="1" si="7"/>
        <v>4.3142491876205895</v>
      </c>
      <c r="AL39" s="45">
        <f t="shared" ca="1" si="8"/>
        <v>0</v>
      </c>
      <c r="AM39" s="45">
        <f t="shared" ca="1" si="9"/>
        <v>0</v>
      </c>
      <c r="AN39" s="45">
        <f t="shared" ca="1" si="10"/>
        <v>0</v>
      </c>
      <c r="AO39" s="45">
        <f ca="1">MIN(AL39,Inputs!$B$36)</f>
        <v>0</v>
      </c>
      <c r="AP39" s="45">
        <f ca="1">MIN(AN39,Inputs!$B$36-AO39)</f>
        <v>0</v>
      </c>
      <c r="AQ39" s="45">
        <f ca="1">MIN(AM39,Inputs!$B$36-AO39-AP39)</f>
        <v>0</v>
      </c>
      <c r="AR39" s="45">
        <f t="shared" ca="1" si="11"/>
        <v>0</v>
      </c>
      <c r="AS39" s="45">
        <f t="shared" ca="1" si="12"/>
        <v>0</v>
      </c>
      <c r="AT39" s="45">
        <f t="shared" ca="1" si="13"/>
        <v>0</v>
      </c>
      <c r="AU39" s="45">
        <f t="shared" ca="1" si="14"/>
        <v>0</v>
      </c>
      <c r="AV39" s="46">
        <f ca="1">AU39*Inputs!$B$35</f>
        <v>0</v>
      </c>
      <c r="AW39" s="46">
        <f ca="1">AR39*Inputs!$C$6+AT39*Inputs!$C$7+AS39*Inputs!$C$8</f>
        <v>0</v>
      </c>
      <c r="AX39" s="46">
        <f t="shared" ca="1" si="15"/>
        <v>47586251.428337246</v>
      </c>
      <c r="AY39" s="46">
        <f ca="1">IF(J39&gt;1,($CD$4)*Inputs!$B$55*((Z39+AA39+AB39)/(SUM(ILP_B_Moderate!$C$9:$E$13))),0)</f>
        <v>570923.74852363381</v>
      </c>
      <c r="AZ39" s="46">
        <f t="shared" ca="1" si="16"/>
        <v>0</v>
      </c>
      <c r="BA39" s="41">
        <f t="shared" ca="1" si="17"/>
        <v>0</v>
      </c>
      <c r="BB39" s="41">
        <f t="shared" ca="1" si="18"/>
        <v>1</v>
      </c>
      <c r="BC39" s="41">
        <f t="shared" ca="1" si="19"/>
        <v>1</v>
      </c>
      <c r="BD39" s="41">
        <f t="shared" ca="1" si="20"/>
        <v>1</v>
      </c>
    </row>
    <row r="40" spans="1:56" ht="15" customHeight="1" x14ac:dyDescent="0.3">
      <c r="A40" s="41">
        <v>33</v>
      </c>
      <c r="B40" s="42">
        <f t="shared" ref="B40:B71" ca="1" si="27">RAND()</f>
        <v>0.18152479002113797</v>
      </c>
      <c r="C40" s="43">
        <f ca="1">IF(B40&lt;=Inputs!$C$40,Inputs!$D$40,IF(B40&lt;=Inputs!$C$41,Inputs!$D$41,Inputs!$D$42))</f>
        <v>0.9</v>
      </c>
      <c r="D40" s="42">
        <f t="shared" ca="1" si="25"/>
        <v>0.28603008236141214</v>
      </c>
      <c r="E40" s="42">
        <f t="shared" ca="1" si="25"/>
        <v>6.3263065367703319E-2</v>
      </c>
      <c r="F40" s="42">
        <f t="shared" ca="1" si="25"/>
        <v>0.13575921199371221</v>
      </c>
      <c r="G40" s="42">
        <f t="shared" ca="1" si="25"/>
        <v>0.49107516744134116</v>
      </c>
      <c r="H40" s="42">
        <f t="shared" ca="1" si="25"/>
        <v>0.2462010330563007</v>
      </c>
      <c r="I40" s="42">
        <f t="shared" ca="1" si="25"/>
        <v>0.13245805683779921</v>
      </c>
      <c r="J40" s="43">
        <f ca="1">IF(I40&lt;Inputs!$B$54,1+Inputs!$B$55,1)</f>
        <v>1</v>
      </c>
      <c r="K40" s="42">
        <f t="shared" ca="1" si="26"/>
        <v>0.99940864482981906</v>
      </c>
      <c r="L40" s="42">
        <f t="shared" ca="1" si="26"/>
        <v>2.7926165884621379E-2</v>
      </c>
      <c r="M40" s="42">
        <f t="shared" ca="1" si="26"/>
        <v>0.24110344038489573</v>
      </c>
      <c r="N40" s="42">
        <f t="shared" ca="1" si="26"/>
        <v>0.54976370164153388</v>
      </c>
      <c r="O40" s="42">
        <f t="shared" ca="1" si="26"/>
        <v>0.31214145557412343</v>
      </c>
      <c r="P40" s="42">
        <f t="shared" ca="1" si="26"/>
        <v>0.15276334494265453</v>
      </c>
      <c r="Q40" s="42">
        <f t="shared" ca="1" si="26"/>
        <v>0.33160636047735825</v>
      </c>
      <c r="R40" s="42">
        <f t="shared" ca="1" si="26"/>
        <v>0.85553803693834596</v>
      </c>
      <c r="S40" s="42">
        <f t="shared" ca="1" si="26"/>
        <v>5.3644352872088907E-2</v>
      </c>
      <c r="T40" s="42">
        <f t="shared" ca="1" si="26"/>
        <v>0.35820876969738014</v>
      </c>
      <c r="U40" s="44">
        <f ca="1">(IF(D40&gt;=Inputs!$E$12,1,IF(K40&lt;=Inputs!$C$46,Inputs!$D$46,IF(K40&lt;=Inputs!$C$47,Inputs!$D$47,Inputs!$D$48))))*((Inputs!$B$28+(P40-0.5)*2*Inputs!$B$53)/Inputs!$B$28)</f>
        <v>0.99648545895690943</v>
      </c>
      <c r="V40" s="44">
        <f ca="1">(IF(E40&gt;=Inputs!$E$13,1,IF(L40&lt;=Inputs!$C$46,Inputs!$D$46,IF(L40&lt;=Inputs!$C$47,Inputs!$D$47,Inputs!$D$48))))*((Inputs!$B$29+(Q40-0.5)*2*Inputs!$B$53)/Inputs!$B$29)</f>
        <v>0.59898149008353241</v>
      </c>
      <c r="W40" s="44">
        <f ca="1">(IF(F40&gt;=Inputs!$E$14,1,IF(M40&lt;=Inputs!$C$46,Inputs!$D$46,IF(M40&lt;=Inputs!$C$47,Inputs!$D$47,Inputs!$D$48))))*((Inputs!$B$30+(R40-0.5)*2*Inputs!$B$53)/Inputs!$B$30)</f>
        <v>1.0035732466023954</v>
      </c>
      <c r="X40" s="44">
        <f ca="1">(IF(G40&gt;=Inputs!$E$15,1,IF(N40&lt;=Inputs!$C$46,Inputs!$D$46,IF(N40&lt;=Inputs!$C$47,Inputs!$D$47,Inputs!$D$48))))*((Inputs!$B$31+(S40-0.5)*2*Inputs!$B$53)/Inputs!$B$31)</f>
        <v>0.99546847058753385</v>
      </c>
      <c r="Y40" s="44">
        <f ca="1">(IF(H40&gt;=Inputs!$E$16,1,IF(O40&lt;=Inputs!$C$46,Inputs!$D$46,IF(O40&lt;=Inputs!$C$47,Inputs!$D$47,Inputs!$D$48))))*((Inputs!$B$32+(T40-0.5)*2*Inputs!$B$53)/Inputs!$B$32)</f>
        <v>0.9985735288701949</v>
      </c>
      <c r="Z40" s="45">
        <f ca="1">ILP_B_Moderate!$C$9*U40+ILP_B_Moderate!$C$10*V40+ILP_B_Moderate!$C$11*W40+ILP_B_Moderate!$C$12*X40+ILP_B_Moderate!$C$13*Y40</f>
        <v>16388.449998422271</v>
      </c>
      <c r="AA40" s="45">
        <f ca="1">ILP_B_Moderate!$D$9*U40+ILP_B_Moderate!$D$10*V40+ILP_B_Moderate!$D$11*W40+ILP_B_Moderate!$D$12*X40+ILP_B_Moderate!$D$13*Y40</f>
        <v>11963.134210601675</v>
      </c>
      <c r="AB40" s="45">
        <f ca="1">ILP_B_Moderate!$E$9*U40+ILP_B_Moderate!$E$10*V40+ILP_B_Moderate!$E$11*W40+ILP_B_Moderate!$E$12*X40+ILP_B_Moderate!$E$13*Y40</f>
        <v>10964.980357375383</v>
      </c>
      <c r="AC40" s="45">
        <f ca="1">Inputs!$B$6*$C40</f>
        <v>16200</v>
      </c>
      <c r="AD40" s="45">
        <f ca="1">Inputs!$B$7*$C40</f>
        <v>13500</v>
      </c>
      <c r="AE40" s="45">
        <f ca="1">Inputs!$B$8*$C40</f>
        <v>10800</v>
      </c>
      <c r="AF40" s="45">
        <f t="shared" ref="AF40:AF71" ca="1" si="28">MAX(0,AC40-Z40)</f>
        <v>0</v>
      </c>
      <c r="AG40" s="45">
        <f t="shared" ref="AG40:AG71" ca="1" si="29">MAX(0,AD40-AA40)</f>
        <v>1536.8657893983254</v>
      </c>
      <c r="AH40" s="45">
        <f t="shared" ref="AH40:AH71" ca="1" si="30">MAX(0,AE40-AB40)</f>
        <v>0</v>
      </c>
      <c r="AI40" s="45">
        <f t="shared" ref="AI40:AI71" ca="1" si="31">SUM(AF40:AH40)</f>
        <v>1536.8657893983254</v>
      </c>
      <c r="AJ40" s="45">
        <f ca="1">U40*(Inputs!$B$12-ILP_B_Moderate!$F$9)+V40*(Inputs!$B$13-ILP_B_Moderate!$F$10)+W40*(Inputs!$B$14-ILP_B_Moderate!$F$11)+X40*(Inputs!$B$15-ILP_B_Moderate!$F$12)+Y40*(Inputs!$B$16-ILP_B_Moderate!$F$13)</f>
        <v>24983.620424015146</v>
      </c>
      <c r="AK40" s="45">
        <f t="shared" ref="AK40:AK71" ca="1" si="32">MIN(AI40,MAX(0,AJ40))</f>
        <v>1536.8657893983254</v>
      </c>
      <c r="AL40" s="45">
        <f t="shared" ref="AL40:AL71" ca="1" si="33">AF40*(1-(IF(AI40&gt;0,AK40/AI40,0)))</f>
        <v>0</v>
      </c>
      <c r="AM40" s="45">
        <f t="shared" ref="AM40:AM71" ca="1" si="34">AG40*(1-(IF(AI40&gt;0,AK40/AI40,0)))</f>
        <v>0</v>
      </c>
      <c r="AN40" s="45">
        <f t="shared" ref="AN40:AN71" ca="1" si="35">AH40*(1-(IF(AI40&gt;0,AK40/AI40,0)))</f>
        <v>0</v>
      </c>
      <c r="AO40" s="45">
        <f ca="1">MIN(AL40,Inputs!$B$36)</f>
        <v>0</v>
      </c>
      <c r="AP40" s="45">
        <f ca="1">MIN(AN40,Inputs!$B$36-AO40)</f>
        <v>0</v>
      </c>
      <c r="AQ40" s="45">
        <f ca="1">MIN(AM40,Inputs!$B$36-AO40-AP40)</f>
        <v>0</v>
      </c>
      <c r="AR40" s="45">
        <f t="shared" ref="AR40:AR71" ca="1" si="36">AL40-AO40</f>
        <v>0</v>
      </c>
      <c r="AS40" s="45">
        <f t="shared" ref="AS40:AS71" ca="1" si="37">AN40-AP40</f>
        <v>0</v>
      </c>
      <c r="AT40" s="45">
        <f t="shared" ref="AT40:AT71" ca="1" si="38">AM40-AQ40</f>
        <v>0</v>
      </c>
      <c r="AU40" s="45">
        <f t="shared" ref="AU40:AU71" ca="1" si="39">AO40+AP40+AQ40</f>
        <v>0</v>
      </c>
      <c r="AV40" s="46">
        <f ca="1">AU40*Inputs!$B$35</f>
        <v>0</v>
      </c>
      <c r="AW40" s="46">
        <f ca="1">AR40*Inputs!$C$6+AT40*Inputs!$C$7+AS40*Inputs!$C$8</f>
        <v>0</v>
      </c>
      <c r="AX40" s="46">
        <f t="shared" ref="AX40:AX71" ca="1" si="40">Z40*$CA$4+AA40*$CB$4+AB40*$CC$4</f>
        <v>41571184.703194961</v>
      </c>
      <c r="AY40" s="46">
        <f ca="1">IF(J40&gt;1,($CD$4)*Inputs!$B$55*((Z40+AA40+AB40)/(SUM(ILP_B_Moderate!$C$9:$E$13))),0)</f>
        <v>0</v>
      </c>
      <c r="AZ40" s="46">
        <f t="shared" ref="AZ40:AZ71" ca="1" si="41">AV40+AW40</f>
        <v>0</v>
      </c>
      <c r="BA40" s="41">
        <f t="shared" ref="BA40:BA71" ca="1" si="42">IF(AR40+AT40+AS40&gt;0,1,0)</f>
        <v>0</v>
      </c>
      <c r="BB40" s="41">
        <f t="shared" ref="BB40:BB71" ca="1" si="43">IF(AR40=0,1,0)</f>
        <v>1</v>
      </c>
      <c r="BC40" s="41">
        <f t="shared" ref="BC40:BC71" ca="1" si="44">IF(AT40=0,1,0)</f>
        <v>1</v>
      </c>
      <c r="BD40" s="41">
        <f t="shared" ref="BD40:BD71" ca="1" si="45">IF(AS40=0,1,0)</f>
        <v>1</v>
      </c>
    </row>
    <row r="41" spans="1:56" ht="15" customHeight="1" x14ac:dyDescent="0.3">
      <c r="A41" s="41">
        <v>34</v>
      </c>
      <c r="B41" s="42">
        <f t="shared" ca="1" si="27"/>
        <v>0.43603536437093438</v>
      </c>
      <c r="C41" s="43">
        <f ca="1">IF(B41&lt;=Inputs!$C$40,Inputs!$D$40,IF(B41&lt;=Inputs!$C$41,Inputs!$D$41,Inputs!$D$42))</f>
        <v>1</v>
      </c>
      <c r="D41" s="42">
        <f t="shared" ca="1" si="25"/>
        <v>0.32965568461991457</v>
      </c>
      <c r="E41" s="42">
        <f t="shared" ca="1" si="25"/>
        <v>0.83199703399187797</v>
      </c>
      <c r="F41" s="42">
        <f t="shared" ca="1" si="25"/>
        <v>0.36003760638481952</v>
      </c>
      <c r="G41" s="42">
        <f t="shared" ca="1" si="25"/>
        <v>0.76750198130371217</v>
      </c>
      <c r="H41" s="42">
        <f t="shared" ca="1" si="25"/>
        <v>0.67484599307874171</v>
      </c>
      <c r="I41" s="42">
        <f t="shared" ca="1" si="25"/>
        <v>7.894984748736511E-2</v>
      </c>
      <c r="J41" s="43">
        <f ca="1">IF(I41&lt;Inputs!$B$54,1+Inputs!$B$55,1)</f>
        <v>1.25</v>
      </c>
      <c r="K41" s="42">
        <f t="shared" ca="1" si="26"/>
        <v>0.17536873481384418</v>
      </c>
      <c r="L41" s="42">
        <f t="shared" ca="1" si="26"/>
        <v>0.6658069023594233</v>
      </c>
      <c r="M41" s="42">
        <f t="shared" ca="1" si="26"/>
        <v>0.8403877830907488</v>
      </c>
      <c r="N41" s="42">
        <f t="shared" ca="1" si="26"/>
        <v>0.47222469027170055</v>
      </c>
      <c r="O41" s="42">
        <f t="shared" ca="1" si="26"/>
        <v>0.92785432793972766</v>
      </c>
      <c r="P41" s="42">
        <f t="shared" ca="1" si="26"/>
        <v>0.39630855904956885</v>
      </c>
      <c r="Q41" s="42">
        <f t="shared" ca="1" si="26"/>
        <v>0.40711880349962637</v>
      </c>
      <c r="R41" s="42">
        <f t="shared" ca="1" si="26"/>
        <v>0.1141372139637189</v>
      </c>
      <c r="S41" s="42">
        <f t="shared" ca="1" si="26"/>
        <v>2.7843228881573756E-2</v>
      </c>
      <c r="T41" s="42">
        <f t="shared" ca="1" si="26"/>
        <v>0.23564863136925851</v>
      </c>
      <c r="U41" s="44">
        <f ca="1">(IF(D41&gt;=Inputs!$E$12,1,IF(K41&lt;=Inputs!$C$46,Inputs!$D$46,IF(K41&lt;=Inputs!$C$47,Inputs!$D$47,Inputs!$D$48))))*((Inputs!$B$28+(P41-0.5)*2*Inputs!$B$53)/Inputs!$B$28)</f>
        <v>0.99895049148835602</v>
      </c>
      <c r="V41" s="44">
        <f ca="1">(IF(E41&gt;=Inputs!$E$13,1,IF(L41&lt;=Inputs!$C$46,Inputs!$D$46,IF(L41&lt;=Inputs!$C$47,Inputs!$D$47,Inputs!$D$48))))*((Inputs!$B$29+(Q41-0.5)*2*Inputs!$B$53)/Inputs!$B$29)</f>
        <v>0.99906369761592362</v>
      </c>
      <c r="W41" s="44">
        <f ca="1">(IF(F41&gt;=Inputs!$E$14,1,IF(M41&lt;=Inputs!$C$46,Inputs!$D$46,IF(M41&lt;=Inputs!$C$47,Inputs!$D$47,Inputs!$D$48))))*((Inputs!$B$30+(R41-0.5)*2*Inputs!$B$53)/Inputs!$B$30)</f>
        <v>0.99612198204988656</v>
      </c>
      <c r="X41" s="44">
        <f ca="1">(IF(G41&gt;=Inputs!$E$15,1,IF(N41&lt;=Inputs!$C$46,Inputs!$D$46,IF(N41&lt;=Inputs!$C$47,Inputs!$D$47,Inputs!$D$48))))*((Inputs!$B$31+(S41-0.5)*2*Inputs!$B$53)/Inputs!$B$31)</f>
        <v>0.99520653024245254</v>
      </c>
      <c r="Y41" s="44">
        <f ca="1">(IF(H41&gt;=Inputs!$E$16,1,IF(O41&lt;=Inputs!$C$46,Inputs!$D$46,IF(O41&lt;=Inputs!$C$47,Inputs!$D$47,Inputs!$D$48))))*((Inputs!$B$32+(T41-0.5)*2*Inputs!$B$53)/Inputs!$B$32)</f>
        <v>0.99734052949063634</v>
      </c>
      <c r="Z41" s="45">
        <f ca="1">ILP_B_Moderate!$C$9*U41+ILP_B_Moderate!$C$10*V41+ILP_B_Moderate!$C$11*W41+ILP_B_Moderate!$C$12*X41+ILP_B_Moderate!$C$13*Y41</f>
        <v>17947.851529703221</v>
      </c>
      <c r="AA41" s="45">
        <f ca="1">ILP_B_Moderate!$D$9*U41+ILP_B_Moderate!$D$10*V41+ILP_B_Moderate!$D$11*W41+ILP_B_Moderate!$D$12*X41+ILP_B_Moderate!$D$13*Y41</f>
        <v>14974.54844756865</v>
      </c>
      <c r="AB41" s="45">
        <f ca="1">ILP_B_Moderate!$E$9*U41+ILP_B_Moderate!$E$10*V41+ILP_B_Moderate!$E$11*W41+ILP_B_Moderate!$E$12*X41+ILP_B_Moderate!$E$13*Y41</f>
        <v>11982.081616877176</v>
      </c>
      <c r="AC41" s="45">
        <f ca="1">Inputs!$B$6*$C41</f>
        <v>18000</v>
      </c>
      <c r="AD41" s="45">
        <f ca="1">Inputs!$B$7*$C41</f>
        <v>15000</v>
      </c>
      <c r="AE41" s="45">
        <f ca="1">Inputs!$B$8*$C41</f>
        <v>12000</v>
      </c>
      <c r="AF41" s="45">
        <f t="shared" ca="1" si="28"/>
        <v>52.148470296779124</v>
      </c>
      <c r="AG41" s="45">
        <f t="shared" ca="1" si="29"/>
        <v>25.451552431350137</v>
      </c>
      <c r="AH41" s="45">
        <f t="shared" ca="1" si="30"/>
        <v>17.918383122823798</v>
      </c>
      <c r="AI41" s="45">
        <f t="shared" ca="1" si="31"/>
        <v>95.518405850953059</v>
      </c>
      <c r="AJ41" s="45">
        <f ca="1">U41*(Inputs!$B$12-ILP_B_Moderate!$F$9)+V41*(Inputs!$B$13-ILP_B_Moderate!$F$10)+W41*(Inputs!$B$14-ILP_B_Moderate!$F$11)+X41*(Inputs!$B$15-ILP_B_Moderate!$F$12)+Y41*(Inputs!$B$16-ILP_B_Moderate!$F$13)</f>
        <v>24917.790108205081</v>
      </c>
      <c r="AK41" s="45">
        <f t="shared" ca="1" si="32"/>
        <v>95.518405850953059</v>
      </c>
      <c r="AL41" s="45">
        <f t="shared" ca="1" si="33"/>
        <v>0</v>
      </c>
      <c r="AM41" s="45">
        <f t="shared" ca="1" si="34"/>
        <v>0</v>
      </c>
      <c r="AN41" s="45">
        <f t="shared" ca="1" si="35"/>
        <v>0</v>
      </c>
      <c r="AO41" s="45">
        <f ca="1">MIN(AL41,Inputs!$B$36)</f>
        <v>0</v>
      </c>
      <c r="AP41" s="45">
        <f ca="1">MIN(AN41,Inputs!$B$36-AO41)</f>
        <v>0</v>
      </c>
      <c r="AQ41" s="45">
        <f ca="1">MIN(AM41,Inputs!$B$36-AO41-AP41)</f>
        <v>0</v>
      </c>
      <c r="AR41" s="45">
        <f t="shared" ca="1" si="36"/>
        <v>0</v>
      </c>
      <c r="AS41" s="45">
        <f t="shared" ca="1" si="37"/>
        <v>0</v>
      </c>
      <c r="AT41" s="45">
        <f t="shared" ca="1" si="38"/>
        <v>0</v>
      </c>
      <c r="AU41" s="45">
        <f t="shared" ca="1" si="39"/>
        <v>0</v>
      </c>
      <c r="AV41" s="46">
        <f ca="1">AU41*Inputs!$B$35</f>
        <v>0</v>
      </c>
      <c r="AW41" s="46">
        <f ca="1">AR41*Inputs!$C$6+AT41*Inputs!$C$7+AS41*Inputs!$C$8</f>
        <v>0</v>
      </c>
      <c r="AX41" s="46">
        <f t="shared" ca="1" si="40"/>
        <v>47468458.306154951</v>
      </c>
      <c r="AY41" s="46">
        <f ca="1">IF(J41&gt;1,($CD$4)*Inputs!$B$55*((Z41+AA41+AB41)/(SUM(ILP_B_Moderate!$C$9:$E$13))),0)</f>
        <v>569498.59312437335</v>
      </c>
      <c r="AZ41" s="46">
        <f t="shared" ca="1" si="41"/>
        <v>0</v>
      </c>
      <c r="BA41" s="41">
        <f t="shared" ca="1" si="42"/>
        <v>0</v>
      </c>
      <c r="BB41" s="41">
        <f t="shared" ca="1" si="43"/>
        <v>1</v>
      </c>
      <c r="BC41" s="41">
        <f t="shared" ca="1" si="44"/>
        <v>1</v>
      </c>
      <c r="BD41" s="41">
        <f t="shared" ca="1" si="45"/>
        <v>1</v>
      </c>
    </row>
    <row r="42" spans="1:56" ht="15" customHeight="1" x14ac:dyDescent="0.3">
      <c r="A42" s="41">
        <v>35</v>
      </c>
      <c r="B42" s="42">
        <f t="shared" ca="1" si="27"/>
        <v>0.61445381311564651</v>
      </c>
      <c r="C42" s="43">
        <f ca="1">IF(B42&lt;=Inputs!$C$40,Inputs!$D$40,IF(B42&lt;=Inputs!$C$41,Inputs!$D$41,Inputs!$D$42))</f>
        <v>1</v>
      </c>
      <c r="D42" s="42">
        <f t="shared" ca="1" si="25"/>
        <v>0.3446764111316758</v>
      </c>
      <c r="E42" s="42">
        <f t="shared" ca="1" si="25"/>
        <v>2.646515772070912E-2</v>
      </c>
      <c r="F42" s="42">
        <f t="shared" ca="1" si="25"/>
        <v>0.39281486111618169</v>
      </c>
      <c r="G42" s="42">
        <f t="shared" ca="1" si="25"/>
        <v>0.54826311361253011</v>
      </c>
      <c r="H42" s="42">
        <f t="shared" ca="1" si="25"/>
        <v>0.11831589124265107</v>
      </c>
      <c r="I42" s="42">
        <f t="shared" ca="1" si="25"/>
        <v>8.9981027714706618E-2</v>
      </c>
      <c r="J42" s="43">
        <f ca="1">IF(I42&lt;Inputs!$B$54,1+Inputs!$B$55,1)</f>
        <v>1</v>
      </c>
      <c r="K42" s="42">
        <f t="shared" ca="1" si="26"/>
        <v>0.13955120524109577</v>
      </c>
      <c r="L42" s="42">
        <f t="shared" ca="1" si="26"/>
        <v>0.98864494922698709</v>
      </c>
      <c r="M42" s="42">
        <f t="shared" ca="1" si="26"/>
        <v>0.61313628255449726</v>
      </c>
      <c r="N42" s="42">
        <f t="shared" ca="1" si="26"/>
        <v>0.53337677457973476</v>
      </c>
      <c r="O42" s="42">
        <f t="shared" ca="1" si="26"/>
        <v>0.2027386310947612</v>
      </c>
      <c r="P42" s="42">
        <f t="shared" ca="1" si="26"/>
        <v>0.72137467382604403</v>
      </c>
      <c r="Q42" s="42">
        <f t="shared" ca="1" si="26"/>
        <v>0.86055321885330538</v>
      </c>
      <c r="R42" s="42">
        <f t="shared" ca="1" si="26"/>
        <v>0.19173530295108465</v>
      </c>
      <c r="S42" s="42">
        <f t="shared" ca="1" si="26"/>
        <v>0.14190597895716994</v>
      </c>
      <c r="T42" s="42">
        <f t="shared" ca="1" si="26"/>
        <v>0.9246398242248598</v>
      </c>
      <c r="U42" s="44">
        <f ca="1">(IF(D42&gt;=Inputs!$E$12,1,IF(K42&lt;=Inputs!$C$46,Inputs!$D$46,IF(K42&lt;=Inputs!$C$47,Inputs!$D$47,Inputs!$D$48))))*((Inputs!$B$28+(P42-0.5)*2*Inputs!$B$53)/Inputs!$B$28)</f>
        <v>1.002240634350466</v>
      </c>
      <c r="V42" s="44">
        <f ca="1">(IF(E42&gt;=Inputs!$E$13,1,IF(L42&lt;=Inputs!$C$46,Inputs!$D$46,IF(L42&lt;=Inputs!$C$47,Inputs!$D$47,Inputs!$D$48))))*((Inputs!$B$29+(Q42-0.5)*2*Inputs!$B$53)/Inputs!$B$29)</f>
        <v>0</v>
      </c>
      <c r="W42" s="44">
        <f ca="1">(IF(F42&gt;=Inputs!$E$14,1,IF(M42&lt;=Inputs!$C$46,Inputs!$D$46,IF(M42&lt;=Inputs!$C$47,Inputs!$D$47,Inputs!$D$48))))*((Inputs!$B$30+(R42-0.5)*2*Inputs!$B$53)/Inputs!$B$30)</f>
        <v>0.99690186234121703</v>
      </c>
      <c r="X42" s="44">
        <f ca="1">(IF(G42&gt;=Inputs!$E$15,1,IF(N42&lt;=Inputs!$C$46,Inputs!$D$46,IF(N42&lt;=Inputs!$C$47,Inputs!$D$47,Inputs!$D$48))))*((Inputs!$B$31+(S42-0.5)*2*Inputs!$B$53)/Inputs!$B$31)</f>
        <v>0.99636452770514894</v>
      </c>
      <c r="Y42" s="44">
        <f ca="1">(IF(H42&gt;=Inputs!$E$16,1,IF(O42&lt;=Inputs!$C$46,Inputs!$D$46,IF(O42&lt;=Inputs!$C$47,Inputs!$D$47,Inputs!$D$48))))*((Inputs!$B$32+(T42-0.5)*2*Inputs!$B$53)/Inputs!$B$32)</f>
        <v>1.0042720304247974</v>
      </c>
      <c r="Z42" s="45">
        <f ca="1">ILP_B_Moderate!$C$9*U42+ILP_B_Moderate!$C$10*V42+ILP_B_Moderate!$C$11*W42+ILP_B_Moderate!$C$12*X42+ILP_B_Moderate!$C$13*Y42</f>
        <v>14106.770722295529</v>
      </c>
      <c r="AA42" s="45">
        <f ca="1">ILP_B_Moderate!$D$9*U42+ILP_B_Moderate!$D$10*V42+ILP_B_Moderate!$D$11*W42+ILP_B_Moderate!$D$12*X42+ILP_B_Moderate!$D$13*Y42</f>
        <v>7500.234136888701</v>
      </c>
      <c r="AB42" s="45">
        <f ca="1">ILP_B_Moderate!$E$9*U42+ILP_B_Moderate!$E$10*V42+ILP_B_Moderate!$E$11*W42+ILP_B_Moderate!$E$12*X42+ILP_B_Moderate!$E$13*Y42</f>
        <v>9512.327560102789</v>
      </c>
      <c r="AC42" s="45">
        <f ca="1">Inputs!$B$6*$C42</f>
        <v>18000</v>
      </c>
      <c r="AD42" s="45">
        <f ca="1">Inputs!$B$7*$C42</f>
        <v>15000</v>
      </c>
      <c r="AE42" s="45">
        <f ca="1">Inputs!$B$8*$C42</f>
        <v>12000</v>
      </c>
      <c r="AF42" s="45">
        <f t="shared" ca="1" si="28"/>
        <v>3893.2292777044713</v>
      </c>
      <c r="AG42" s="45">
        <f t="shared" ca="1" si="29"/>
        <v>7499.765863111299</v>
      </c>
      <c r="AH42" s="45">
        <f t="shared" ca="1" si="30"/>
        <v>2487.672439897211</v>
      </c>
      <c r="AI42" s="45">
        <f t="shared" ca="1" si="31"/>
        <v>13880.667580712981</v>
      </c>
      <c r="AJ42" s="45">
        <f ca="1">U42*(Inputs!$B$12-ILP_B_Moderate!$F$9)+V42*(Inputs!$B$13-ILP_B_Moderate!$F$10)+W42*(Inputs!$B$14-ILP_B_Moderate!$F$11)+X42*(Inputs!$B$15-ILP_B_Moderate!$F$12)+Y42*(Inputs!$B$16-ILP_B_Moderate!$F$13)</f>
        <v>24896.696729590003</v>
      </c>
      <c r="AK42" s="45">
        <f t="shared" ca="1" si="32"/>
        <v>13880.667580712981</v>
      </c>
      <c r="AL42" s="45">
        <f t="shared" ca="1" si="33"/>
        <v>0</v>
      </c>
      <c r="AM42" s="45">
        <f t="shared" ca="1" si="34"/>
        <v>0</v>
      </c>
      <c r="AN42" s="45">
        <f t="shared" ca="1" si="35"/>
        <v>0</v>
      </c>
      <c r="AO42" s="45">
        <f ca="1">MIN(AL42,Inputs!$B$36)</f>
        <v>0</v>
      </c>
      <c r="AP42" s="45">
        <f ca="1">MIN(AN42,Inputs!$B$36-AO42)</f>
        <v>0</v>
      </c>
      <c r="AQ42" s="45">
        <f ca="1">MIN(AM42,Inputs!$B$36-AO42-AP42)</f>
        <v>0</v>
      </c>
      <c r="AR42" s="45">
        <f t="shared" ca="1" si="36"/>
        <v>0</v>
      </c>
      <c r="AS42" s="45">
        <f t="shared" ca="1" si="37"/>
        <v>0</v>
      </c>
      <c r="AT42" s="45">
        <f t="shared" ca="1" si="38"/>
        <v>0</v>
      </c>
      <c r="AU42" s="45">
        <f t="shared" ca="1" si="39"/>
        <v>0</v>
      </c>
      <c r="AV42" s="46">
        <f ca="1">AU42*Inputs!$B$35</f>
        <v>0</v>
      </c>
      <c r="AW42" s="46">
        <f ca="1">AR42*Inputs!$C$6+AT42*Inputs!$C$7+AS42*Inputs!$C$8</f>
        <v>0</v>
      </c>
      <c r="AX42" s="46">
        <f t="shared" ca="1" si="40"/>
        <v>32921975.109661438</v>
      </c>
      <c r="AY42" s="46">
        <f ca="1">IF(J42&gt;1,($CD$4)*Inputs!$B$55*((Z42+AA42+AB42)/(SUM(ILP_B_Moderate!$C$9:$E$13))),0)</f>
        <v>0</v>
      </c>
      <c r="AZ42" s="46">
        <f t="shared" ca="1" si="41"/>
        <v>0</v>
      </c>
      <c r="BA42" s="41">
        <f t="shared" ca="1" si="42"/>
        <v>0</v>
      </c>
      <c r="BB42" s="41">
        <f t="shared" ca="1" si="43"/>
        <v>1</v>
      </c>
      <c r="BC42" s="41">
        <f t="shared" ca="1" si="44"/>
        <v>1</v>
      </c>
      <c r="BD42" s="41">
        <f t="shared" ca="1" si="45"/>
        <v>1</v>
      </c>
    </row>
    <row r="43" spans="1:56" ht="15" customHeight="1" x14ac:dyDescent="0.3">
      <c r="A43" s="41">
        <v>36</v>
      </c>
      <c r="B43" s="42">
        <f t="shared" ca="1" si="27"/>
        <v>0.23348762804643108</v>
      </c>
      <c r="C43" s="43">
        <f ca="1">IF(B43&lt;=Inputs!$C$40,Inputs!$D$40,IF(B43&lt;=Inputs!$C$41,Inputs!$D$41,Inputs!$D$42))</f>
        <v>1</v>
      </c>
      <c r="D43" s="42">
        <f t="shared" ca="1" si="25"/>
        <v>0.4380118256938561</v>
      </c>
      <c r="E43" s="42">
        <f t="shared" ca="1" si="25"/>
        <v>0.95853202530233061</v>
      </c>
      <c r="F43" s="42">
        <f t="shared" ca="1" si="25"/>
        <v>0.7164114173111632</v>
      </c>
      <c r="G43" s="42">
        <f t="shared" ca="1" si="25"/>
        <v>0.81205458534387853</v>
      </c>
      <c r="H43" s="42">
        <f t="shared" ca="1" si="25"/>
        <v>0.52387812925886368</v>
      </c>
      <c r="I43" s="42">
        <f t="shared" ca="1" si="25"/>
        <v>0.93220018310061881</v>
      </c>
      <c r="J43" s="43">
        <f ca="1">IF(I43&lt;Inputs!$B$54,1+Inputs!$B$55,1)</f>
        <v>1</v>
      </c>
      <c r="K43" s="42">
        <f t="shared" ca="1" si="26"/>
        <v>0.9828511478681724</v>
      </c>
      <c r="L43" s="42">
        <f t="shared" ca="1" si="26"/>
        <v>0.56435057559083845</v>
      </c>
      <c r="M43" s="42">
        <f t="shared" ca="1" si="26"/>
        <v>0.40096366157949348</v>
      </c>
      <c r="N43" s="42">
        <f t="shared" ca="1" si="26"/>
        <v>0.2975099270875593</v>
      </c>
      <c r="O43" s="42">
        <f t="shared" ca="1" si="26"/>
        <v>0.46612659876765272</v>
      </c>
      <c r="P43" s="42">
        <f t="shared" ca="1" si="26"/>
        <v>0.14959796971772699</v>
      </c>
      <c r="Q43" s="42">
        <f t="shared" ca="1" si="26"/>
        <v>3.7251023723058441E-2</v>
      </c>
      <c r="R43" s="42">
        <f t="shared" ca="1" si="26"/>
        <v>0.3021627192024231</v>
      </c>
      <c r="S43" s="42">
        <f t="shared" ca="1" si="26"/>
        <v>0.82737252538459238</v>
      </c>
      <c r="T43" s="42">
        <f t="shared" ca="1" si="26"/>
        <v>0.63465624223654471</v>
      </c>
      <c r="U43" s="44">
        <f ca="1">(IF(D43&gt;=Inputs!$E$12,1,IF(K43&lt;=Inputs!$C$46,Inputs!$D$46,IF(K43&lt;=Inputs!$C$47,Inputs!$D$47,Inputs!$D$48))))*((Inputs!$B$28+(P43-0.5)*2*Inputs!$B$53)/Inputs!$B$28)</f>
        <v>0.99645342074613086</v>
      </c>
      <c r="V43" s="44">
        <f ca="1">(IF(E43&gt;=Inputs!$E$13,1,IF(L43&lt;=Inputs!$C$46,Inputs!$D$46,IF(L43&lt;=Inputs!$C$47,Inputs!$D$47,Inputs!$D$48))))*((Inputs!$B$29+(Q43-0.5)*2*Inputs!$B$53)/Inputs!$B$29)</f>
        <v>0.99533519177140184</v>
      </c>
      <c r="W43" s="44">
        <f ca="1">(IF(F43&gt;=Inputs!$E$14,1,IF(M43&lt;=Inputs!$C$46,Inputs!$D$46,IF(M43&lt;=Inputs!$C$47,Inputs!$D$47,Inputs!$D$48))))*((Inputs!$B$30+(R43-0.5)*2*Inputs!$B$53)/Inputs!$B$30)</f>
        <v>0.99801168562012488</v>
      </c>
      <c r="X43" s="44">
        <f ca="1">(IF(G43&gt;=Inputs!$E$15,1,IF(N43&lt;=Inputs!$C$46,Inputs!$D$46,IF(N43&lt;=Inputs!$C$47,Inputs!$D$47,Inputs!$D$48))))*((Inputs!$B$31+(S43-0.5)*2*Inputs!$B$53)/Inputs!$B$31)</f>
        <v>1.0033235789379147</v>
      </c>
      <c r="Y43" s="44">
        <f ca="1">(IF(H43&gt;=Inputs!$E$16,1,IF(O43&lt;=Inputs!$C$46,Inputs!$D$46,IF(O43&lt;=Inputs!$C$47,Inputs!$D$47,Inputs!$D$48))))*((Inputs!$B$32+(T43-0.5)*2*Inputs!$B$53)/Inputs!$B$32)</f>
        <v>1.00135469056576</v>
      </c>
      <c r="Z43" s="45">
        <f ca="1">ILP_B_Moderate!$C$9*U43+ILP_B_Moderate!$C$10*V43+ILP_B_Moderate!$C$11*W43+ILP_B_Moderate!$C$12*X43+ILP_B_Moderate!$C$13*Y43</f>
        <v>17993.663214566259</v>
      </c>
      <c r="AA43" s="45">
        <f ca="1">ILP_B_Moderate!$D$9*U43+ILP_B_Moderate!$D$10*V43+ILP_B_Moderate!$D$11*W43+ILP_B_Moderate!$D$12*X43+ILP_B_Moderate!$D$13*Y43</f>
        <v>14957.788439982325</v>
      </c>
      <c r="AB43" s="45">
        <f ca="1">ILP_B_Moderate!$E$9*U43+ILP_B_Moderate!$E$10*V43+ILP_B_Moderate!$E$11*W43+ILP_B_Moderate!$E$12*X43+ILP_B_Moderate!$E$13*Y43</f>
        <v>11971.70360890474</v>
      </c>
      <c r="AC43" s="45">
        <f ca="1">Inputs!$B$6*$C43</f>
        <v>18000</v>
      </c>
      <c r="AD43" s="45">
        <f ca="1">Inputs!$B$7*$C43</f>
        <v>15000</v>
      </c>
      <c r="AE43" s="45">
        <f ca="1">Inputs!$B$8*$C43</f>
        <v>12000</v>
      </c>
      <c r="AF43" s="45">
        <f t="shared" ca="1" si="28"/>
        <v>6.33678543374117</v>
      </c>
      <c r="AG43" s="45">
        <f t="shared" ca="1" si="29"/>
        <v>42.211560017674856</v>
      </c>
      <c r="AH43" s="45">
        <f t="shared" ca="1" si="30"/>
        <v>28.296391095260333</v>
      </c>
      <c r="AI43" s="45">
        <f t="shared" ca="1" si="31"/>
        <v>76.844736546676359</v>
      </c>
      <c r="AJ43" s="45">
        <f ca="1">U43*(Inputs!$B$12-ILP_B_Moderate!$F$9)+V43*(Inputs!$B$13-ILP_B_Moderate!$F$10)+W43*(Inputs!$B$14-ILP_B_Moderate!$F$11)+X43*(Inputs!$B$15-ILP_B_Moderate!$F$12)+Y43*(Inputs!$B$16-ILP_B_Moderate!$F$13)</f>
        <v>24989.147372087391</v>
      </c>
      <c r="AK43" s="45">
        <f t="shared" ca="1" si="32"/>
        <v>76.844736546676359</v>
      </c>
      <c r="AL43" s="45">
        <f t="shared" ca="1" si="33"/>
        <v>0</v>
      </c>
      <c r="AM43" s="45">
        <f t="shared" ca="1" si="34"/>
        <v>0</v>
      </c>
      <c r="AN43" s="45">
        <f t="shared" ca="1" si="35"/>
        <v>0</v>
      </c>
      <c r="AO43" s="45">
        <f ca="1">MIN(AL43,Inputs!$B$36)</f>
        <v>0</v>
      </c>
      <c r="AP43" s="45">
        <f ca="1">MIN(AN43,Inputs!$B$36-AO43)</f>
        <v>0</v>
      </c>
      <c r="AQ43" s="45">
        <f ca="1">MIN(AM43,Inputs!$B$36-AO43-AP43)</f>
        <v>0</v>
      </c>
      <c r="AR43" s="45">
        <f t="shared" ca="1" si="36"/>
        <v>0</v>
      </c>
      <c r="AS43" s="45">
        <f t="shared" ca="1" si="37"/>
        <v>0</v>
      </c>
      <c r="AT43" s="45">
        <f t="shared" ca="1" si="38"/>
        <v>0</v>
      </c>
      <c r="AU43" s="45">
        <f t="shared" ca="1" si="39"/>
        <v>0</v>
      </c>
      <c r="AV43" s="46">
        <f ca="1">AU43*Inputs!$B$35</f>
        <v>0</v>
      </c>
      <c r="AW43" s="46">
        <f ca="1">AR43*Inputs!$C$6+AT43*Inputs!$C$7+AS43*Inputs!$C$8</f>
        <v>0</v>
      </c>
      <c r="AX43" s="46">
        <f t="shared" ca="1" si="40"/>
        <v>47486648.382475719</v>
      </c>
      <c r="AY43" s="46">
        <f ca="1">IF(J43&gt;1,($CD$4)*Inputs!$B$55*((Z43+AA43+AB43)/(SUM(ILP_B_Moderate!$C$9:$E$13))),0)</f>
        <v>0</v>
      </c>
      <c r="AZ43" s="46">
        <f t="shared" ca="1" si="41"/>
        <v>0</v>
      </c>
      <c r="BA43" s="41">
        <f t="shared" ca="1" si="42"/>
        <v>0</v>
      </c>
      <c r="BB43" s="41">
        <f t="shared" ca="1" si="43"/>
        <v>1</v>
      </c>
      <c r="BC43" s="41">
        <f t="shared" ca="1" si="44"/>
        <v>1</v>
      </c>
      <c r="BD43" s="41">
        <f t="shared" ca="1" si="45"/>
        <v>1</v>
      </c>
    </row>
    <row r="44" spans="1:56" ht="15" customHeight="1" x14ac:dyDescent="0.3">
      <c r="A44" s="41">
        <v>37</v>
      </c>
      <c r="B44" s="42">
        <f t="shared" ca="1" si="27"/>
        <v>0.30174499016412326</v>
      </c>
      <c r="C44" s="43">
        <f ca="1">IF(B44&lt;=Inputs!$C$40,Inputs!$D$40,IF(B44&lt;=Inputs!$C$41,Inputs!$D$41,Inputs!$D$42))</f>
        <v>1</v>
      </c>
      <c r="D44" s="42">
        <f t="shared" ca="1" si="25"/>
        <v>0.46476603671848404</v>
      </c>
      <c r="E44" s="42">
        <f t="shared" ca="1" si="25"/>
        <v>0.70912506574182288</v>
      </c>
      <c r="F44" s="42">
        <f t="shared" ca="1" si="25"/>
        <v>0.22485807167133742</v>
      </c>
      <c r="G44" s="42">
        <f t="shared" ca="1" si="25"/>
        <v>9.3698420013144101E-4</v>
      </c>
      <c r="H44" s="42">
        <f t="shared" ca="1" si="25"/>
        <v>0.60897722706940394</v>
      </c>
      <c r="I44" s="42">
        <f t="shared" ca="1" si="25"/>
        <v>0.11085482839556404</v>
      </c>
      <c r="J44" s="43">
        <f ca="1">IF(I44&lt;Inputs!$B$54,1+Inputs!$B$55,1)</f>
        <v>1</v>
      </c>
      <c r="K44" s="42">
        <f t="shared" ca="1" si="26"/>
        <v>0.9084664602569319</v>
      </c>
      <c r="L44" s="42">
        <f t="shared" ca="1" si="26"/>
        <v>0.86723835384576753</v>
      </c>
      <c r="M44" s="42">
        <f t="shared" ca="1" si="26"/>
        <v>0.8000393827126806</v>
      </c>
      <c r="N44" s="42">
        <f t="shared" ca="1" si="26"/>
        <v>0.47401472251382648</v>
      </c>
      <c r="O44" s="42">
        <f t="shared" ca="1" si="26"/>
        <v>0.18164149526924289</v>
      </c>
      <c r="P44" s="42">
        <f t="shared" ca="1" si="26"/>
        <v>0.90942364761017247</v>
      </c>
      <c r="Q44" s="42">
        <f t="shared" ca="1" si="26"/>
        <v>0.6118455455619457</v>
      </c>
      <c r="R44" s="42">
        <f t="shared" ca="1" si="26"/>
        <v>0.2624608506044902</v>
      </c>
      <c r="S44" s="42">
        <f t="shared" ca="1" si="26"/>
        <v>0.94139445337168404</v>
      </c>
      <c r="T44" s="42">
        <f t="shared" ca="1" si="26"/>
        <v>0.71337744952437254</v>
      </c>
      <c r="U44" s="44">
        <f ca="1">(IF(D44&gt;=Inputs!$E$12,1,IF(K44&lt;=Inputs!$C$46,Inputs!$D$46,IF(K44&lt;=Inputs!$C$47,Inputs!$D$47,Inputs!$D$48))))*((Inputs!$B$28+(P44-0.5)*2*Inputs!$B$53)/Inputs!$B$28)</f>
        <v>1.0041439640446375</v>
      </c>
      <c r="V44" s="44">
        <f ca="1">(IF(E44&gt;=Inputs!$E$13,1,IF(L44&lt;=Inputs!$C$46,Inputs!$D$46,IF(L44&lt;=Inputs!$C$47,Inputs!$D$47,Inputs!$D$48))))*((Inputs!$B$29+(Q44-0.5)*2*Inputs!$B$53)/Inputs!$B$29)</f>
        <v>1.0011274752576809</v>
      </c>
      <c r="W44" s="44">
        <f ca="1">(IF(F44&gt;=Inputs!$E$14,1,IF(M44&lt;=Inputs!$C$46,Inputs!$D$46,IF(M44&lt;=Inputs!$C$47,Inputs!$D$47,Inputs!$D$48))))*((Inputs!$B$30+(R44-0.5)*2*Inputs!$B$53)/Inputs!$B$30)</f>
        <v>0.99761267186537184</v>
      </c>
      <c r="X44" s="44">
        <f ca="1">(IF(G44&gt;=Inputs!$E$15,1,IF(N44&lt;=Inputs!$C$46,Inputs!$D$46,IF(N44&lt;=Inputs!$C$47,Inputs!$D$47,Inputs!$D$48))))*((Inputs!$B$31+(S44-0.5)*2*Inputs!$B$53)/Inputs!$B$31)</f>
        <v>0.30134434858894926</v>
      </c>
      <c r="Y44" s="44">
        <f ca="1">(IF(H44&gt;=Inputs!$E$16,1,IF(O44&lt;=Inputs!$C$46,Inputs!$D$46,IF(O44&lt;=Inputs!$C$47,Inputs!$D$47,Inputs!$D$48))))*((Inputs!$B$32+(T44-0.5)*2*Inputs!$B$53)/Inputs!$B$32)</f>
        <v>1.0021466544217743</v>
      </c>
      <c r="Z44" s="45">
        <f ca="1">ILP_B_Moderate!$C$9*U44+ILP_B_Moderate!$C$10*V44+ILP_B_Moderate!$C$11*W44+ILP_B_Moderate!$C$12*X44+ILP_B_Moderate!$C$13*Y44</f>
        <v>11737.714969119184</v>
      </c>
      <c r="AA44" s="45">
        <f ca="1">ILP_B_Moderate!$D$9*U44+ILP_B_Moderate!$D$10*V44+ILP_B_Moderate!$D$11*W44+ILP_B_Moderate!$D$12*X44+ILP_B_Moderate!$D$13*Y44</f>
        <v>13057.640879182347</v>
      </c>
      <c r="AB44" s="45">
        <f ca="1">ILP_B_Moderate!$E$9*U44+ILP_B_Moderate!$E$10*V44+ILP_B_Moderate!$E$11*W44+ILP_B_Moderate!$E$12*X44+ILP_B_Moderate!$E$13*Y44</f>
        <v>12035.179456021609</v>
      </c>
      <c r="AC44" s="45">
        <f ca="1">Inputs!$B$6*$C44</f>
        <v>18000</v>
      </c>
      <c r="AD44" s="45">
        <f ca="1">Inputs!$B$7*$C44</f>
        <v>15000</v>
      </c>
      <c r="AE44" s="45">
        <f ca="1">Inputs!$B$8*$C44</f>
        <v>12000</v>
      </c>
      <c r="AF44" s="45">
        <f t="shared" ca="1" si="28"/>
        <v>6262.2850308808156</v>
      </c>
      <c r="AG44" s="45">
        <f t="shared" ca="1" si="29"/>
        <v>1942.3591208176531</v>
      </c>
      <c r="AH44" s="45">
        <f t="shared" ca="1" si="30"/>
        <v>0</v>
      </c>
      <c r="AI44" s="45">
        <f t="shared" ca="1" si="31"/>
        <v>8204.6441516984687</v>
      </c>
      <c r="AJ44" s="45">
        <f ca="1">U44*(Inputs!$B$12-ILP_B_Moderate!$F$9)+V44*(Inputs!$B$13-ILP_B_Moderate!$F$10)+W44*(Inputs!$B$14-ILP_B_Moderate!$F$11)+X44*(Inputs!$B$15-ILP_B_Moderate!$F$12)+Y44*(Inputs!$B$16-ILP_B_Moderate!$F$13)</f>
        <v>24868.84950764243</v>
      </c>
      <c r="AK44" s="45">
        <f t="shared" ca="1" si="32"/>
        <v>8204.6441516984687</v>
      </c>
      <c r="AL44" s="45">
        <f t="shared" ca="1" si="33"/>
        <v>0</v>
      </c>
      <c r="AM44" s="45">
        <f t="shared" ca="1" si="34"/>
        <v>0</v>
      </c>
      <c r="AN44" s="45">
        <f t="shared" ca="1" si="35"/>
        <v>0</v>
      </c>
      <c r="AO44" s="45">
        <f ca="1">MIN(AL44,Inputs!$B$36)</f>
        <v>0</v>
      </c>
      <c r="AP44" s="45">
        <f ca="1">MIN(AN44,Inputs!$B$36-AO44)</f>
        <v>0</v>
      </c>
      <c r="AQ44" s="45">
        <f ca="1">MIN(AM44,Inputs!$B$36-AO44-AP44)</f>
        <v>0</v>
      </c>
      <c r="AR44" s="45">
        <f t="shared" ca="1" si="36"/>
        <v>0</v>
      </c>
      <c r="AS44" s="45">
        <f t="shared" ca="1" si="37"/>
        <v>0</v>
      </c>
      <c r="AT44" s="45">
        <f t="shared" ca="1" si="38"/>
        <v>0</v>
      </c>
      <c r="AU44" s="45">
        <f t="shared" ca="1" si="39"/>
        <v>0</v>
      </c>
      <c r="AV44" s="46">
        <f ca="1">AU44*Inputs!$B$35</f>
        <v>0</v>
      </c>
      <c r="AW44" s="46">
        <f ca="1">AR44*Inputs!$C$6+AT44*Inputs!$C$7+AS44*Inputs!$C$8</f>
        <v>0</v>
      </c>
      <c r="AX44" s="46">
        <f t="shared" ca="1" si="40"/>
        <v>39104350.405987434</v>
      </c>
      <c r="AY44" s="46">
        <f ca="1">IF(J44&gt;1,($CD$4)*Inputs!$B$55*((Z44+AA44+AB44)/(SUM(ILP_B_Moderate!$C$9:$E$13))),0)</f>
        <v>0</v>
      </c>
      <c r="AZ44" s="46">
        <f t="shared" ca="1" si="41"/>
        <v>0</v>
      </c>
      <c r="BA44" s="41">
        <f t="shared" ca="1" si="42"/>
        <v>0</v>
      </c>
      <c r="BB44" s="41">
        <f t="shared" ca="1" si="43"/>
        <v>1</v>
      </c>
      <c r="BC44" s="41">
        <f t="shared" ca="1" si="44"/>
        <v>1</v>
      </c>
      <c r="BD44" s="41">
        <f t="shared" ca="1" si="45"/>
        <v>1</v>
      </c>
    </row>
    <row r="45" spans="1:56" ht="15" customHeight="1" x14ac:dyDescent="0.3">
      <c r="A45" s="41">
        <v>38</v>
      </c>
      <c r="B45" s="42">
        <f t="shared" ca="1" si="27"/>
        <v>0.89558038363195791</v>
      </c>
      <c r="C45" s="43">
        <f ca="1">IF(B45&lt;=Inputs!$C$40,Inputs!$D$40,IF(B45&lt;=Inputs!$C$41,Inputs!$D$41,Inputs!$D$42))</f>
        <v>1.1499999999999999</v>
      </c>
      <c r="D45" s="42">
        <f t="shared" ca="1" si="25"/>
        <v>0.2930787205171802</v>
      </c>
      <c r="E45" s="42">
        <f t="shared" ca="1" si="25"/>
        <v>0.87018035152142115</v>
      </c>
      <c r="F45" s="42">
        <f t="shared" ca="1" si="25"/>
        <v>0.28342960759643032</v>
      </c>
      <c r="G45" s="42">
        <f t="shared" ca="1" si="25"/>
        <v>0.67500787808941809</v>
      </c>
      <c r="H45" s="42">
        <f t="shared" ca="1" si="25"/>
        <v>0.18978416127642528</v>
      </c>
      <c r="I45" s="42">
        <f t="shared" ca="1" si="25"/>
        <v>6.7222265367117284E-2</v>
      </c>
      <c r="J45" s="43">
        <f ca="1">IF(I45&lt;Inputs!$B$54,1+Inputs!$B$55,1)</f>
        <v>1.25</v>
      </c>
      <c r="K45" s="42">
        <f t="shared" ca="1" si="26"/>
        <v>0.32498265653120317</v>
      </c>
      <c r="L45" s="42">
        <f t="shared" ca="1" si="26"/>
        <v>0.12031414682904262</v>
      </c>
      <c r="M45" s="42">
        <f t="shared" ca="1" si="26"/>
        <v>0.85426277737254286</v>
      </c>
      <c r="N45" s="42">
        <f t="shared" ca="1" si="26"/>
        <v>0.36592962626867465</v>
      </c>
      <c r="O45" s="42">
        <f t="shared" ca="1" si="26"/>
        <v>0.233532035104283</v>
      </c>
      <c r="P45" s="42">
        <f t="shared" ca="1" si="26"/>
        <v>0.13083475375323861</v>
      </c>
      <c r="Q45" s="42">
        <f t="shared" ca="1" si="26"/>
        <v>0.40489780282272969</v>
      </c>
      <c r="R45" s="42">
        <f t="shared" ca="1" si="26"/>
        <v>0.93632840643933435</v>
      </c>
      <c r="S45" s="42">
        <f t="shared" ca="1" si="26"/>
        <v>0.29456980479023565</v>
      </c>
      <c r="T45" s="42">
        <f t="shared" ca="1" si="26"/>
        <v>0.47107314292699631</v>
      </c>
      <c r="U45" s="44">
        <f ca="1">(IF(D45&gt;=Inputs!$E$12,1,IF(K45&lt;=Inputs!$C$46,Inputs!$D$46,IF(K45&lt;=Inputs!$C$47,Inputs!$D$47,Inputs!$D$48))))*((Inputs!$B$28+(P45-0.5)*2*Inputs!$B$53)/Inputs!$B$28)</f>
        <v>0.99626350965337285</v>
      </c>
      <c r="V45" s="44">
        <f ca="1">(IF(E45&gt;=Inputs!$E$13,1,IF(L45&lt;=Inputs!$C$46,Inputs!$D$46,IF(L45&lt;=Inputs!$C$47,Inputs!$D$47,Inputs!$D$48))))*((Inputs!$B$29+(Q45-0.5)*2*Inputs!$B$53)/Inputs!$B$29)</f>
        <v>0.99904130849619688</v>
      </c>
      <c r="W45" s="44">
        <f ca="1">(IF(F45&gt;=Inputs!$E$14,1,IF(M45&lt;=Inputs!$C$46,Inputs!$D$46,IF(M45&lt;=Inputs!$C$47,Inputs!$D$47,Inputs!$D$48))))*((Inputs!$B$30+(R45-0.5)*2*Inputs!$B$53)/Inputs!$B$30)</f>
        <v>1.0043852101149682</v>
      </c>
      <c r="X45" s="44">
        <f ca="1">(IF(G45&gt;=Inputs!$E$15,1,IF(N45&lt;=Inputs!$C$46,Inputs!$D$46,IF(N45&lt;=Inputs!$C$47,Inputs!$D$47,Inputs!$D$48))))*((Inputs!$B$31+(S45-0.5)*2*Inputs!$B$53)/Inputs!$B$31)</f>
        <v>0.99791441426182981</v>
      </c>
      <c r="Y45" s="44">
        <f ca="1">(IF(H45&gt;=Inputs!$E$16,1,IF(O45&lt;=Inputs!$C$46,Inputs!$D$46,IF(O45&lt;=Inputs!$C$47,Inputs!$D$47,Inputs!$D$48))))*((Inputs!$B$32+(T45-0.5)*2*Inputs!$B$53)/Inputs!$B$32)</f>
        <v>0.9997089853413178</v>
      </c>
      <c r="Z45" s="45">
        <f ca="1">ILP_B_Moderate!$C$9*U45+ILP_B_Moderate!$C$10*V45+ILP_B_Moderate!$C$11*W45+ILP_B_Moderate!$C$12*X45+ILP_B_Moderate!$C$13*Y45</f>
        <v>17958.35695235624</v>
      </c>
      <c r="AA45" s="45">
        <f ca="1">ILP_B_Moderate!$D$9*U45+ILP_B_Moderate!$D$10*V45+ILP_B_Moderate!$D$11*W45+ILP_B_Moderate!$D$12*X45+ILP_B_Moderate!$D$13*Y45</f>
        <v>14969.441687117622</v>
      </c>
      <c r="AB45" s="45">
        <f ca="1">ILP_B_Moderate!$E$9*U45+ILP_B_Moderate!$E$10*V45+ILP_B_Moderate!$E$11*W45+ILP_B_Moderate!$E$12*X45+ILP_B_Moderate!$E$13*Y45</f>
        <v>11974.155095025821</v>
      </c>
      <c r="AC45" s="45">
        <f ca="1">Inputs!$B$6*$C45</f>
        <v>20700</v>
      </c>
      <c r="AD45" s="45">
        <f ca="1">Inputs!$B$7*$C45</f>
        <v>17250</v>
      </c>
      <c r="AE45" s="45">
        <f ca="1">Inputs!$B$8*$C45</f>
        <v>13799.999999999998</v>
      </c>
      <c r="AF45" s="45">
        <f t="shared" ca="1" si="28"/>
        <v>2741.6430476437599</v>
      </c>
      <c r="AG45" s="45">
        <f t="shared" ca="1" si="29"/>
        <v>2280.5583128823782</v>
      </c>
      <c r="AH45" s="45">
        <f t="shared" ca="1" si="30"/>
        <v>1825.8449049741776</v>
      </c>
      <c r="AI45" s="45">
        <f t="shared" ca="1" si="31"/>
        <v>6848.0462655003157</v>
      </c>
      <c r="AJ45" s="45">
        <f ca="1">U45*(Inputs!$B$12-ILP_B_Moderate!$F$9)+V45*(Inputs!$B$13-ILP_B_Moderate!$F$10)+W45*(Inputs!$B$14-ILP_B_Moderate!$F$11)+X45*(Inputs!$B$15-ILP_B_Moderate!$F$12)+Y45*(Inputs!$B$16-ILP_B_Moderate!$F$13)</f>
        <v>25052.456221657354</v>
      </c>
      <c r="AK45" s="45">
        <f t="shared" ca="1" si="32"/>
        <v>6848.0462655003157</v>
      </c>
      <c r="AL45" s="45">
        <f t="shared" ca="1" si="33"/>
        <v>0</v>
      </c>
      <c r="AM45" s="45">
        <f t="shared" ca="1" si="34"/>
        <v>0</v>
      </c>
      <c r="AN45" s="45">
        <f t="shared" ca="1" si="35"/>
        <v>0</v>
      </c>
      <c r="AO45" s="45">
        <f ca="1">MIN(AL45,Inputs!$B$36)</f>
        <v>0</v>
      </c>
      <c r="AP45" s="45">
        <f ca="1">MIN(AN45,Inputs!$B$36-AO45)</f>
        <v>0</v>
      </c>
      <c r="AQ45" s="45">
        <f ca="1">MIN(AM45,Inputs!$B$36-AO45-AP45)</f>
        <v>0</v>
      </c>
      <c r="AR45" s="45">
        <f t="shared" ca="1" si="36"/>
        <v>0</v>
      </c>
      <c r="AS45" s="45">
        <f t="shared" ca="1" si="37"/>
        <v>0</v>
      </c>
      <c r="AT45" s="45">
        <f t="shared" ca="1" si="38"/>
        <v>0</v>
      </c>
      <c r="AU45" s="45">
        <f t="shared" ca="1" si="39"/>
        <v>0</v>
      </c>
      <c r="AV45" s="46">
        <f ca="1">AU45*Inputs!$B$35</f>
        <v>0</v>
      </c>
      <c r="AW45" s="46">
        <f ca="1">AR45*Inputs!$C$6+AT45*Inputs!$C$7+AS45*Inputs!$C$8</f>
        <v>0</v>
      </c>
      <c r="AX45" s="46">
        <f t="shared" ca="1" si="40"/>
        <v>47465189.631949134</v>
      </c>
      <c r="AY45" s="46">
        <f ca="1">IF(J45&gt;1,($CD$4)*Inputs!$B$55*((Z45+AA45+AB45)/(SUM(ILP_B_Moderate!$C$9:$E$13))),0)</f>
        <v>569466.5336848069</v>
      </c>
      <c r="AZ45" s="46">
        <f t="shared" ca="1" si="41"/>
        <v>0</v>
      </c>
      <c r="BA45" s="41">
        <f t="shared" ca="1" si="42"/>
        <v>0</v>
      </c>
      <c r="BB45" s="41">
        <f t="shared" ca="1" si="43"/>
        <v>1</v>
      </c>
      <c r="BC45" s="41">
        <f t="shared" ca="1" si="44"/>
        <v>1</v>
      </c>
      <c r="BD45" s="41">
        <f t="shared" ca="1" si="45"/>
        <v>1</v>
      </c>
    </row>
    <row r="46" spans="1:56" ht="15" customHeight="1" x14ac:dyDescent="0.3">
      <c r="A46" s="41">
        <v>39</v>
      </c>
      <c r="B46" s="42">
        <f t="shared" ca="1" si="27"/>
        <v>0.42144263546979555</v>
      </c>
      <c r="C46" s="43">
        <f ca="1">IF(B46&lt;=Inputs!$C$40,Inputs!$D$40,IF(B46&lt;=Inputs!$C$41,Inputs!$D$41,Inputs!$D$42))</f>
        <v>1</v>
      </c>
      <c r="D46" s="42">
        <f t="shared" ca="1" si="25"/>
        <v>0.71881542272353383</v>
      </c>
      <c r="E46" s="42">
        <f t="shared" ca="1" si="25"/>
        <v>0.13201515152399268</v>
      </c>
      <c r="F46" s="42">
        <f t="shared" ca="1" si="25"/>
        <v>0.40497118432739421</v>
      </c>
      <c r="G46" s="42">
        <f t="shared" ca="1" si="25"/>
        <v>0.81427226215008164</v>
      </c>
      <c r="H46" s="42">
        <f t="shared" ca="1" si="25"/>
        <v>0.42230612469009099</v>
      </c>
      <c r="I46" s="42">
        <f t="shared" ca="1" si="25"/>
        <v>0.65627414161659803</v>
      </c>
      <c r="J46" s="43">
        <f ca="1">IF(I46&lt;Inputs!$B$54,1+Inputs!$B$55,1)</f>
        <v>1</v>
      </c>
      <c r="K46" s="42">
        <f t="shared" ca="1" si="26"/>
        <v>8.9730683118334875E-2</v>
      </c>
      <c r="L46" s="42">
        <f t="shared" ca="1" si="26"/>
        <v>0.99255969498406482</v>
      </c>
      <c r="M46" s="42">
        <f t="shared" ca="1" si="26"/>
        <v>0.81467346173149835</v>
      </c>
      <c r="N46" s="42">
        <f t="shared" ca="1" si="26"/>
        <v>0.42938840617477703</v>
      </c>
      <c r="O46" s="42">
        <f t="shared" ca="1" si="26"/>
        <v>0.48842519874314683</v>
      </c>
      <c r="P46" s="42">
        <f t="shared" ca="1" si="26"/>
        <v>7.6979564278923829E-2</v>
      </c>
      <c r="Q46" s="42">
        <f t="shared" ca="1" si="26"/>
        <v>0.32122586730458691</v>
      </c>
      <c r="R46" s="42">
        <f t="shared" ca="1" si="26"/>
        <v>0.68431224595306361</v>
      </c>
      <c r="S46" s="42">
        <f t="shared" ca="1" si="26"/>
        <v>0.53865104067315783</v>
      </c>
      <c r="T46" s="42">
        <f t="shared" ca="1" si="26"/>
        <v>9.2955798887183083E-2</v>
      </c>
      <c r="U46" s="44">
        <f ca="1">(IF(D46&gt;=Inputs!$E$12,1,IF(K46&lt;=Inputs!$C$46,Inputs!$D$46,IF(K46&lt;=Inputs!$C$47,Inputs!$D$47,Inputs!$D$48))))*((Inputs!$B$28+(P46-0.5)*2*Inputs!$B$53)/Inputs!$B$28)</f>
        <v>0.99571841664249916</v>
      </c>
      <c r="V46" s="44">
        <f ca="1">(IF(E46&gt;=Inputs!$E$13,1,IF(L46&lt;=Inputs!$C$46,Inputs!$D$46,IF(L46&lt;=Inputs!$C$47,Inputs!$D$47,Inputs!$D$48))))*((Inputs!$B$29+(Q46-0.5)*2*Inputs!$B$53)/Inputs!$B$29)</f>
        <v>0.99819784140428014</v>
      </c>
      <c r="W46" s="44">
        <f ca="1">(IF(F46&gt;=Inputs!$E$14,1,IF(M46&lt;=Inputs!$C$46,Inputs!$D$46,IF(M46&lt;=Inputs!$C$47,Inputs!$D$47,Inputs!$D$48))))*((Inputs!$B$30+(R46-0.5)*2*Inputs!$B$53)/Inputs!$B$30)</f>
        <v>1.0018523843814378</v>
      </c>
      <c r="X46" s="44">
        <f ca="1">(IF(G46&gt;=Inputs!$E$15,1,IF(N46&lt;=Inputs!$C$46,Inputs!$D$46,IF(N46&lt;=Inputs!$C$47,Inputs!$D$47,Inputs!$D$48))))*((Inputs!$B$31+(S46-0.5)*2*Inputs!$B$53)/Inputs!$B$31)</f>
        <v>1.0003923963520118</v>
      </c>
      <c r="Y46" s="44">
        <f ca="1">(IF(H46&gt;=Inputs!$E$16,1,IF(O46&lt;=Inputs!$C$46,Inputs!$D$46,IF(O46&lt;=Inputs!$C$47,Inputs!$D$47,Inputs!$D$48))))*((Inputs!$B$32+(T46-0.5)*2*Inputs!$B$53)/Inputs!$B$32)</f>
        <v>0.99590498791637005</v>
      </c>
      <c r="Z46" s="45">
        <f ca="1">ILP_B_Moderate!$C$9*U46+ILP_B_Moderate!$C$10*V46+ILP_B_Moderate!$C$11*W46+ILP_B_Moderate!$C$12*X46+ILP_B_Moderate!$C$13*Y46</f>
        <v>17974.597649628213</v>
      </c>
      <c r="AA46" s="45">
        <f ca="1">ILP_B_Moderate!$D$9*U46+ILP_B_Moderate!$D$10*V46+ILP_B_Moderate!$D$11*W46+ILP_B_Moderate!$D$12*X46+ILP_B_Moderate!$D$13*Y46</f>
        <v>14967.552558131671</v>
      </c>
      <c r="AB46" s="45">
        <f ca="1">ILP_B_Moderate!$E$9*U46+ILP_B_Moderate!$E$10*V46+ILP_B_Moderate!$E$11*W46+ILP_B_Moderate!$E$12*X46+ILP_B_Moderate!$E$13*Y46</f>
        <v>11955.509246728798</v>
      </c>
      <c r="AC46" s="45">
        <f ca="1">Inputs!$B$6*$C46</f>
        <v>18000</v>
      </c>
      <c r="AD46" s="45">
        <f ca="1">Inputs!$B$7*$C46</f>
        <v>15000</v>
      </c>
      <c r="AE46" s="45">
        <f ca="1">Inputs!$B$8*$C46</f>
        <v>12000</v>
      </c>
      <c r="AF46" s="45">
        <f t="shared" ca="1" si="28"/>
        <v>25.402350371787179</v>
      </c>
      <c r="AG46" s="45">
        <f t="shared" ca="1" si="29"/>
        <v>32.447441868329406</v>
      </c>
      <c r="AH46" s="45">
        <f t="shared" ca="1" si="30"/>
        <v>44.490753271202266</v>
      </c>
      <c r="AI46" s="45">
        <f t="shared" ca="1" si="31"/>
        <v>102.34054551131885</v>
      </c>
      <c r="AJ46" s="45">
        <f ca="1">U46*(Inputs!$B$12-ILP_B_Moderate!$F$9)+V46*(Inputs!$B$13-ILP_B_Moderate!$F$10)+W46*(Inputs!$B$14-ILP_B_Moderate!$F$11)+X46*(Inputs!$B$15-ILP_B_Moderate!$F$12)+Y46*(Inputs!$B$16-ILP_B_Moderate!$F$13)</f>
        <v>24975.969563379611</v>
      </c>
      <c r="AK46" s="45">
        <f t="shared" ca="1" si="32"/>
        <v>102.34054551131885</v>
      </c>
      <c r="AL46" s="45">
        <f t="shared" ca="1" si="33"/>
        <v>0</v>
      </c>
      <c r="AM46" s="45">
        <f t="shared" ca="1" si="34"/>
        <v>0</v>
      </c>
      <c r="AN46" s="45">
        <f t="shared" ca="1" si="35"/>
        <v>0</v>
      </c>
      <c r="AO46" s="45">
        <f ca="1">MIN(AL46,Inputs!$B$36)</f>
        <v>0</v>
      </c>
      <c r="AP46" s="45">
        <f ca="1">MIN(AN46,Inputs!$B$36-AO46)</f>
        <v>0</v>
      </c>
      <c r="AQ46" s="45">
        <f ca="1">MIN(AM46,Inputs!$B$36-AO46-AP46)</f>
        <v>0</v>
      </c>
      <c r="AR46" s="45">
        <f t="shared" ca="1" si="36"/>
        <v>0</v>
      </c>
      <c r="AS46" s="45">
        <f t="shared" ca="1" si="37"/>
        <v>0</v>
      </c>
      <c r="AT46" s="45">
        <f t="shared" ca="1" si="38"/>
        <v>0</v>
      </c>
      <c r="AU46" s="45">
        <f t="shared" ca="1" si="39"/>
        <v>0</v>
      </c>
      <c r="AV46" s="46">
        <f ca="1">AU46*Inputs!$B$35</f>
        <v>0</v>
      </c>
      <c r="AW46" s="46">
        <f ca="1">AR46*Inputs!$C$6+AT46*Inputs!$C$7+AS46*Inputs!$C$8</f>
        <v>0</v>
      </c>
      <c r="AX46" s="46">
        <f t="shared" ca="1" si="40"/>
        <v>47459412.551801465</v>
      </c>
      <c r="AY46" s="46">
        <f ca="1">IF(J46&gt;1,($CD$4)*Inputs!$B$55*((Z46+AA46+AB46)/(SUM(ILP_B_Moderate!$C$9:$E$13))),0)</f>
        <v>0</v>
      </c>
      <c r="AZ46" s="46">
        <f t="shared" ca="1" si="41"/>
        <v>0</v>
      </c>
      <c r="BA46" s="41">
        <f t="shared" ca="1" si="42"/>
        <v>0</v>
      </c>
      <c r="BB46" s="41">
        <f t="shared" ca="1" si="43"/>
        <v>1</v>
      </c>
      <c r="BC46" s="41">
        <f t="shared" ca="1" si="44"/>
        <v>1</v>
      </c>
      <c r="BD46" s="41">
        <f t="shared" ca="1" si="45"/>
        <v>1</v>
      </c>
    </row>
    <row r="47" spans="1:56" ht="15" customHeight="1" x14ac:dyDescent="0.3">
      <c r="A47" s="41">
        <v>40</v>
      </c>
      <c r="B47" s="42">
        <f t="shared" ca="1" si="27"/>
        <v>0.56068223684273377</v>
      </c>
      <c r="C47" s="43">
        <f ca="1">IF(B47&lt;=Inputs!$C$40,Inputs!$D$40,IF(B47&lt;=Inputs!$C$41,Inputs!$D$41,Inputs!$D$42))</f>
        <v>1</v>
      </c>
      <c r="D47" s="42">
        <f t="shared" ca="1" si="25"/>
        <v>0.80661072487851049</v>
      </c>
      <c r="E47" s="42">
        <f t="shared" ca="1" si="25"/>
        <v>0.64250522532688481</v>
      </c>
      <c r="F47" s="42">
        <f t="shared" ca="1" si="25"/>
        <v>0.71173830816711348</v>
      </c>
      <c r="G47" s="42">
        <f t="shared" ca="1" si="25"/>
        <v>0.88661352355776046</v>
      </c>
      <c r="H47" s="42">
        <f t="shared" ca="1" si="25"/>
        <v>0.18617774226630612</v>
      </c>
      <c r="I47" s="42">
        <f t="shared" ca="1" si="25"/>
        <v>0.82150467802553484</v>
      </c>
      <c r="J47" s="43">
        <f ca="1">IF(I47&lt;Inputs!$B$54,1+Inputs!$B$55,1)</f>
        <v>1</v>
      </c>
      <c r="K47" s="42">
        <f t="shared" ca="1" si="26"/>
        <v>0.17591366984985046</v>
      </c>
      <c r="L47" s="42">
        <f t="shared" ca="1" si="26"/>
        <v>0.68465786724630451</v>
      </c>
      <c r="M47" s="42">
        <f t="shared" ca="1" si="26"/>
        <v>0.11734221680701384</v>
      </c>
      <c r="N47" s="42">
        <f t="shared" ca="1" si="26"/>
        <v>0.19265022623069461</v>
      </c>
      <c r="O47" s="42">
        <f t="shared" ca="1" si="26"/>
        <v>1.9395779643681998E-2</v>
      </c>
      <c r="P47" s="42">
        <f t="shared" ca="1" si="26"/>
        <v>2.5739447947290883E-2</v>
      </c>
      <c r="Q47" s="42">
        <f t="shared" ca="1" si="26"/>
        <v>0.95212291210953326</v>
      </c>
      <c r="R47" s="42">
        <f t="shared" ca="1" si="26"/>
        <v>0.95335479394738698</v>
      </c>
      <c r="S47" s="42">
        <f t="shared" ca="1" si="26"/>
        <v>0.3171194854583621</v>
      </c>
      <c r="T47" s="42">
        <f t="shared" ca="1" si="26"/>
        <v>0.42397720566289898</v>
      </c>
      <c r="U47" s="44">
        <f ca="1">(IF(D47&gt;=Inputs!$E$12,1,IF(K47&lt;=Inputs!$C$46,Inputs!$D$46,IF(K47&lt;=Inputs!$C$47,Inputs!$D$47,Inputs!$D$48))))*((Inputs!$B$28+(P47-0.5)*2*Inputs!$B$53)/Inputs!$B$28)</f>
        <v>0.99519979198327224</v>
      </c>
      <c r="V47" s="44">
        <f ca="1">(IF(E47&gt;=Inputs!$E$13,1,IF(L47&lt;=Inputs!$C$46,Inputs!$D$46,IF(L47&lt;=Inputs!$C$47,Inputs!$D$47,Inputs!$D$48))))*((Inputs!$B$29+(Q47-0.5)*2*Inputs!$B$53)/Inputs!$B$29)</f>
        <v>1.0045576906462654</v>
      </c>
      <c r="W47" s="44">
        <f ca="1">(IF(F47&gt;=Inputs!$E$14,1,IF(M47&lt;=Inputs!$C$46,Inputs!$D$46,IF(M47&lt;=Inputs!$C$47,Inputs!$D$47,Inputs!$D$48))))*((Inputs!$B$30+(R47-0.5)*2*Inputs!$B$53)/Inputs!$B$30)</f>
        <v>1.0045563295874109</v>
      </c>
      <c r="X47" s="44">
        <f ca="1">(IF(G47&gt;=Inputs!$E$15,1,IF(N47&lt;=Inputs!$C$46,Inputs!$D$46,IF(N47&lt;=Inputs!$C$47,Inputs!$D$47,Inputs!$D$48))))*((Inputs!$B$31+(S47-0.5)*2*Inputs!$B$53)/Inputs!$B$31)</f>
        <v>0.9981433450300341</v>
      </c>
      <c r="Y47" s="44">
        <f ca="1">(IF(H47&gt;=Inputs!$E$16,1,IF(O47&lt;=Inputs!$C$46,Inputs!$D$46,IF(O47&lt;=Inputs!$C$47,Inputs!$D$47,Inputs!$D$48))))*((Inputs!$B$32+(T47-0.5)*2*Inputs!$B$53)/Inputs!$B$32)</f>
        <v>0.99923518315556237</v>
      </c>
      <c r="Z47" s="45">
        <f ca="1">ILP_B_Moderate!$C$9*U47+ILP_B_Moderate!$C$10*V47+ILP_B_Moderate!$C$11*W47+ILP_B_Moderate!$C$12*X47+ILP_B_Moderate!$C$13*Y47</f>
        <v>17976.322016742866</v>
      </c>
      <c r="AA47" s="45">
        <f ca="1">ILP_B_Moderate!$D$9*U47+ILP_B_Moderate!$D$10*V47+ILP_B_Moderate!$D$11*W47+ILP_B_Moderate!$D$12*X47+ILP_B_Moderate!$D$13*Y47</f>
        <v>15006.481939313402</v>
      </c>
      <c r="AB47" s="45">
        <f ca="1">ILP_B_Moderate!$E$9*U47+ILP_B_Moderate!$E$10*V47+ILP_B_Moderate!$E$11*W47+ILP_B_Moderate!$E$12*X47+ILP_B_Moderate!$E$13*Y47</f>
        <v>11980.001279679616</v>
      </c>
      <c r="AC47" s="45">
        <f ca="1">Inputs!$B$6*$C47</f>
        <v>18000</v>
      </c>
      <c r="AD47" s="45">
        <f ca="1">Inputs!$B$7*$C47</f>
        <v>15000</v>
      </c>
      <c r="AE47" s="45">
        <f ca="1">Inputs!$B$8*$C47</f>
        <v>12000</v>
      </c>
      <c r="AF47" s="45">
        <f t="shared" ca="1" si="28"/>
        <v>23.677983257133747</v>
      </c>
      <c r="AG47" s="45">
        <f t="shared" ca="1" si="29"/>
        <v>0</v>
      </c>
      <c r="AH47" s="45">
        <f t="shared" ca="1" si="30"/>
        <v>19.998720320383654</v>
      </c>
      <c r="AI47" s="45">
        <f t="shared" ca="1" si="31"/>
        <v>43.676703577517401</v>
      </c>
      <c r="AJ47" s="45">
        <f ca="1">U47*(Inputs!$B$12-ILP_B_Moderate!$F$9)+V47*(Inputs!$B$13-ILP_B_Moderate!$F$10)+W47*(Inputs!$B$14-ILP_B_Moderate!$F$11)+X47*(Inputs!$B$15-ILP_B_Moderate!$F$12)+Y47*(Inputs!$B$16-ILP_B_Moderate!$F$13)</f>
        <v>25049.679277374373</v>
      </c>
      <c r="AK47" s="45">
        <f t="shared" ca="1" si="32"/>
        <v>43.676703577517401</v>
      </c>
      <c r="AL47" s="45">
        <f t="shared" ca="1" si="33"/>
        <v>0</v>
      </c>
      <c r="AM47" s="45">
        <f t="shared" ca="1" si="34"/>
        <v>0</v>
      </c>
      <c r="AN47" s="45">
        <f t="shared" ca="1" si="35"/>
        <v>0</v>
      </c>
      <c r="AO47" s="45">
        <f ca="1">MIN(AL47,Inputs!$B$36)</f>
        <v>0</v>
      </c>
      <c r="AP47" s="45">
        <f ca="1">MIN(AN47,Inputs!$B$36-AO47)</f>
        <v>0</v>
      </c>
      <c r="AQ47" s="45">
        <f ca="1">MIN(AM47,Inputs!$B$36-AO47-AP47)</f>
        <v>0</v>
      </c>
      <c r="AR47" s="45">
        <f t="shared" ca="1" si="36"/>
        <v>0</v>
      </c>
      <c r="AS47" s="45">
        <f t="shared" ca="1" si="37"/>
        <v>0</v>
      </c>
      <c r="AT47" s="45">
        <f t="shared" ca="1" si="38"/>
        <v>0</v>
      </c>
      <c r="AU47" s="45">
        <f t="shared" ca="1" si="39"/>
        <v>0</v>
      </c>
      <c r="AV47" s="46">
        <f ca="1">AU47*Inputs!$B$35</f>
        <v>0</v>
      </c>
      <c r="AW47" s="46">
        <f ca="1">AR47*Inputs!$C$6+AT47*Inputs!$C$7+AS47*Inputs!$C$8</f>
        <v>0</v>
      </c>
      <c r="AX47" s="46">
        <f t="shared" ca="1" si="40"/>
        <v>47529130.066242799</v>
      </c>
      <c r="AY47" s="46">
        <f ca="1">IF(J47&gt;1,($CD$4)*Inputs!$B$55*((Z47+AA47+AB47)/(SUM(ILP_B_Moderate!$C$9:$E$13))),0)</f>
        <v>0</v>
      </c>
      <c r="AZ47" s="46">
        <f t="shared" ca="1" si="41"/>
        <v>0</v>
      </c>
      <c r="BA47" s="41">
        <f t="shared" ca="1" si="42"/>
        <v>0</v>
      </c>
      <c r="BB47" s="41">
        <f t="shared" ca="1" si="43"/>
        <v>1</v>
      </c>
      <c r="BC47" s="41">
        <f t="shared" ca="1" si="44"/>
        <v>1</v>
      </c>
      <c r="BD47" s="41">
        <f t="shared" ca="1" si="45"/>
        <v>1</v>
      </c>
    </row>
    <row r="48" spans="1:56" ht="15" customHeight="1" x14ac:dyDescent="0.3">
      <c r="A48" s="41">
        <v>41</v>
      </c>
      <c r="B48" s="42">
        <f t="shared" ca="1" si="27"/>
        <v>0.94316234680415911</v>
      </c>
      <c r="C48" s="43">
        <f ca="1">IF(B48&lt;=Inputs!$C$40,Inputs!$D$40,IF(B48&lt;=Inputs!$C$41,Inputs!$D$41,Inputs!$D$42))</f>
        <v>1.1499999999999999</v>
      </c>
      <c r="D48" s="42">
        <f t="shared" ref="D48:I57" ca="1" si="46">RAND()</f>
        <v>5.5295396788707651E-2</v>
      </c>
      <c r="E48" s="42">
        <f t="shared" ca="1" si="46"/>
        <v>0.95361930919201487</v>
      </c>
      <c r="F48" s="42">
        <f t="shared" ca="1" si="46"/>
        <v>7.9491351471442373E-2</v>
      </c>
      <c r="G48" s="42">
        <f t="shared" ca="1" si="46"/>
        <v>0.75469557346482263</v>
      </c>
      <c r="H48" s="42">
        <f t="shared" ca="1" si="46"/>
        <v>0.22467868029257176</v>
      </c>
      <c r="I48" s="42">
        <f t="shared" ca="1" si="46"/>
        <v>0.89640545789646298</v>
      </c>
      <c r="J48" s="43">
        <f ca="1">IF(I48&lt;Inputs!$B$54,1+Inputs!$B$55,1)</f>
        <v>1</v>
      </c>
      <c r="K48" s="42">
        <f t="shared" ref="K48:T57" ca="1" si="47">RAND()</f>
        <v>3.7246582593041255E-2</v>
      </c>
      <c r="L48" s="42">
        <f t="shared" ca="1" si="47"/>
        <v>0.45543819186930123</v>
      </c>
      <c r="M48" s="42">
        <f t="shared" ca="1" si="47"/>
        <v>7.8094728130638114E-2</v>
      </c>
      <c r="N48" s="42">
        <f t="shared" ca="1" si="47"/>
        <v>0.91015488197848138</v>
      </c>
      <c r="O48" s="42">
        <f t="shared" ca="1" si="47"/>
        <v>0.87414879031945458</v>
      </c>
      <c r="P48" s="42">
        <f t="shared" ca="1" si="47"/>
        <v>0.5465955191624432</v>
      </c>
      <c r="Q48" s="42">
        <f t="shared" ca="1" si="47"/>
        <v>0.65886596747637927</v>
      </c>
      <c r="R48" s="42">
        <f t="shared" ca="1" si="47"/>
        <v>0.78928369637421314</v>
      </c>
      <c r="S48" s="42">
        <f t="shared" ca="1" si="47"/>
        <v>0.3029436410350923</v>
      </c>
      <c r="T48" s="42">
        <f t="shared" ca="1" si="47"/>
        <v>5.1908601053774817E-2</v>
      </c>
      <c r="U48" s="44">
        <f ca="1">(IF(D48&gt;=Inputs!$E$12,1,IF(K48&lt;=Inputs!$C$46,Inputs!$D$46,IF(K48&lt;=Inputs!$C$47,Inputs!$D$47,Inputs!$D$48))))*((Inputs!$B$28+(P48-0.5)*2*Inputs!$B$53)/Inputs!$B$28)</f>
        <v>0.60028296873985287</v>
      </c>
      <c r="V48" s="44">
        <f ca="1">(IF(E48&gt;=Inputs!$E$13,1,IF(L48&lt;=Inputs!$C$46,Inputs!$D$46,IF(L48&lt;=Inputs!$C$47,Inputs!$D$47,Inputs!$D$48))))*((Inputs!$B$29+(Q48-0.5)*2*Inputs!$B$53)/Inputs!$B$29)</f>
        <v>1.0016014714463346</v>
      </c>
      <c r="W48" s="44">
        <f ca="1">(IF(F48&gt;=Inputs!$E$14,1,IF(M48&lt;=Inputs!$C$46,Inputs!$D$46,IF(M48&lt;=Inputs!$C$47,Inputs!$D$47,Inputs!$D$48))))*((Inputs!$B$30+(R48-0.5)*2*Inputs!$B$53)/Inputs!$B$30)</f>
        <v>1.0029073738329066</v>
      </c>
      <c r="X48" s="44">
        <f ca="1">(IF(G48&gt;=Inputs!$E$15,1,IF(N48&lt;=Inputs!$C$46,Inputs!$D$46,IF(N48&lt;=Inputs!$C$47,Inputs!$D$47,Inputs!$D$48))))*((Inputs!$B$31+(S48-0.5)*2*Inputs!$B$53)/Inputs!$B$31)</f>
        <v>0.9979994278277674</v>
      </c>
      <c r="Y48" s="44">
        <f ca="1">(IF(H48&gt;=Inputs!$E$16,1,IF(O48&lt;=Inputs!$C$46,Inputs!$D$46,IF(O48&lt;=Inputs!$C$47,Inputs!$D$47,Inputs!$D$48))))*((Inputs!$B$32+(T48-0.5)*2*Inputs!$B$53)/Inputs!$B$32)</f>
        <v>0.99549203823997756</v>
      </c>
      <c r="Z48" s="45">
        <f ca="1">ILP_B_Moderate!$C$9*U48+ILP_B_Moderate!$C$10*V48+ILP_B_Moderate!$C$11*W48+ILP_B_Moderate!$C$12*X48+ILP_B_Moderate!$C$13*Y48</f>
        <v>15938.446811588079</v>
      </c>
      <c r="AA48" s="45">
        <f ca="1">ILP_B_Moderate!$D$9*U48+ILP_B_Moderate!$D$10*V48+ILP_B_Moderate!$D$11*W48+ILP_B_Moderate!$D$12*X48+ILP_B_Moderate!$D$13*Y48</f>
        <v>13135.693716024325</v>
      </c>
      <c r="AB48" s="45">
        <f ca="1">ILP_B_Moderate!$E$9*U48+ILP_B_Moderate!$E$10*V48+ILP_B_Moderate!$E$11*W48+ILP_B_Moderate!$E$12*X48+ILP_B_Moderate!$E$13*Y48</f>
        <v>9590.0213758261762</v>
      </c>
      <c r="AC48" s="45">
        <f ca="1">Inputs!$B$6*$C48</f>
        <v>20700</v>
      </c>
      <c r="AD48" s="45">
        <f ca="1">Inputs!$B$7*$C48</f>
        <v>17250</v>
      </c>
      <c r="AE48" s="45">
        <f ca="1">Inputs!$B$8*$C48</f>
        <v>13799.999999999998</v>
      </c>
      <c r="AF48" s="45">
        <f t="shared" ca="1" si="28"/>
        <v>4761.5531884119209</v>
      </c>
      <c r="AG48" s="45">
        <f t="shared" ca="1" si="29"/>
        <v>4114.3062839756749</v>
      </c>
      <c r="AH48" s="45">
        <f t="shared" ca="1" si="30"/>
        <v>4209.978624173822</v>
      </c>
      <c r="AI48" s="45">
        <f t="shared" ca="1" si="31"/>
        <v>13085.838096561418</v>
      </c>
      <c r="AJ48" s="45">
        <f ca="1">U48*(Inputs!$B$12-ILP_B_Moderate!$F$9)+V48*(Inputs!$B$13-ILP_B_Moderate!$F$10)+W48*(Inputs!$B$14-ILP_B_Moderate!$F$11)+X48*(Inputs!$B$15-ILP_B_Moderate!$F$12)+Y48*(Inputs!$B$16-ILP_B_Moderate!$F$13)</f>
        <v>24908.955764008406</v>
      </c>
      <c r="AK48" s="45">
        <f t="shared" ca="1" si="32"/>
        <v>13085.838096561418</v>
      </c>
      <c r="AL48" s="45">
        <f t="shared" ca="1" si="33"/>
        <v>0</v>
      </c>
      <c r="AM48" s="45">
        <f t="shared" ca="1" si="34"/>
        <v>0</v>
      </c>
      <c r="AN48" s="45">
        <f t="shared" ca="1" si="35"/>
        <v>0</v>
      </c>
      <c r="AO48" s="45">
        <f ca="1">MIN(AL48,Inputs!$B$36)</f>
        <v>0</v>
      </c>
      <c r="AP48" s="45">
        <f ca="1">MIN(AN48,Inputs!$B$36-AO48)</f>
        <v>0</v>
      </c>
      <c r="AQ48" s="45">
        <f ca="1">MIN(AM48,Inputs!$B$36-AO48-AP48)</f>
        <v>0</v>
      </c>
      <c r="AR48" s="45">
        <f t="shared" ca="1" si="36"/>
        <v>0</v>
      </c>
      <c r="AS48" s="45">
        <f t="shared" ca="1" si="37"/>
        <v>0</v>
      </c>
      <c r="AT48" s="45">
        <f t="shared" ca="1" si="38"/>
        <v>0</v>
      </c>
      <c r="AU48" s="45">
        <f t="shared" ca="1" si="39"/>
        <v>0</v>
      </c>
      <c r="AV48" s="46">
        <f ca="1">AU48*Inputs!$B$35</f>
        <v>0</v>
      </c>
      <c r="AW48" s="46">
        <f ca="1">AR48*Inputs!$C$6+AT48*Inputs!$C$7+AS48*Inputs!$C$8</f>
        <v>0</v>
      </c>
      <c r="AX48" s="46">
        <f t="shared" ca="1" si="40"/>
        <v>40825776.4868965</v>
      </c>
      <c r="AY48" s="46">
        <f ca="1">IF(J48&gt;1,($CD$4)*Inputs!$B$55*((Z48+AA48+AB48)/(SUM(ILP_B_Moderate!$C$9:$E$13))),0)</f>
        <v>0</v>
      </c>
      <c r="AZ48" s="46">
        <f t="shared" ca="1" si="41"/>
        <v>0</v>
      </c>
      <c r="BA48" s="41">
        <f t="shared" ca="1" si="42"/>
        <v>0</v>
      </c>
      <c r="BB48" s="41">
        <f t="shared" ca="1" si="43"/>
        <v>1</v>
      </c>
      <c r="BC48" s="41">
        <f t="shared" ca="1" si="44"/>
        <v>1</v>
      </c>
      <c r="BD48" s="41">
        <f t="shared" ca="1" si="45"/>
        <v>1</v>
      </c>
    </row>
    <row r="49" spans="1:56" ht="15" customHeight="1" x14ac:dyDescent="0.3">
      <c r="A49" s="41">
        <v>42</v>
      </c>
      <c r="B49" s="42">
        <f t="shared" ca="1" si="27"/>
        <v>0.53701214528000885</v>
      </c>
      <c r="C49" s="43">
        <f ca="1">IF(B49&lt;=Inputs!$C$40,Inputs!$D$40,IF(B49&lt;=Inputs!$C$41,Inputs!$D$41,Inputs!$D$42))</f>
        <v>1</v>
      </c>
      <c r="D49" s="42">
        <f t="shared" ca="1" si="46"/>
        <v>9.7195839983633903E-2</v>
      </c>
      <c r="E49" s="42">
        <f t="shared" ca="1" si="46"/>
        <v>0.36318892499709543</v>
      </c>
      <c r="F49" s="42">
        <f t="shared" ca="1" si="46"/>
        <v>0.52083500672525573</v>
      </c>
      <c r="G49" s="42">
        <f t="shared" ca="1" si="46"/>
        <v>0.62246284027973087</v>
      </c>
      <c r="H49" s="42">
        <f t="shared" ca="1" si="46"/>
        <v>9.8993661730008897E-2</v>
      </c>
      <c r="I49" s="42">
        <f t="shared" ca="1" si="46"/>
        <v>9.5123706287307042E-2</v>
      </c>
      <c r="J49" s="43">
        <f ca="1">IF(I49&lt;Inputs!$B$54,1+Inputs!$B$55,1)</f>
        <v>1</v>
      </c>
      <c r="K49" s="42">
        <f t="shared" ca="1" si="47"/>
        <v>0.16748473335947045</v>
      </c>
      <c r="L49" s="42">
        <f t="shared" ca="1" si="47"/>
        <v>0.65709301756226368</v>
      </c>
      <c r="M49" s="42">
        <f t="shared" ca="1" si="47"/>
        <v>0.36983024841716616</v>
      </c>
      <c r="N49" s="42">
        <f t="shared" ca="1" si="47"/>
        <v>0.97464126981712518</v>
      </c>
      <c r="O49" s="42">
        <f t="shared" ca="1" si="47"/>
        <v>0.34633055954813552</v>
      </c>
      <c r="P49" s="42">
        <f t="shared" ca="1" si="47"/>
        <v>1.0092426464035631E-2</v>
      </c>
      <c r="Q49" s="42">
        <f t="shared" ca="1" si="47"/>
        <v>3.4000253951534942E-2</v>
      </c>
      <c r="R49" s="42">
        <f t="shared" ca="1" si="47"/>
        <v>0.69533684118154848</v>
      </c>
      <c r="S49" s="42">
        <f t="shared" ca="1" si="47"/>
        <v>0.85690007365959608</v>
      </c>
      <c r="T49" s="42">
        <f t="shared" ca="1" si="47"/>
        <v>0.39064015487979142</v>
      </c>
      <c r="U49" s="44">
        <f ca="1">(IF(D49&gt;=Inputs!$E$12,1,IF(K49&lt;=Inputs!$C$46,Inputs!$D$46,IF(K49&lt;=Inputs!$C$47,Inputs!$D$47,Inputs!$D$48))))*((Inputs!$B$28+(P49-0.5)*2*Inputs!$B$53)/Inputs!$B$28)</f>
        <v>0.99504142132048623</v>
      </c>
      <c r="V49" s="44">
        <f ca="1">(IF(E49&gt;=Inputs!$E$13,1,IF(L49&lt;=Inputs!$C$46,Inputs!$D$46,IF(L49&lt;=Inputs!$C$47,Inputs!$D$47,Inputs!$D$48))))*((Inputs!$B$29+(Q49-0.5)*2*Inputs!$B$53)/Inputs!$B$29)</f>
        <v>0.99530242191483409</v>
      </c>
      <c r="W49" s="44">
        <f ca="1">(IF(F49&gt;=Inputs!$E$14,1,IF(M49&lt;=Inputs!$C$46,Inputs!$D$46,IF(M49&lt;=Inputs!$C$47,Inputs!$D$47,Inputs!$D$48))))*((Inputs!$B$30+(R49-0.5)*2*Inputs!$B$53)/Inputs!$B$30)</f>
        <v>1.0019631843334829</v>
      </c>
      <c r="X49" s="44">
        <f ca="1">(IF(G49&gt;=Inputs!$E$15,1,IF(N49&lt;=Inputs!$C$46,Inputs!$D$46,IF(N49&lt;=Inputs!$C$47,Inputs!$D$47,Inputs!$D$48))))*((Inputs!$B$31+(S49-0.5)*2*Inputs!$B$53)/Inputs!$B$31)</f>
        <v>1.0036233510016201</v>
      </c>
      <c r="Y49" s="44">
        <f ca="1">(IF(H49&gt;=Inputs!$E$16,1,IF(O49&lt;=Inputs!$C$46,Inputs!$D$46,IF(O49&lt;=Inputs!$C$47,Inputs!$D$47,Inputs!$D$48))))*((Inputs!$B$32+(T49-0.5)*2*Inputs!$B$53)/Inputs!$B$32)</f>
        <v>0.99889980035090342</v>
      </c>
      <c r="Z49" s="45">
        <f ca="1">ILP_B_Moderate!$C$9*U49+ILP_B_Moderate!$C$10*V49+ILP_B_Moderate!$C$11*W49+ILP_B_Moderate!$C$12*X49+ILP_B_Moderate!$C$13*Y49</f>
        <v>17988.993545200272</v>
      </c>
      <c r="AA49" s="45">
        <f ca="1">ILP_B_Moderate!$D$9*U49+ILP_B_Moderate!$D$10*V49+ILP_B_Moderate!$D$11*W49+ILP_B_Moderate!$D$12*X49+ILP_B_Moderate!$D$13*Y49</f>
        <v>14951.7798659657</v>
      </c>
      <c r="AB49" s="45">
        <f ca="1">ILP_B_Moderate!$E$9*U49+ILP_B_Moderate!$E$10*V49+ILP_B_Moderate!$E$11*W49+ILP_B_Moderate!$E$12*X49+ILP_B_Moderate!$E$13*Y49</f>
        <v>11954.596325883187</v>
      </c>
      <c r="AC49" s="45">
        <f ca="1">Inputs!$B$6*$C49</f>
        <v>18000</v>
      </c>
      <c r="AD49" s="45">
        <f ca="1">Inputs!$B$7*$C49</f>
        <v>15000</v>
      </c>
      <c r="AE49" s="45">
        <f ca="1">Inputs!$B$8*$C49</f>
        <v>12000</v>
      </c>
      <c r="AF49" s="45">
        <f t="shared" ca="1" si="28"/>
        <v>11.00645479972809</v>
      </c>
      <c r="AG49" s="45">
        <f t="shared" ca="1" si="29"/>
        <v>48.220134034299917</v>
      </c>
      <c r="AH49" s="45">
        <f t="shared" ca="1" si="30"/>
        <v>45.403674116812908</v>
      </c>
      <c r="AI49" s="45">
        <f t="shared" ca="1" si="31"/>
        <v>104.63026295084092</v>
      </c>
      <c r="AJ49" s="45">
        <f ca="1">U49*(Inputs!$B$12-ILP_B_Moderate!$F$9)+V49*(Inputs!$B$13-ILP_B_Moderate!$F$10)+W49*(Inputs!$B$14-ILP_B_Moderate!$F$11)+X49*(Inputs!$B$15-ILP_B_Moderate!$F$12)+Y49*(Inputs!$B$16-ILP_B_Moderate!$F$13)</f>
        <v>25012.02552450457</v>
      </c>
      <c r="AK49" s="45">
        <f t="shared" ca="1" si="32"/>
        <v>104.63026295084092</v>
      </c>
      <c r="AL49" s="45">
        <f t="shared" ca="1" si="33"/>
        <v>0</v>
      </c>
      <c r="AM49" s="45">
        <f t="shared" ca="1" si="34"/>
        <v>0</v>
      </c>
      <c r="AN49" s="45">
        <f t="shared" ca="1" si="35"/>
        <v>0</v>
      </c>
      <c r="AO49" s="45">
        <f ca="1">MIN(AL49,Inputs!$B$36)</f>
        <v>0</v>
      </c>
      <c r="AP49" s="45">
        <f ca="1">MIN(AN49,Inputs!$B$36-AO49)</f>
        <v>0</v>
      </c>
      <c r="AQ49" s="45">
        <f ca="1">MIN(AM49,Inputs!$B$36-AO49-AP49)</f>
        <v>0</v>
      </c>
      <c r="AR49" s="45">
        <f t="shared" ca="1" si="36"/>
        <v>0</v>
      </c>
      <c r="AS49" s="45">
        <f t="shared" ca="1" si="37"/>
        <v>0</v>
      </c>
      <c r="AT49" s="45">
        <f t="shared" ca="1" si="38"/>
        <v>0</v>
      </c>
      <c r="AU49" s="45">
        <f t="shared" ca="1" si="39"/>
        <v>0</v>
      </c>
      <c r="AV49" s="46">
        <f ca="1">AU49*Inputs!$B$35</f>
        <v>0</v>
      </c>
      <c r="AW49" s="46">
        <f ca="1">AR49*Inputs!$C$6+AT49*Inputs!$C$7+AS49*Inputs!$C$8</f>
        <v>0</v>
      </c>
      <c r="AX49" s="46">
        <f t="shared" ca="1" si="40"/>
        <v>47456662.884987988</v>
      </c>
      <c r="AY49" s="46">
        <f ca="1">IF(J49&gt;1,($CD$4)*Inputs!$B$55*((Z49+AA49+AB49)/(SUM(ILP_B_Moderate!$C$9:$E$13))),0)</f>
        <v>0</v>
      </c>
      <c r="AZ49" s="46">
        <f t="shared" ca="1" si="41"/>
        <v>0</v>
      </c>
      <c r="BA49" s="41">
        <f t="shared" ca="1" si="42"/>
        <v>0</v>
      </c>
      <c r="BB49" s="41">
        <f t="shared" ca="1" si="43"/>
        <v>1</v>
      </c>
      <c r="BC49" s="41">
        <f t="shared" ca="1" si="44"/>
        <v>1</v>
      </c>
      <c r="BD49" s="41">
        <f t="shared" ca="1" si="45"/>
        <v>1</v>
      </c>
    </row>
    <row r="50" spans="1:56" ht="15" customHeight="1" x14ac:dyDescent="0.3">
      <c r="A50" s="41">
        <v>43</v>
      </c>
      <c r="B50" s="42">
        <f t="shared" ca="1" si="27"/>
        <v>0.74195640557415765</v>
      </c>
      <c r="C50" s="43">
        <f ca="1">IF(B50&lt;=Inputs!$C$40,Inputs!$D$40,IF(B50&lt;=Inputs!$C$41,Inputs!$D$41,Inputs!$D$42))</f>
        <v>1</v>
      </c>
      <c r="D50" s="42">
        <f t="shared" ca="1" si="46"/>
        <v>0.46754994482063872</v>
      </c>
      <c r="E50" s="42">
        <f t="shared" ca="1" si="46"/>
        <v>8.1727716972660125E-2</v>
      </c>
      <c r="F50" s="42">
        <f t="shared" ca="1" si="46"/>
        <v>0.30239510662189206</v>
      </c>
      <c r="G50" s="42">
        <f t="shared" ca="1" si="46"/>
        <v>0.53915455750069197</v>
      </c>
      <c r="H50" s="42">
        <f t="shared" ca="1" si="46"/>
        <v>0.11541832138009578</v>
      </c>
      <c r="I50" s="42">
        <f t="shared" ca="1" si="46"/>
        <v>0.37514140455641798</v>
      </c>
      <c r="J50" s="43">
        <f ca="1">IF(I50&lt;Inputs!$B$54,1+Inputs!$B$55,1)</f>
        <v>1</v>
      </c>
      <c r="K50" s="42">
        <f t="shared" ca="1" si="47"/>
        <v>0.89076980158027286</v>
      </c>
      <c r="L50" s="42">
        <f t="shared" ca="1" si="47"/>
        <v>0.37379974840699948</v>
      </c>
      <c r="M50" s="42">
        <f t="shared" ca="1" si="47"/>
        <v>0.31969849060044742</v>
      </c>
      <c r="N50" s="42">
        <f t="shared" ca="1" si="47"/>
        <v>0.23144745460347338</v>
      </c>
      <c r="O50" s="42">
        <f t="shared" ca="1" si="47"/>
        <v>0.30079339924478421</v>
      </c>
      <c r="P50" s="42">
        <f t="shared" ca="1" si="47"/>
        <v>0.76962995432717063</v>
      </c>
      <c r="Q50" s="42">
        <f t="shared" ca="1" si="47"/>
        <v>5.6158192374101801E-2</v>
      </c>
      <c r="R50" s="42">
        <f t="shared" ca="1" si="47"/>
        <v>0.30154390284190824</v>
      </c>
      <c r="S50" s="42">
        <f t="shared" ca="1" si="47"/>
        <v>0.84367716965178463</v>
      </c>
      <c r="T50" s="42">
        <f t="shared" ca="1" si="47"/>
        <v>0.28150547002192972</v>
      </c>
      <c r="U50" s="44">
        <f ca="1">(IF(D50&gt;=Inputs!$E$12,1,IF(K50&lt;=Inputs!$C$46,Inputs!$D$46,IF(K50&lt;=Inputs!$C$47,Inputs!$D$47,Inputs!$D$48))))*((Inputs!$B$28+(P50-0.5)*2*Inputs!$B$53)/Inputs!$B$28)</f>
        <v>1.0027290481207203</v>
      </c>
      <c r="V50" s="44">
        <f ca="1">(IF(E50&gt;=Inputs!$E$13,1,IF(L50&lt;=Inputs!$C$46,Inputs!$D$46,IF(L50&lt;=Inputs!$C$47,Inputs!$D$47,Inputs!$D$48))))*((Inputs!$B$29+(Q50-0.5)*2*Inputs!$B$53)/Inputs!$B$29)</f>
        <v>0.29865773646887328</v>
      </c>
      <c r="W50" s="44">
        <f ca="1">(IF(F50&gt;=Inputs!$E$14,1,IF(M50&lt;=Inputs!$C$46,Inputs!$D$46,IF(M50&lt;=Inputs!$C$47,Inputs!$D$47,Inputs!$D$48))))*((Inputs!$B$30+(R50-0.5)*2*Inputs!$B$53)/Inputs!$B$30)</f>
        <v>0.99800546636022014</v>
      </c>
      <c r="X50" s="44">
        <f ca="1">(IF(G50&gt;=Inputs!$E$15,1,IF(N50&lt;=Inputs!$C$46,Inputs!$D$46,IF(N50&lt;=Inputs!$C$47,Inputs!$D$47,Inputs!$D$48))))*((Inputs!$B$31+(S50-0.5)*2*Inputs!$B$53)/Inputs!$B$31)</f>
        <v>1.0034891083213378</v>
      </c>
      <c r="Y50" s="44">
        <f ca="1">(IF(H50&gt;=Inputs!$E$16,1,IF(O50&lt;=Inputs!$C$46,Inputs!$D$46,IF(O50&lt;=Inputs!$C$47,Inputs!$D$47,Inputs!$D$48))))*((Inputs!$B$32+(T50-0.5)*2*Inputs!$B$53)/Inputs!$B$32)</f>
        <v>0.99780186589559283</v>
      </c>
      <c r="Z50" s="45">
        <f ca="1">ILP_B_Moderate!$C$9*U50+ILP_B_Moderate!$C$10*V50+ILP_B_Moderate!$C$11*W50+ILP_B_Moderate!$C$12*X50+ILP_B_Moderate!$C$13*Y50</f>
        <v>15329.79928926257</v>
      </c>
      <c r="AA50" s="45">
        <f ca="1">ILP_B_Moderate!$D$9*U50+ILP_B_Moderate!$D$10*V50+ILP_B_Moderate!$D$11*W50+ILP_B_Moderate!$D$12*X50+ILP_B_Moderate!$D$13*Y50</f>
        <v>9762.5442541876928</v>
      </c>
      <c r="AB50" s="45">
        <f ca="1">ILP_B_Moderate!$E$9*U50+ILP_B_Moderate!$E$10*V50+ILP_B_Moderate!$E$11*W50+ILP_B_Moderate!$E$12*X50+ILP_B_Moderate!$E$13*Y50</f>
        <v>10244.138854460252</v>
      </c>
      <c r="AC50" s="45">
        <f ca="1">Inputs!$B$6*$C50</f>
        <v>18000</v>
      </c>
      <c r="AD50" s="45">
        <f ca="1">Inputs!$B$7*$C50</f>
        <v>15000</v>
      </c>
      <c r="AE50" s="45">
        <f ca="1">Inputs!$B$8*$C50</f>
        <v>12000</v>
      </c>
      <c r="AF50" s="45">
        <f t="shared" ca="1" si="28"/>
        <v>2670.2007107374302</v>
      </c>
      <c r="AG50" s="45">
        <f t="shared" ca="1" si="29"/>
        <v>5237.4557458123072</v>
      </c>
      <c r="AH50" s="45">
        <f t="shared" ca="1" si="30"/>
        <v>1755.8611455397477</v>
      </c>
      <c r="AI50" s="45">
        <f t="shared" ca="1" si="31"/>
        <v>9663.5176020894851</v>
      </c>
      <c r="AJ50" s="45">
        <f ca="1">U50*(Inputs!$B$12-ILP_B_Moderate!$F$9)+V50*(Inputs!$B$13-ILP_B_Moderate!$F$10)+W50*(Inputs!$B$14-ILP_B_Moderate!$F$11)+X50*(Inputs!$B$15-ILP_B_Moderate!$F$12)+Y50*(Inputs!$B$16-ILP_B_Moderate!$F$13)</f>
        <v>24871.359033558041</v>
      </c>
      <c r="AK50" s="45">
        <f t="shared" ca="1" si="32"/>
        <v>9663.5176020894851</v>
      </c>
      <c r="AL50" s="45">
        <f t="shared" ca="1" si="33"/>
        <v>0</v>
      </c>
      <c r="AM50" s="45">
        <f t="shared" ca="1" si="34"/>
        <v>0</v>
      </c>
      <c r="AN50" s="45">
        <f t="shared" ca="1" si="35"/>
        <v>0</v>
      </c>
      <c r="AO50" s="45">
        <f ca="1">MIN(AL50,Inputs!$B$36)</f>
        <v>0</v>
      </c>
      <c r="AP50" s="45">
        <f ca="1">MIN(AN50,Inputs!$B$36-AO50)</f>
        <v>0</v>
      </c>
      <c r="AQ50" s="45">
        <f ca="1">MIN(AM50,Inputs!$B$36-AO50-AP50)</f>
        <v>0</v>
      </c>
      <c r="AR50" s="45">
        <f t="shared" ca="1" si="36"/>
        <v>0</v>
      </c>
      <c r="AS50" s="45">
        <f t="shared" ca="1" si="37"/>
        <v>0</v>
      </c>
      <c r="AT50" s="45">
        <f t="shared" ca="1" si="38"/>
        <v>0</v>
      </c>
      <c r="AU50" s="45">
        <f t="shared" ca="1" si="39"/>
        <v>0</v>
      </c>
      <c r="AV50" s="46">
        <f ca="1">AU50*Inputs!$B$35</f>
        <v>0</v>
      </c>
      <c r="AW50" s="46">
        <f ca="1">AR50*Inputs!$C$6+AT50*Inputs!$C$7+AS50*Inputs!$C$8</f>
        <v>0</v>
      </c>
      <c r="AX50" s="46">
        <f t="shared" ca="1" si="40"/>
        <v>37369869.125542276</v>
      </c>
      <c r="AY50" s="46">
        <f ca="1">IF(J50&gt;1,($CD$4)*Inputs!$B$55*((Z50+AA50+AB50)/(SUM(ILP_B_Moderate!$C$9:$E$13))),0)</f>
        <v>0</v>
      </c>
      <c r="AZ50" s="46">
        <f t="shared" ca="1" si="41"/>
        <v>0</v>
      </c>
      <c r="BA50" s="41">
        <f t="shared" ca="1" si="42"/>
        <v>0</v>
      </c>
      <c r="BB50" s="41">
        <f t="shared" ca="1" si="43"/>
        <v>1</v>
      </c>
      <c r="BC50" s="41">
        <f t="shared" ca="1" si="44"/>
        <v>1</v>
      </c>
      <c r="BD50" s="41">
        <f t="shared" ca="1" si="45"/>
        <v>1</v>
      </c>
    </row>
    <row r="51" spans="1:56" ht="15" customHeight="1" x14ac:dyDescent="0.3">
      <c r="A51" s="41">
        <v>44</v>
      </c>
      <c r="B51" s="42">
        <f t="shared" ca="1" si="27"/>
        <v>6.8788865499618268E-3</v>
      </c>
      <c r="C51" s="43">
        <f ca="1">IF(B51&lt;=Inputs!$C$40,Inputs!$D$40,IF(B51&lt;=Inputs!$C$41,Inputs!$D$41,Inputs!$D$42))</f>
        <v>0.9</v>
      </c>
      <c r="D51" s="42">
        <f t="shared" ca="1" si="46"/>
        <v>0.27205482514479762</v>
      </c>
      <c r="E51" s="42">
        <f t="shared" ca="1" si="46"/>
        <v>0.32052696338569353</v>
      </c>
      <c r="F51" s="42">
        <f t="shared" ca="1" si="46"/>
        <v>0.42719908510018445</v>
      </c>
      <c r="G51" s="42">
        <f t="shared" ca="1" si="46"/>
        <v>0.13431787520151017</v>
      </c>
      <c r="H51" s="42">
        <f t="shared" ca="1" si="46"/>
        <v>0.23653929105133198</v>
      </c>
      <c r="I51" s="42">
        <f t="shared" ca="1" si="46"/>
        <v>0.64409097525019476</v>
      </c>
      <c r="J51" s="43">
        <f ca="1">IF(I51&lt;Inputs!$B$54,1+Inputs!$B$55,1)</f>
        <v>1</v>
      </c>
      <c r="K51" s="42">
        <f t="shared" ca="1" si="47"/>
        <v>0.32002689383308947</v>
      </c>
      <c r="L51" s="42">
        <f t="shared" ca="1" si="47"/>
        <v>0.40361346624913774</v>
      </c>
      <c r="M51" s="42">
        <f t="shared" ca="1" si="47"/>
        <v>4.5476177381250316E-2</v>
      </c>
      <c r="N51" s="42">
        <f t="shared" ca="1" si="47"/>
        <v>0.26174399411809968</v>
      </c>
      <c r="O51" s="42">
        <f t="shared" ca="1" si="47"/>
        <v>0.1333423695776943</v>
      </c>
      <c r="P51" s="42">
        <f t="shared" ca="1" si="47"/>
        <v>0.29926727328104052</v>
      </c>
      <c r="Q51" s="42">
        <f t="shared" ca="1" si="47"/>
        <v>0.81613358814465164</v>
      </c>
      <c r="R51" s="42">
        <f t="shared" ca="1" si="47"/>
        <v>0.90679943734313129</v>
      </c>
      <c r="S51" s="42">
        <f t="shared" ca="1" si="47"/>
        <v>1.1101120053729874E-2</v>
      </c>
      <c r="T51" s="42">
        <f t="shared" ca="1" si="47"/>
        <v>0.37702083741575587</v>
      </c>
      <c r="U51" s="44">
        <f ca="1">(IF(D51&gt;=Inputs!$E$12,1,IF(K51&lt;=Inputs!$C$46,Inputs!$D$46,IF(K51&lt;=Inputs!$C$47,Inputs!$D$47,Inputs!$D$48))))*((Inputs!$B$28+(P51-0.5)*2*Inputs!$B$53)/Inputs!$B$28)</f>
        <v>0.99796829223968664</v>
      </c>
      <c r="V51" s="44">
        <f ca="1">(IF(E51&gt;=Inputs!$E$13,1,IF(L51&lt;=Inputs!$C$46,Inputs!$D$46,IF(L51&lt;=Inputs!$C$47,Inputs!$D$47,Inputs!$D$48))))*((Inputs!$B$29+(Q51-0.5)*2*Inputs!$B$53)/Inputs!$B$29)</f>
        <v>1.0031868305256517</v>
      </c>
      <c r="W51" s="44">
        <f ca="1">(IF(F51&gt;=Inputs!$E$14,1,IF(M51&lt;=Inputs!$C$46,Inputs!$D$46,IF(M51&lt;=Inputs!$C$47,Inputs!$D$47,Inputs!$D$48))))*((Inputs!$B$30+(R51-0.5)*2*Inputs!$B$53)/Inputs!$B$30)</f>
        <v>1.0040884365562124</v>
      </c>
      <c r="X51" s="44">
        <f ca="1">(IF(G51&gt;=Inputs!$E$15,1,IF(N51&lt;=Inputs!$C$46,Inputs!$D$46,IF(N51&lt;=Inputs!$C$47,Inputs!$D$47,Inputs!$D$48))))*((Inputs!$B$31+(S51-0.5)*2*Inputs!$B$53)/Inputs!$B$31)</f>
        <v>0.59702193575667251</v>
      </c>
      <c r="Y51" s="44">
        <f ca="1">(IF(H51&gt;=Inputs!$E$16,1,IF(O51&lt;=Inputs!$C$46,Inputs!$D$46,IF(O51&lt;=Inputs!$C$47,Inputs!$D$47,Inputs!$D$48))))*((Inputs!$B$32+(T51-0.5)*2*Inputs!$B$53)/Inputs!$B$32)</f>
        <v>0.99876278508466554</v>
      </c>
      <c r="Z51" s="45">
        <f ca="1">ILP_B_Moderate!$C$9*U51+ILP_B_Moderate!$C$10*V51+ILP_B_Moderate!$C$11*W51+ILP_B_Moderate!$C$12*X51+ILP_B_Moderate!$C$13*Y51</f>
        <v>14375.118232210487</v>
      </c>
      <c r="AA51" s="45">
        <f ca="1">ILP_B_Moderate!$D$9*U51+ILP_B_Moderate!$D$10*V51+ILP_B_Moderate!$D$11*W51+ILP_B_Moderate!$D$12*X51+ILP_B_Moderate!$D$13*Y51</f>
        <v>13877.994695457939</v>
      </c>
      <c r="AB51" s="45">
        <f ca="1">ILP_B_Moderate!$E$9*U51+ILP_B_Moderate!$E$10*V51+ILP_B_Moderate!$E$11*W51+ILP_B_Moderate!$E$12*X51+ILP_B_Moderate!$E$13*Y51</f>
        <v>11991.517362275634</v>
      </c>
      <c r="AC51" s="45">
        <f ca="1">Inputs!$B$6*$C51</f>
        <v>16200</v>
      </c>
      <c r="AD51" s="45">
        <f ca="1">Inputs!$B$7*$C51</f>
        <v>13500</v>
      </c>
      <c r="AE51" s="45">
        <f ca="1">Inputs!$B$8*$C51</f>
        <v>10800</v>
      </c>
      <c r="AF51" s="45">
        <f t="shared" ca="1" si="28"/>
        <v>1824.8817677895131</v>
      </c>
      <c r="AG51" s="45">
        <f t="shared" ca="1" si="29"/>
        <v>0</v>
      </c>
      <c r="AH51" s="45">
        <f t="shared" ca="1" si="30"/>
        <v>0</v>
      </c>
      <c r="AI51" s="45">
        <f t="shared" ca="1" si="31"/>
        <v>1824.8817677895131</v>
      </c>
      <c r="AJ51" s="45">
        <f ca="1">U51*(Inputs!$B$12-ILP_B_Moderate!$F$9)+V51*(Inputs!$B$13-ILP_B_Moderate!$F$10)+W51*(Inputs!$B$14-ILP_B_Moderate!$F$11)+X51*(Inputs!$B$15-ILP_B_Moderate!$F$12)+Y51*(Inputs!$B$16-ILP_B_Moderate!$F$13)</f>
        <v>24966.332693830864</v>
      </c>
      <c r="AK51" s="45">
        <f t="shared" ca="1" si="32"/>
        <v>1824.8817677895131</v>
      </c>
      <c r="AL51" s="45">
        <f t="shared" ca="1" si="33"/>
        <v>0</v>
      </c>
      <c r="AM51" s="45">
        <f t="shared" ca="1" si="34"/>
        <v>0</v>
      </c>
      <c r="AN51" s="45">
        <f t="shared" ca="1" si="35"/>
        <v>0</v>
      </c>
      <c r="AO51" s="45">
        <f ca="1">MIN(AL51,Inputs!$B$36)</f>
        <v>0</v>
      </c>
      <c r="AP51" s="45">
        <f ca="1">MIN(AN51,Inputs!$B$36-AO51)</f>
        <v>0</v>
      </c>
      <c r="AQ51" s="45">
        <f ca="1">MIN(AM51,Inputs!$B$36-AO51-AP51)</f>
        <v>0</v>
      </c>
      <c r="AR51" s="45">
        <f t="shared" ca="1" si="36"/>
        <v>0</v>
      </c>
      <c r="AS51" s="45">
        <f t="shared" ca="1" si="37"/>
        <v>0</v>
      </c>
      <c r="AT51" s="45">
        <f t="shared" ca="1" si="38"/>
        <v>0</v>
      </c>
      <c r="AU51" s="45">
        <f t="shared" ca="1" si="39"/>
        <v>0</v>
      </c>
      <c r="AV51" s="46">
        <f ca="1">AU51*Inputs!$B$35</f>
        <v>0</v>
      </c>
      <c r="AW51" s="46">
        <f ca="1">AR51*Inputs!$C$6+AT51*Inputs!$C$7+AS51*Inputs!$C$8</f>
        <v>0</v>
      </c>
      <c r="AX51" s="46">
        <f t="shared" ca="1" si="40"/>
        <v>42639853.388657928</v>
      </c>
      <c r="AY51" s="46">
        <f ca="1">IF(J51&gt;1,($CD$4)*Inputs!$B$55*((Z51+AA51+AB51)/(SUM(ILP_B_Moderate!$C$9:$E$13))),0)</f>
        <v>0</v>
      </c>
      <c r="AZ51" s="46">
        <f t="shared" ca="1" si="41"/>
        <v>0</v>
      </c>
      <c r="BA51" s="41">
        <f t="shared" ca="1" si="42"/>
        <v>0</v>
      </c>
      <c r="BB51" s="41">
        <f t="shared" ca="1" si="43"/>
        <v>1</v>
      </c>
      <c r="BC51" s="41">
        <f t="shared" ca="1" si="44"/>
        <v>1</v>
      </c>
      <c r="BD51" s="41">
        <f t="shared" ca="1" si="45"/>
        <v>1</v>
      </c>
    </row>
    <row r="52" spans="1:56" ht="15" customHeight="1" x14ac:dyDescent="0.3">
      <c r="A52" s="41">
        <v>45</v>
      </c>
      <c r="B52" s="42">
        <f t="shared" ca="1" si="27"/>
        <v>0.1110802649096726</v>
      </c>
      <c r="C52" s="43">
        <f ca="1">IF(B52&lt;=Inputs!$C$40,Inputs!$D$40,IF(B52&lt;=Inputs!$C$41,Inputs!$D$41,Inputs!$D$42))</f>
        <v>0.9</v>
      </c>
      <c r="D52" s="42">
        <f t="shared" ca="1" si="46"/>
        <v>0.71551573044894279</v>
      </c>
      <c r="E52" s="42">
        <f t="shared" ca="1" si="46"/>
        <v>0.58465155282819625</v>
      </c>
      <c r="F52" s="42">
        <f t="shared" ca="1" si="46"/>
        <v>0.86301753005518478</v>
      </c>
      <c r="G52" s="42">
        <f t="shared" ca="1" si="46"/>
        <v>0.74193916885988898</v>
      </c>
      <c r="H52" s="42">
        <f t="shared" ca="1" si="46"/>
        <v>0.36883116247034986</v>
      </c>
      <c r="I52" s="42">
        <f t="shared" ca="1" si="46"/>
        <v>0.34040653624645112</v>
      </c>
      <c r="J52" s="43">
        <f ca="1">IF(I52&lt;Inputs!$B$54,1+Inputs!$B$55,1)</f>
        <v>1</v>
      </c>
      <c r="K52" s="42">
        <f t="shared" ca="1" si="47"/>
        <v>0.55711702908580363</v>
      </c>
      <c r="L52" s="42">
        <f t="shared" ca="1" si="47"/>
        <v>0.86934677925149273</v>
      </c>
      <c r="M52" s="42">
        <f t="shared" ca="1" si="47"/>
        <v>0.62331390205189408</v>
      </c>
      <c r="N52" s="42">
        <f t="shared" ca="1" si="47"/>
        <v>0.43137032296388556</v>
      </c>
      <c r="O52" s="42">
        <f t="shared" ca="1" si="47"/>
        <v>0.75153862788097259</v>
      </c>
      <c r="P52" s="42">
        <f t="shared" ca="1" si="47"/>
        <v>0.55345679359264632</v>
      </c>
      <c r="Q52" s="42">
        <f t="shared" ca="1" si="47"/>
        <v>5.4236355428004646E-2</v>
      </c>
      <c r="R52" s="42">
        <f t="shared" ca="1" si="47"/>
        <v>0.58124378715095271</v>
      </c>
      <c r="S52" s="42">
        <f t="shared" ca="1" si="47"/>
        <v>0.95689895283623272</v>
      </c>
      <c r="T52" s="42">
        <f t="shared" ca="1" si="47"/>
        <v>0.42251746479057439</v>
      </c>
      <c r="U52" s="44">
        <f ca="1">(IF(D52&gt;=Inputs!$E$12,1,IF(K52&lt;=Inputs!$C$46,Inputs!$D$46,IF(K52&lt;=Inputs!$C$47,Inputs!$D$47,Inputs!$D$48))))*((Inputs!$B$28+(P52-0.5)*2*Inputs!$B$53)/Inputs!$B$28)</f>
        <v>1.0005410606638931</v>
      </c>
      <c r="V52" s="44">
        <f ca="1">(IF(E52&gt;=Inputs!$E$13,1,IF(L52&lt;=Inputs!$C$46,Inputs!$D$46,IF(L52&lt;=Inputs!$C$47,Inputs!$D$47,Inputs!$D$48))))*((Inputs!$B$29+(Q52-0.5)*2*Inputs!$B$53)/Inputs!$B$29)</f>
        <v>0.99550641487326619</v>
      </c>
      <c r="W52" s="44">
        <f ca="1">(IF(F52&gt;=Inputs!$E$14,1,IF(M52&lt;=Inputs!$C$46,Inputs!$D$46,IF(M52&lt;=Inputs!$C$47,Inputs!$D$47,Inputs!$D$48))))*((Inputs!$B$30+(R52-0.5)*2*Inputs!$B$53)/Inputs!$B$30)</f>
        <v>1.000816520473879</v>
      </c>
      <c r="X52" s="44">
        <f ca="1">(IF(G52&gt;=Inputs!$E$15,1,IF(N52&lt;=Inputs!$C$46,Inputs!$D$46,IF(N52&lt;=Inputs!$C$47,Inputs!$D$47,Inputs!$D$48))))*((Inputs!$B$31+(S52-0.5)*2*Inputs!$B$53)/Inputs!$B$31)</f>
        <v>1.0046385680490988</v>
      </c>
      <c r="Y52" s="44">
        <f ca="1">(IF(H52&gt;=Inputs!$E$16,1,IF(O52&lt;=Inputs!$C$46,Inputs!$D$46,IF(O52&lt;=Inputs!$C$47,Inputs!$D$47,Inputs!$D$48))))*((Inputs!$B$32+(T52-0.5)*2*Inputs!$B$53)/Inputs!$B$32)</f>
        <v>0.99922049763370802</v>
      </c>
      <c r="Z52" s="45">
        <f ca="1">ILP_B_Moderate!$C$9*U52+ILP_B_Moderate!$C$10*V52+ILP_B_Moderate!$C$11*W52+ILP_B_Moderate!$C$12*X52+ILP_B_Moderate!$C$13*Y52</f>
        <v>18027.122509915622</v>
      </c>
      <c r="AA52" s="45">
        <f ca="1">ILP_B_Moderate!$D$9*U52+ILP_B_Moderate!$D$10*V52+ILP_B_Moderate!$D$11*W52+ILP_B_Moderate!$D$12*X52+ILP_B_Moderate!$D$13*Y52</f>
        <v>14981.911037354974</v>
      </c>
      <c r="AB52" s="45">
        <f ca="1">ILP_B_Moderate!$E$9*U52+ILP_B_Moderate!$E$10*V52+ILP_B_Moderate!$E$11*W52+ILP_B_Moderate!$E$12*X52+ILP_B_Moderate!$E$13*Y52</f>
        <v>11989.224717560335</v>
      </c>
      <c r="AC52" s="45">
        <f ca="1">Inputs!$B$6*$C52</f>
        <v>16200</v>
      </c>
      <c r="AD52" s="45">
        <f ca="1">Inputs!$B$7*$C52</f>
        <v>13500</v>
      </c>
      <c r="AE52" s="45">
        <f ca="1">Inputs!$B$8*$C52</f>
        <v>10800</v>
      </c>
      <c r="AF52" s="45">
        <f t="shared" ca="1" si="28"/>
        <v>0</v>
      </c>
      <c r="AG52" s="45">
        <f t="shared" ca="1" si="29"/>
        <v>0</v>
      </c>
      <c r="AH52" s="45">
        <f t="shared" ca="1" si="30"/>
        <v>0</v>
      </c>
      <c r="AI52" s="45">
        <f t="shared" ca="1" si="31"/>
        <v>0</v>
      </c>
      <c r="AJ52" s="45">
        <f ca="1">U52*(Inputs!$B$12-ILP_B_Moderate!$F$9)+V52*(Inputs!$B$13-ILP_B_Moderate!$F$10)+W52*(Inputs!$B$14-ILP_B_Moderate!$F$11)+X52*(Inputs!$B$15-ILP_B_Moderate!$F$12)+Y52*(Inputs!$B$16-ILP_B_Moderate!$F$13)</f>
        <v>25002.073561272322</v>
      </c>
      <c r="AK52" s="45">
        <f t="shared" ca="1" si="32"/>
        <v>0</v>
      </c>
      <c r="AL52" s="45">
        <f t="shared" ca="1" si="33"/>
        <v>0</v>
      </c>
      <c r="AM52" s="45">
        <f t="shared" ca="1" si="34"/>
        <v>0</v>
      </c>
      <c r="AN52" s="45">
        <f t="shared" ca="1" si="35"/>
        <v>0</v>
      </c>
      <c r="AO52" s="45">
        <f ca="1">MIN(AL52,Inputs!$B$36)</f>
        <v>0</v>
      </c>
      <c r="AP52" s="45">
        <f ca="1">MIN(AN52,Inputs!$B$36-AO52)</f>
        <v>0</v>
      </c>
      <c r="AQ52" s="45">
        <f ca="1">MIN(AM52,Inputs!$B$36-AO52-AP52)</f>
        <v>0</v>
      </c>
      <c r="AR52" s="45">
        <f t="shared" ca="1" si="36"/>
        <v>0</v>
      </c>
      <c r="AS52" s="45">
        <f t="shared" ca="1" si="37"/>
        <v>0</v>
      </c>
      <c r="AT52" s="45">
        <f t="shared" ca="1" si="38"/>
        <v>0</v>
      </c>
      <c r="AU52" s="45">
        <f t="shared" ca="1" si="39"/>
        <v>0</v>
      </c>
      <c r="AV52" s="46">
        <f ca="1">AU52*Inputs!$B$35</f>
        <v>0</v>
      </c>
      <c r="AW52" s="46">
        <f ca="1">AR52*Inputs!$C$6+AT52*Inputs!$C$7+AS52*Inputs!$C$8</f>
        <v>0</v>
      </c>
      <c r="AX52" s="46">
        <f t="shared" ca="1" si="40"/>
        <v>47565843.926100038</v>
      </c>
      <c r="AY52" s="46">
        <f ca="1">IF(J52&gt;1,($CD$4)*Inputs!$B$55*((Z52+AA52+AB52)/(SUM(ILP_B_Moderate!$C$9:$E$13))),0)</f>
        <v>0</v>
      </c>
      <c r="AZ52" s="46">
        <f t="shared" ca="1" si="41"/>
        <v>0</v>
      </c>
      <c r="BA52" s="41">
        <f t="shared" ca="1" si="42"/>
        <v>0</v>
      </c>
      <c r="BB52" s="41">
        <f t="shared" ca="1" si="43"/>
        <v>1</v>
      </c>
      <c r="BC52" s="41">
        <f t="shared" ca="1" si="44"/>
        <v>1</v>
      </c>
      <c r="BD52" s="41">
        <f t="shared" ca="1" si="45"/>
        <v>1</v>
      </c>
    </row>
    <row r="53" spans="1:56" ht="15" customHeight="1" x14ac:dyDescent="0.3">
      <c r="A53" s="41">
        <v>46</v>
      </c>
      <c r="B53" s="42">
        <f t="shared" ca="1" si="27"/>
        <v>0.66552786442905287</v>
      </c>
      <c r="C53" s="43">
        <f ca="1">IF(B53&lt;=Inputs!$C$40,Inputs!$D$40,IF(B53&lt;=Inputs!$C$41,Inputs!$D$41,Inputs!$D$42))</f>
        <v>1</v>
      </c>
      <c r="D53" s="42">
        <f t="shared" ca="1" si="46"/>
        <v>0.88109829726662137</v>
      </c>
      <c r="E53" s="42">
        <f t="shared" ca="1" si="46"/>
        <v>0.21092747518231081</v>
      </c>
      <c r="F53" s="42">
        <f t="shared" ca="1" si="46"/>
        <v>0.91811401951075677</v>
      </c>
      <c r="G53" s="42">
        <f t="shared" ca="1" si="46"/>
        <v>0.1298303919537942</v>
      </c>
      <c r="H53" s="42">
        <f t="shared" ca="1" si="46"/>
        <v>0.27446954777024402</v>
      </c>
      <c r="I53" s="42">
        <f t="shared" ca="1" si="46"/>
        <v>4.6543019311152456E-2</v>
      </c>
      <c r="J53" s="43">
        <f ca="1">IF(I53&lt;Inputs!$B$54,1+Inputs!$B$55,1)</f>
        <v>1.25</v>
      </c>
      <c r="K53" s="42">
        <f t="shared" ca="1" si="47"/>
        <v>0.32875971605795085</v>
      </c>
      <c r="L53" s="42">
        <f t="shared" ca="1" si="47"/>
        <v>0.3980575894029087</v>
      </c>
      <c r="M53" s="42">
        <f t="shared" ca="1" si="47"/>
        <v>0.32707678273169127</v>
      </c>
      <c r="N53" s="42">
        <f t="shared" ca="1" si="47"/>
        <v>0.6206123381799652</v>
      </c>
      <c r="O53" s="42">
        <f t="shared" ca="1" si="47"/>
        <v>0.19253643837356049</v>
      </c>
      <c r="P53" s="42">
        <f t="shared" ca="1" si="47"/>
        <v>0.29656201130743765</v>
      </c>
      <c r="Q53" s="42">
        <f t="shared" ca="1" si="47"/>
        <v>0.38142008743749711</v>
      </c>
      <c r="R53" s="42">
        <f t="shared" ca="1" si="47"/>
        <v>0.56161094537646494</v>
      </c>
      <c r="S53" s="42">
        <f t="shared" ca="1" si="47"/>
        <v>0.30627433091064393</v>
      </c>
      <c r="T53" s="42">
        <f t="shared" ca="1" si="47"/>
        <v>0.98781824601648938</v>
      </c>
      <c r="U53" s="44">
        <f ca="1">(IF(D53&gt;=Inputs!$E$12,1,IF(K53&lt;=Inputs!$C$46,Inputs!$D$46,IF(K53&lt;=Inputs!$C$47,Inputs!$D$47,Inputs!$D$48))))*((Inputs!$B$28+(P53-0.5)*2*Inputs!$B$53)/Inputs!$B$28)</f>
        <v>0.99794091104562177</v>
      </c>
      <c r="V53" s="44">
        <f ca="1">(IF(E53&gt;=Inputs!$E$13,1,IF(L53&lt;=Inputs!$C$46,Inputs!$D$46,IF(L53&lt;=Inputs!$C$47,Inputs!$D$47,Inputs!$D$48))))*((Inputs!$B$29+(Q53-0.5)*2*Inputs!$B$53)/Inputs!$B$29)</f>
        <v>0.99880463797820063</v>
      </c>
      <c r="W53" s="44">
        <f ca="1">(IF(F53&gt;=Inputs!$E$14,1,IF(M53&lt;=Inputs!$C$46,Inputs!$D$46,IF(M53&lt;=Inputs!$C$47,Inputs!$D$47,Inputs!$D$48))))*((Inputs!$B$30+(R53-0.5)*2*Inputs!$B$53)/Inputs!$B$30)</f>
        <v>1.0006192054811704</v>
      </c>
      <c r="X53" s="44">
        <f ca="1">(IF(G53&gt;=Inputs!$E$15,1,IF(N53&lt;=Inputs!$C$46,Inputs!$D$46,IF(N53&lt;=Inputs!$C$47,Inputs!$D$47,Inputs!$D$48))))*((Inputs!$B$31+(S53-0.5)*2*Inputs!$B$53)/Inputs!$B$31)</f>
        <v>0.29940997258145374</v>
      </c>
      <c r="Y53" s="44">
        <f ca="1">(IF(H53&gt;=Inputs!$E$16,1,IF(O53&lt;=Inputs!$C$46,Inputs!$D$46,IF(O53&lt;=Inputs!$C$47,Inputs!$D$47,Inputs!$D$48))))*((Inputs!$B$32+(T53-0.5)*2*Inputs!$B$53)/Inputs!$B$32)</f>
        <v>1.0049076282295422</v>
      </c>
      <c r="Z53" s="45">
        <f ca="1">ILP_B_Moderate!$C$9*U53+ILP_B_Moderate!$C$10*V53+ILP_B_Moderate!$C$11*W53+ILP_B_Moderate!$C$12*X53+ILP_B_Moderate!$C$13*Y53</f>
        <v>11679.502303326626</v>
      </c>
      <c r="AA53" s="45">
        <f ca="1">ILP_B_Moderate!$D$9*U53+ILP_B_Moderate!$D$10*V53+ILP_B_Moderate!$D$11*W53+ILP_B_Moderate!$D$12*X53+ILP_B_Moderate!$D$13*Y53</f>
        <v>13005.734371209714</v>
      </c>
      <c r="AB53" s="45">
        <f ca="1">ILP_B_Moderate!$E$9*U53+ILP_B_Moderate!$E$10*V53+ILP_B_Moderate!$E$11*W53+ILP_B_Moderate!$E$12*X53+ILP_B_Moderate!$E$13*Y53</f>
        <v>12001.736112178609</v>
      </c>
      <c r="AC53" s="45">
        <f ca="1">Inputs!$B$6*$C53</f>
        <v>18000</v>
      </c>
      <c r="AD53" s="45">
        <f ca="1">Inputs!$B$7*$C53</f>
        <v>15000</v>
      </c>
      <c r="AE53" s="45">
        <f ca="1">Inputs!$B$8*$C53</f>
        <v>12000</v>
      </c>
      <c r="AF53" s="45">
        <f t="shared" ca="1" si="28"/>
        <v>6320.4976966733739</v>
      </c>
      <c r="AG53" s="45">
        <f t="shared" ca="1" si="29"/>
        <v>1994.2656287902864</v>
      </c>
      <c r="AH53" s="45">
        <f t="shared" ca="1" si="30"/>
        <v>0</v>
      </c>
      <c r="AI53" s="45">
        <f t="shared" ca="1" si="31"/>
        <v>8314.7633254636603</v>
      </c>
      <c r="AJ53" s="45">
        <f ca="1">U53*(Inputs!$B$12-ILP_B_Moderate!$F$9)+V53*(Inputs!$B$13-ILP_B_Moderate!$F$10)+W53*(Inputs!$B$14-ILP_B_Moderate!$F$11)+X53*(Inputs!$B$15-ILP_B_Moderate!$F$12)+Y53*(Inputs!$B$16-ILP_B_Moderate!$F$13)</f>
        <v>24937.930487385602</v>
      </c>
      <c r="AK53" s="45">
        <f t="shared" ca="1" si="32"/>
        <v>8314.7633254636603</v>
      </c>
      <c r="AL53" s="45">
        <f t="shared" ca="1" si="33"/>
        <v>0</v>
      </c>
      <c r="AM53" s="45">
        <f t="shared" ca="1" si="34"/>
        <v>0</v>
      </c>
      <c r="AN53" s="45">
        <f t="shared" ca="1" si="35"/>
        <v>0</v>
      </c>
      <c r="AO53" s="45">
        <f ca="1">MIN(AL53,Inputs!$B$36)</f>
        <v>0</v>
      </c>
      <c r="AP53" s="45">
        <f ca="1">MIN(AN53,Inputs!$B$36-AO53)</f>
        <v>0</v>
      </c>
      <c r="AQ53" s="45">
        <f ca="1">MIN(AM53,Inputs!$B$36-AO53-AP53)</f>
        <v>0</v>
      </c>
      <c r="AR53" s="45">
        <f t="shared" ca="1" si="36"/>
        <v>0</v>
      </c>
      <c r="AS53" s="45">
        <f t="shared" ca="1" si="37"/>
        <v>0</v>
      </c>
      <c r="AT53" s="45">
        <f t="shared" ca="1" si="38"/>
        <v>0</v>
      </c>
      <c r="AU53" s="45">
        <f t="shared" ca="1" si="39"/>
        <v>0</v>
      </c>
      <c r="AV53" s="46">
        <f ca="1">AU53*Inputs!$B$35</f>
        <v>0</v>
      </c>
      <c r="AW53" s="46">
        <f ca="1">AR53*Inputs!$C$6+AT53*Inputs!$C$7+AS53*Inputs!$C$8</f>
        <v>0</v>
      </c>
      <c r="AX53" s="46">
        <f t="shared" ca="1" si="40"/>
        <v>38952849.332701765</v>
      </c>
      <c r="AY53" s="46">
        <f ca="1">IF(J53&gt;1,($CD$4)*Inputs!$B$55*((Z53+AA53+AB53)/(SUM(ILP_B_Moderate!$C$9:$E$13))),0)</f>
        <v>465280.49420235754</v>
      </c>
      <c r="AZ53" s="46">
        <f t="shared" ca="1" si="41"/>
        <v>0</v>
      </c>
      <c r="BA53" s="41">
        <f t="shared" ca="1" si="42"/>
        <v>0</v>
      </c>
      <c r="BB53" s="41">
        <f t="shared" ca="1" si="43"/>
        <v>1</v>
      </c>
      <c r="BC53" s="41">
        <f t="shared" ca="1" si="44"/>
        <v>1</v>
      </c>
      <c r="BD53" s="41">
        <f t="shared" ca="1" si="45"/>
        <v>1</v>
      </c>
    </row>
    <row r="54" spans="1:56" ht="15" customHeight="1" x14ac:dyDescent="0.3">
      <c r="A54" s="41">
        <v>47</v>
      </c>
      <c r="B54" s="42">
        <f t="shared" ca="1" si="27"/>
        <v>0.80000368759774731</v>
      </c>
      <c r="C54" s="43">
        <f ca="1">IF(B54&lt;=Inputs!$C$40,Inputs!$D$40,IF(B54&lt;=Inputs!$C$41,Inputs!$D$41,Inputs!$D$42))</f>
        <v>1.1499999999999999</v>
      </c>
      <c r="D54" s="42">
        <f t="shared" ca="1" si="46"/>
        <v>0.61354696515758567</v>
      </c>
      <c r="E54" s="42">
        <f t="shared" ca="1" si="46"/>
        <v>0.67545032315337661</v>
      </c>
      <c r="F54" s="42">
        <f t="shared" ca="1" si="46"/>
        <v>0.84528428971945535</v>
      </c>
      <c r="G54" s="42">
        <f t="shared" ca="1" si="46"/>
        <v>2.8001570022054389E-2</v>
      </c>
      <c r="H54" s="42">
        <f t="shared" ca="1" si="46"/>
        <v>0.21006496361767002</v>
      </c>
      <c r="I54" s="42">
        <f t="shared" ca="1" si="46"/>
        <v>0.35114184459996867</v>
      </c>
      <c r="J54" s="43">
        <f ca="1">IF(I54&lt;Inputs!$B$54,1+Inputs!$B$55,1)</f>
        <v>1</v>
      </c>
      <c r="K54" s="42">
        <f t="shared" ca="1" si="47"/>
        <v>0.63145429686461174</v>
      </c>
      <c r="L54" s="42">
        <f t="shared" ca="1" si="47"/>
        <v>0.20686733460351159</v>
      </c>
      <c r="M54" s="42">
        <f t="shared" ca="1" si="47"/>
        <v>0.57754627518188728</v>
      </c>
      <c r="N54" s="42">
        <f t="shared" ca="1" si="47"/>
        <v>7.1161333520987413E-2</v>
      </c>
      <c r="O54" s="42">
        <f t="shared" ca="1" si="47"/>
        <v>0.16315961938636991</v>
      </c>
      <c r="P54" s="42">
        <f t="shared" ca="1" si="47"/>
        <v>3.3862162924274908E-2</v>
      </c>
      <c r="Q54" s="42">
        <f t="shared" ca="1" si="47"/>
        <v>0.52831725875648416</v>
      </c>
      <c r="R54" s="42">
        <f t="shared" ca="1" si="47"/>
        <v>0.13871509576064689</v>
      </c>
      <c r="S54" s="42">
        <f t="shared" ca="1" si="47"/>
        <v>0.68782314017576829</v>
      </c>
      <c r="T54" s="42">
        <f t="shared" ca="1" si="47"/>
        <v>0.9774083276522999</v>
      </c>
      <c r="U54" s="44">
        <f ca="1">(IF(D54&gt;=Inputs!$E$12,1,IF(K54&lt;=Inputs!$C$46,Inputs!$D$46,IF(K54&lt;=Inputs!$C$47,Inputs!$D$47,Inputs!$D$48))))*((Inputs!$B$28+(P54-0.5)*2*Inputs!$B$53)/Inputs!$B$28)</f>
        <v>0.99528200569761416</v>
      </c>
      <c r="V54" s="44">
        <f ca="1">(IF(E54&gt;=Inputs!$E$13,1,IF(L54&lt;=Inputs!$C$46,Inputs!$D$46,IF(L54&lt;=Inputs!$C$47,Inputs!$D$47,Inputs!$D$48))))*((Inputs!$B$29+(Q54-0.5)*2*Inputs!$B$53)/Inputs!$B$29)</f>
        <v>1.0002854562374646</v>
      </c>
      <c r="W54" s="44">
        <f ca="1">(IF(F54&gt;=Inputs!$E$14,1,IF(M54&lt;=Inputs!$C$46,Inputs!$D$46,IF(M54&lt;=Inputs!$C$47,Inputs!$D$47,Inputs!$D$48))))*((Inputs!$B$30+(R54-0.5)*2*Inputs!$B$53)/Inputs!$B$30)</f>
        <v>0.99636899593729289</v>
      </c>
      <c r="X54" s="44">
        <f ca="1">(IF(G54&gt;=Inputs!$E$15,1,IF(N54&lt;=Inputs!$C$46,Inputs!$D$46,IF(N54&lt;=Inputs!$C$47,Inputs!$D$47,Inputs!$D$48))))*((Inputs!$B$31+(S54-0.5)*2*Inputs!$B$53)/Inputs!$B$31)</f>
        <v>0.60114410034624821</v>
      </c>
      <c r="Y54" s="44">
        <f ca="1">(IF(H54&gt;=Inputs!$E$16,1,IF(O54&lt;=Inputs!$C$46,Inputs!$D$46,IF(O54&lt;=Inputs!$C$47,Inputs!$D$47,Inputs!$D$48))))*((Inputs!$B$32+(T54-0.5)*2*Inputs!$B$53)/Inputs!$B$32)</f>
        <v>1.0048029006806065</v>
      </c>
      <c r="Z54" s="45">
        <f ca="1">ILP_B_Moderate!$C$9*U54+ILP_B_Moderate!$C$10*V54+ILP_B_Moderate!$C$11*W54+ILP_B_Moderate!$C$12*X54+ILP_B_Moderate!$C$13*Y54</f>
        <v>14387.208314885063</v>
      </c>
      <c r="AA54" s="45">
        <f ca="1">ILP_B_Moderate!$D$9*U54+ILP_B_Moderate!$D$10*V54+ILP_B_Moderate!$D$11*W54+ILP_B_Moderate!$D$12*X54+ILP_B_Moderate!$D$13*Y54</f>
        <v>13855.287071422239</v>
      </c>
      <c r="AB54" s="45">
        <f ca="1">ILP_B_Moderate!$E$9*U54+ILP_B_Moderate!$E$10*V54+ILP_B_Moderate!$E$11*W54+ILP_B_Moderate!$E$12*X54+ILP_B_Moderate!$E$13*Y54</f>
        <v>11989.143548050379</v>
      </c>
      <c r="AC54" s="45">
        <f ca="1">Inputs!$B$6*$C54</f>
        <v>20700</v>
      </c>
      <c r="AD54" s="45">
        <f ca="1">Inputs!$B$7*$C54</f>
        <v>17250</v>
      </c>
      <c r="AE54" s="45">
        <f ca="1">Inputs!$B$8*$C54</f>
        <v>13799.999999999998</v>
      </c>
      <c r="AF54" s="45">
        <f t="shared" ca="1" si="28"/>
        <v>6312.7916851149366</v>
      </c>
      <c r="AG54" s="45">
        <f t="shared" ca="1" si="29"/>
        <v>3394.712928577761</v>
      </c>
      <c r="AH54" s="45">
        <f t="shared" ca="1" si="30"/>
        <v>1810.8564519496194</v>
      </c>
      <c r="AI54" s="45">
        <f t="shared" ca="1" si="31"/>
        <v>11518.361065642317</v>
      </c>
      <c r="AJ54" s="45">
        <f ca="1">U54*(Inputs!$B$12-ILP_B_Moderate!$F$9)+V54*(Inputs!$B$13-ILP_B_Moderate!$F$10)+W54*(Inputs!$B$14-ILP_B_Moderate!$F$11)+X54*(Inputs!$B$15-ILP_B_Moderate!$F$12)+Y54*(Inputs!$B$16-ILP_B_Moderate!$F$13)</f>
        <v>24935.439205677536</v>
      </c>
      <c r="AK54" s="45">
        <f t="shared" ca="1" si="32"/>
        <v>11518.361065642317</v>
      </c>
      <c r="AL54" s="45">
        <f t="shared" ca="1" si="33"/>
        <v>0</v>
      </c>
      <c r="AM54" s="45">
        <f t="shared" ca="1" si="34"/>
        <v>0</v>
      </c>
      <c r="AN54" s="45">
        <f t="shared" ca="1" si="35"/>
        <v>0</v>
      </c>
      <c r="AO54" s="45">
        <f ca="1">MIN(AL54,Inputs!$B$36)</f>
        <v>0</v>
      </c>
      <c r="AP54" s="45">
        <f ca="1">MIN(AN54,Inputs!$B$36-AO54)</f>
        <v>0</v>
      </c>
      <c r="AQ54" s="45">
        <f ca="1">MIN(AM54,Inputs!$B$36-AO54-AP54)</f>
        <v>0</v>
      </c>
      <c r="AR54" s="45">
        <f t="shared" ca="1" si="36"/>
        <v>0</v>
      </c>
      <c r="AS54" s="45">
        <f t="shared" ca="1" si="37"/>
        <v>0</v>
      </c>
      <c r="AT54" s="45">
        <f t="shared" ca="1" si="38"/>
        <v>0</v>
      </c>
      <c r="AU54" s="45">
        <f t="shared" ca="1" si="39"/>
        <v>0</v>
      </c>
      <c r="AV54" s="46">
        <f ca="1">AU54*Inputs!$B$35</f>
        <v>0</v>
      </c>
      <c r="AW54" s="46">
        <f ca="1">AR54*Inputs!$C$6+AT54*Inputs!$C$7+AS54*Inputs!$C$8</f>
        <v>0</v>
      </c>
      <c r="AX54" s="46">
        <f t="shared" ca="1" si="40"/>
        <v>42625819.839653872</v>
      </c>
      <c r="AY54" s="46">
        <f ca="1">IF(J54&gt;1,($CD$4)*Inputs!$B$55*((Z54+AA54+AB54)/(SUM(ILP_B_Moderate!$C$9:$E$13))),0)</f>
        <v>0</v>
      </c>
      <c r="AZ54" s="46">
        <f t="shared" ca="1" si="41"/>
        <v>0</v>
      </c>
      <c r="BA54" s="41">
        <f t="shared" ca="1" si="42"/>
        <v>0</v>
      </c>
      <c r="BB54" s="41">
        <f t="shared" ca="1" si="43"/>
        <v>1</v>
      </c>
      <c r="BC54" s="41">
        <f t="shared" ca="1" si="44"/>
        <v>1</v>
      </c>
      <c r="BD54" s="41">
        <f t="shared" ca="1" si="45"/>
        <v>1</v>
      </c>
    </row>
    <row r="55" spans="1:56" ht="15" customHeight="1" x14ac:dyDescent="0.3">
      <c r="A55" s="41">
        <v>48</v>
      </c>
      <c r="B55" s="42">
        <f t="shared" ca="1" si="27"/>
        <v>0.63528716332933433</v>
      </c>
      <c r="C55" s="43">
        <f ca="1">IF(B55&lt;=Inputs!$C$40,Inputs!$D$40,IF(B55&lt;=Inputs!$C$41,Inputs!$D$41,Inputs!$D$42))</f>
        <v>1</v>
      </c>
      <c r="D55" s="42">
        <f t="shared" ca="1" si="46"/>
        <v>0.39033442722450407</v>
      </c>
      <c r="E55" s="42">
        <f t="shared" ca="1" si="46"/>
        <v>0.12352521267540906</v>
      </c>
      <c r="F55" s="42">
        <f t="shared" ca="1" si="46"/>
        <v>0.93967340914026398</v>
      </c>
      <c r="G55" s="42">
        <f t="shared" ca="1" si="46"/>
        <v>0.32373208648006591</v>
      </c>
      <c r="H55" s="42">
        <f t="shared" ca="1" si="46"/>
        <v>0.56282198574654774</v>
      </c>
      <c r="I55" s="42">
        <f t="shared" ca="1" si="46"/>
        <v>0.79031534412597848</v>
      </c>
      <c r="J55" s="43">
        <f ca="1">IF(I55&lt;Inputs!$B$54,1+Inputs!$B$55,1)</f>
        <v>1</v>
      </c>
      <c r="K55" s="42">
        <f t="shared" ca="1" si="47"/>
        <v>0.65369309036855427</v>
      </c>
      <c r="L55" s="42">
        <f t="shared" ca="1" si="47"/>
        <v>3.0888480094530935E-2</v>
      </c>
      <c r="M55" s="42">
        <f t="shared" ca="1" si="47"/>
        <v>2.1457507593007907E-3</v>
      </c>
      <c r="N55" s="42">
        <f t="shared" ca="1" si="47"/>
        <v>0.31600460699883925</v>
      </c>
      <c r="O55" s="42">
        <f t="shared" ca="1" si="47"/>
        <v>0.21385553600809204</v>
      </c>
      <c r="P55" s="42">
        <f t="shared" ca="1" si="47"/>
        <v>0.41332713015025691</v>
      </c>
      <c r="Q55" s="42">
        <f t="shared" ca="1" si="47"/>
        <v>0.20115270263008544</v>
      </c>
      <c r="R55" s="42">
        <f t="shared" ca="1" si="47"/>
        <v>0.73325375201042742</v>
      </c>
      <c r="S55" s="42">
        <f t="shared" ca="1" si="47"/>
        <v>0.76091915384264053</v>
      </c>
      <c r="T55" s="42">
        <f t="shared" ca="1" si="47"/>
        <v>0.67931766386581083</v>
      </c>
      <c r="U55" s="44">
        <f ca="1">(IF(D55&gt;=Inputs!$E$12,1,IF(K55&lt;=Inputs!$C$46,Inputs!$D$46,IF(K55&lt;=Inputs!$C$47,Inputs!$D$47,Inputs!$D$48))))*((Inputs!$B$28+(P55-0.5)*2*Inputs!$B$53)/Inputs!$B$28)</f>
        <v>0.99912274423228997</v>
      </c>
      <c r="V55" s="44">
        <f ca="1">(IF(E55&gt;=Inputs!$E$13,1,IF(L55&lt;=Inputs!$C$46,Inputs!$D$46,IF(L55&lt;=Inputs!$C$47,Inputs!$D$47,Inputs!$D$48))))*((Inputs!$B$29+(Q55-0.5)*2*Inputs!$B$53)/Inputs!$B$29)</f>
        <v>0.99698742643780325</v>
      </c>
      <c r="W55" s="44">
        <f ca="1">(IF(F55&gt;=Inputs!$E$14,1,IF(M55&lt;=Inputs!$C$46,Inputs!$D$46,IF(M55&lt;=Inputs!$C$47,Inputs!$D$47,Inputs!$D$48))))*((Inputs!$B$30+(R55-0.5)*2*Inputs!$B$53)/Inputs!$B$30)</f>
        <v>1.0023442588141751</v>
      </c>
      <c r="X55" s="44">
        <f ca="1">(IF(G55&gt;=Inputs!$E$15,1,IF(N55&lt;=Inputs!$C$46,Inputs!$D$46,IF(N55&lt;=Inputs!$C$47,Inputs!$D$47,Inputs!$D$48))))*((Inputs!$B$31+(S55-0.5)*2*Inputs!$B$53)/Inputs!$B$31)</f>
        <v>1.0026489254197222</v>
      </c>
      <c r="Y55" s="44">
        <f ca="1">(IF(H55&gt;=Inputs!$E$16,1,IF(O55&lt;=Inputs!$C$46,Inputs!$D$46,IF(O55&lt;=Inputs!$C$47,Inputs!$D$47,Inputs!$D$48))))*((Inputs!$B$32+(T55-0.5)*2*Inputs!$B$53)/Inputs!$B$32)</f>
        <v>1.0018040006425131</v>
      </c>
      <c r="Z55" s="45">
        <f ca="1">ILP_B_Moderate!$C$9*U55+ILP_B_Moderate!$C$10*V55+ILP_B_Moderate!$C$11*W55+ILP_B_Moderate!$C$12*X55+ILP_B_Moderate!$C$13*Y55</f>
        <v>18007.677076367858</v>
      </c>
      <c r="AA55" s="45">
        <f ca="1">ILP_B_Moderate!$D$9*U55+ILP_B_Moderate!$D$10*V55+ILP_B_Moderate!$D$11*W55+ILP_B_Moderate!$D$12*X55+ILP_B_Moderate!$D$13*Y55</f>
        <v>14980.770110974257</v>
      </c>
      <c r="AB55" s="45">
        <f ca="1">ILP_B_Moderate!$E$9*U55+ILP_B_Moderate!$E$10*V55+ILP_B_Moderate!$E$11*W55+ILP_B_Moderate!$E$12*X55+ILP_B_Moderate!$E$13*Y55</f>
        <v>11993.441968549769</v>
      </c>
      <c r="AC55" s="45">
        <f ca="1">Inputs!$B$6*$C55</f>
        <v>18000</v>
      </c>
      <c r="AD55" s="45">
        <f ca="1">Inputs!$B$7*$C55</f>
        <v>15000</v>
      </c>
      <c r="AE55" s="45">
        <f ca="1">Inputs!$B$8*$C55</f>
        <v>12000</v>
      </c>
      <c r="AF55" s="45">
        <f t="shared" ca="1" si="28"/>
        <v>0</v>
      </c>
      <c r="AG55" s="45">
        <f t="shared" ca="1" si="29"/>
        <v>19.229889025742523</v>
      </c>
      <c r="AH55" s="45">
        <f t="shared" ca="1" si="30"/>
        <v>6.5580314502312831</v>
      </c>
      <c r="AI55" s="45">
        <f t="shared" ca="1" si="31"/>
        <v>25.787920475973806</v>
      </c>
      <c r="AJ55" s="45">
        <f ca="1">U55*(Inputs!$B$12-ILP_B_Moderate!$F$9)+V55*(Inputs!$B$13-ILP_B_Moderate!$F$10)+W55*(Inputs!$B$14-ILP_B_Moderate!$F$11)+X55*(Inputs!$B$15-ILP_B_Moderate!$F$12)+Y55*(Inputs!$B$16-ILP_B_Moderate!$F$13)</f>
        <v>25051.22120121264</v>
      </c>
      <c r="AK55" s="45">
        <f t="shared" ca="1" si="32"/>
        <v>25.787920475973806</v>
      </c>
      <c r="AL55" s="45">
        <f t="shared" ca="1" si="33"/>
        <v>0</v>
      </c>
      <c r="AM55" s="45">
        <f t="shared" ca="1" si="34"/>
        <v>0</v>
      </c>
      <c r="AN55" s="45">
        <f t="shared" ca="1" si="35"/>
        <v>0</v>
      </c>
      <c r="AO55" s="45">
        <f ca="1">MIN(AL55,Inputs!$B$36)</f>
        <v>0</v>
      </c>
      <c r="AP55" s="45">
        <f ca="1">MIN(AN55,Inputs!$B$36-AO55)</f>
        <v>0</v>
      </c>
      <c r="AQ55" s="45">
        <f ca="1">MIN(AM55,Inputs!$B$36-AO55-AP55)</f>
        <v>0</v>
      </c>
      <c r="AR55" s="45">
        <f t="shared" ca="1" si="36"/>
        <v>0</v>
      </c>
      <c r="AS55" s="45">
        <f t="shared" ca="1" si="37"/>
        <v>0</v>
      </c>
      <c r="AT55" s="45">
        <f t="shared" ca="1" si="38"/>
        <v>0</v>
      </c>
      <c r="AU55" s="45">
        <f t="shared" ca="1" si="39"/>
        <v>0</v>
      </c>
      <c r="AV55" s="46">
        <f ca="1">AU55*Inputs!$B$35</f>
        <v>0</v>
      </c>
      <c r="AW55" s="46">
        <f ca="1">AR55*Inputs!$C$6+AT55*Inputs!$C$7+AS55*Inputs!$C$8</f>
        <v>0</v>
      </c>
      <c r="AX55" s="46">
        <f t="shared" ca="1" si="40"/>
        <v>47549231.314478964</v>
      </c>
      <c r="AY55" s="46">
        <f ca="1">IF(J55&gt;1,($CD$4)*Inputs!$B$55*((Z55+AA55+AB55)/(SUM(ILP_B_Moderate!$C$9:$E$13))),0)</f>
        <v>0</v>
      </c>
      <c r="AZ55" s="46">
        <f t="shared" ca="1" si="41"/>
        <v>0</v>
      </c>
      <c r="BA55" s="41">
        <f t="shared" ca="1" si="42"/>
        <v>0</v>
      </c>
      <c r="BB55" s="41">
        <f t="shared" ca="1" si="43"/>
        <v>1</v>
      </c>
      <c r="BC55" s="41">
        <f t="shared" ca="1" si="44"/>
        <v>1</v>
      </c>
      <c r="BD55" s="41">
        <f t="shared" ca="1" si="45"/>
        <v>1</v>
      </c>
    </row>
    <row r="56" spans="1:56" ht="15" customHeight="1" x14ac:dyDescent="0.3">
      <c r="A56" s="41">
        <v>49</v>
      </c>
      <c r="B56" s="42">
        <f t="shared" ca="1" si="27"/>
        <v>0.86779944986937996</v>
      </c>
      <c r="C56" s="43">
        <f ca="1">IF(B56&lt;=Inputs!$C$40,Inputs!$D$40,IF(B56&lt;=Inputs!$C$41,Inputs!$D$41,Inputs!$D$42))</f>
        <v>1.1499999999999999</v>
      </c>
      <c r="D56" s="42">
        <f t="shared" ca="1" si="46"/>
        <v>0.69009996847400235</v>
      </c>
      <c r="E56" s="42">
        <f t="shared" ca="1" si="46"/>
        <v>0.81002597294418643</v>
      </c>
      <c r="F56" s="42">
        <f t="shared" ca="1" si="46"/>
        <v>0.91737509702275133</v>
      </c>
      <c r="G56" s="42">
        <f t="shared" ca="1" si="46"/>
        <v>0.20957107854903123</v>
      </c>
      <c r="H56" s="42">
        <f t="shared" ca="1" si="46"/>
        <v>0.77644983038580406</v>
      </c>
      <c r="I56" s="42">
        <f t="shared" ca="1" si="46"/>
        <v>0.68609320093166926</v>
      </c>
      <c r="J56" s="43">
        <f ca="1">IF(I56&lt;Inputs!$B$54,1+Inputs!$B$55,1)</f>
        <v>1</v>
      </c>
      <c r="K56" s="42">
        <f t="shared" ca="1" si="47"/>
        <v>0.87433451879033552</v>
      </c>
      <c r="L56" s="42">
        <f t="shared" ca="1" si="47"/>
        <v>0.85218903039614935</v>
      </c>
      <c r="M56" s="42">
        <f t="shared" ca="1" si="47"/>
        <v>0.50099423545825472</v>
      </c>
      <c r="N56" s="42">
        <f t="shared" ca="1" si="47"/>
        <v>0.96731295743973111</v>
      </c>
      <c r="O56" s="42">
        <f t="shared" ca="1" si="47"/>
        <v>0.13159337919393299</v>
      </c>
      <c r="P56" s="42">
        <f t="shared" ca="1" si="47"/>
        <v>0.27898854381798688</v>
      </c>
      <c r="Q56" s="42">
        <f t="shared" ca="1" si="47"/>
        <v>0.85026071339165532</v>
      </c>
      <c r="R56" s="42">
        <f t="shared" ca="1" si="47"/>
        <v>0.47379044044295948</v>
      </c>
      <c r="S56" s="42">
        <f t="shared" ca="1" si="47"/>
        <v>0.46966553009458822</v>
      </c>
      <c r="T56" s="42">
        <f t="shared" ca="1" si="47"/>
        <v>0.25481423747187804</v>
      </c>
      <c r="U56" s="44">
        <f ca="1">(IF(D56&gt;=Inputs!$E$12,1,IF(K56&lt;=Inputs!$C$46,Inputs!$D$46,IF(K56&lt;=Inputs!$C$47,Inputs!$D$47,Inputs!$D$48))))*((Inputs!$B$28+(P56-0.5)*2*Inputs!$B$53)/Inputs!$B$28)</f>
        <v>0.99776304194147769</v>
      </c>
      <c r="V56" s="44">
        <f ca="1">(IF(E56&gt;=Inputs!$E$13,1,IF(L56&lt;=Inputs!$C$46,Inputs!$D$46,IF(L56&lt;=Inputs!$C$47,Inputs!$D$47,Inputs!$D$48))))*((Inputs!$B$29+(Q56-0.5)*2*Inputs!$B$53)/Inputs!$B$29)</f>
        <v>1.0035308539656418</v>
      </c>
      <c r="W56" s="44">
        <f ca="1">(IF(F56&gt;=Inputs!$E$14,1,IF(M56&lt;=Inputs!$C$46,Inputs!$D$46,IF(M56&lt;=Inputs!$C$47,Inputs!$D$47,Inputs!$D$48))))*((Inputs!$B$30+(R56-0.5)*2*Inputs!$B$53)/Inputs!$B$30)</f>
        <v>0.99973658734113524</v>
      </c>
      <c r="X56" s="44">
        <f ca="1">(IF(G56&gt;=Inputs!$E$15,1,IF(N56&lt;=Inputs!$C$46,Inputs!$D$46,IF(N56&lt;=Inputs!$C$47,Inputs!$D$47,Inputs!$D$48))))*((Inputs!$B$31+(S56-0.5)*2*Inputs!$B$53)/Inputs!$B$31)</f>
        <v>0.99969203583852373</v>
      </c>
      <c r="Y56" s="44">
        <f ca="1">(IF(H56&gt;=Inputs!$E$16,1,IF(O56&lt;=Inputs!$C$46,Inputs!$D$46,IF(O56&lt;=Inputs!$C$47,Inputs!$D$47,Inputs!$D$48))))*((Inputs!$B$32+(T56-0.5)*2*Inputs!$B$53)/Inputs!$B$32)</f>
        <v>0.99753334242929459</v>
      </c>
      <c r="Z56" s="45">
        <f ca="1">ILP_B_Moderate!$C$9*U56+ILP_B_Moderate!$C$10*V56+ILP_B_Moderate!$C$11*W56+ILP_B_Moderate!$C$12*X56+ILP_B_Moderate!$C$13*Y56</f>
        <v>17999.428668177577</v>
      </c>
      <c r="AA56" s="45">
        <f ca="1">ILP_B_Moderate!$D$9*U56+ILP_B_Moderate!$D$10*V56+ILP_B_Moderate!$D$11*W56+ILP_B_Moderate!$D$12*X56+ILP_B_Moderate!$D$13*Y56</f>
        <v>15015.143982093066</v>
      </c>
      <c r="AB56" s="45">
        <f ca="1">ILP_B_Moderate!$E$9*U56+ILP_B_Moderate!$E$10*V56+ILP_B_Moderate!$E$11*W56+ILP_B_Moderate!$E$12*X56+ILP_B_Moderate!$E$13*Y56</f>
        <v>11986.868045250083</v>
      </c>
      <c r="AC56" s="45">
        <f ca="1">Inputs!$B$6*$C56</f>
        <v>20700</v>
      </c>
      <c r="AD56" s="45">
        <f ca="1">Inputs!$B$7*$C56</f>
        <v>17250</v>
      </c>
      <c r="AE56" s="45">
        <f ca="1">Inputs!$B$8*$C56</f>
        <v>13799.999999999998</v>
      </c>
      <c r="AF56" s="45">
        <f t="shared" ca="1" si="28"/>
        <v>2700.5713318224225</v>
      </c>
      <c r="AG56" s="45">
        <f t="shared" ca="1" si="29"/>
        <v>2234.8560179069336</v>
      </c>
      <c r="AH56" s="45">
        <f t="shared" ca="1" si="30"/>
        <v>1813.1319547499152</v>
      </c>
      <c r="AI56" s="45">
        <f t="shared" ca="1" si="31"/>
        <v>6748.5593044792713</v>
      </c>
      <c r="AJ56" s="45">
        <f ca="1">U56*(Inputs!$B$12-ILP_B_Moderate!$F$9)+V56*(Inputs!$B$13-ILP_B_Moderate!$F$10)+W56*(Inputs!$B$14-ILP_B_Moderate!$F$11)+X56*(Inputs!$B$15-ILP_B_Moderate!$F$12)+Y56*(Inputs!$B$16-ILP_B_Moderate!$F$13)</f>
        <v>24968.080132998366</v>
      </c>
      <c r="AK56" s="45">
        <f t="shared" ca="1" si="32"/>
        <v>6748.5593044792713</v>
      </c>
      <c r="AL56" s="45">
        <f t="shared" ca="1" si="33"/>
        <v>0</v>
      </c>
      <c r="AM56" s="45">
        <f t="shared" ca="1" si="34"/>
        <v>0</v>
      </c>
      <c r="AN56" s="45">
        <f t="shared" ca="1" si="35"/>
        <v>0</v>
      </c>
      <c r="AO56" s="45">
        <f ca="1">MIN(AL56,Inputs!$B$36)</f>
        <v>0</v>
      </c>
      <c r="AP56" s="45">
        <f ca="1">MIN(AN56,Inputs!$B$36-AO56)</f>
        <v>0</v>
      </c>
      <c r="AQ56" s="45">
        <f ca="1">MIN(AM56,Inputs!$B$36-AO56-AP56)</f>
        <v>0</v>
      </c>
      <c r="AR56" s="45">
        <f t="shared" ca="1" si="36"/>
        <v>0</v>
      </c>
      <c r="AS56" s="45">
        <f t="shared" ca="1" si="37"/>
        <v>0</v>
      </c>
      <c r="AT56" s="45">
        <f t="shared" ca="1" si="38"/>
        <v>0</v>
      </c>
      <c r="AU56" s="45">
        <f t="shared" ca="1" si="39"/>
        <v>0</v>
      </c>
      <c r="AV56" s="46">
        <f ca="1">AU56*Inputs!$B$35</f>
        <v>0</v>
      </c>
      <c r="AW56" s="46">
        <f ca="1">AR56*Inputs!$C$6+AT56*Inputs!$C$7+AS56*Inputs!$C$8</f>
        <v>0</v>
      </c>
      <c r="AX56" s="46">
        <f t="shared" ca="1" si="40"/>
        <v>47569643.297546774</v>
      </c>
      <c r="AY56" s="46">
        <f ca="1">IF(J56&gt;1,($CD$4)*Inputs!$B$55*((Z56+AA56+AB56)/(SUM(ILP_B_Moderate!$C$9:$E$13))),0)</f>
        <v>0</v>
      </c>
      <c r="AZ56" s="46">
        <f t="shared" ca="1" si="41"/>
        <v>0</v>
      </c>
      <c r="BA56" s="41">
        <f t="shared" ca="1" si="42"/>
        <v>0</v>
      </c>
      <c r="BB56" s="41">
        <f t="shared" ca="1" si="43"/>
        <v>1</v>
      </c>
      <c r="BC56" s="41">
        <f t="shared" ca="1" si="44"/>
        <v>1</v>
      </c>
      <c r="BD56" s="41">
        <f t="shared" ca="1" si="45"/>
        <v>1</v>
      </c>
    </row>
    <row r="57" spans="1:56" ht="15" customHeight="1" x14ac:dyDescent="0.3">
      <c r="A57" s="41">
        <v>50</v>
      </c>
      <c r="B57" s="42">
        <f t="shared" ca="1" si="27"/>
        <v>0.66957165518475981</v>
      </c>
      <c r="C57" s="43">
        <f ca="1">IF(B57&lt;=Inputs!$C$40,Inputs!$D$40,IF(B57&lt;=Inputs!$C$41,Inputs!$D$41,Inputs!$D$42))</f>
        <v>1</v>
      </c>
      <c r="D57" s="42">
        <f t="shared" ca="1" si="46"/>
        <v>0.36560997165603026</v>
      </c>
      <c r="E57" s="42">
        <f t="shared" ca="1" si="46"/>
        <v>0.43292082582732316</v>
      </c>
      <c r="F57" s="42">
        <f t="shared" ca="1" si="46"/>
        <v>0.29913483158801679</v>
      </c>
      <c r="G57" s="42">
        <f t="shared" ca="1" si="46"/>
        <v>0.22461918554832827</v>
      </c>
      <c r="H57" s="42">
        <f t="shared" ca="1" si="46"/>
        <v>0.37989498323814974</v>
      </c>
      <c r="I57" s="42">
        <f t="shared" ca="1" si="46"/>
        <v>0.17099493528104359</v>
      </c>
      <c r="J57" s="43">
        <f ca="1">IF(I57&lt;Inputs!$B$54,1+Inputs!$B$55,1)</f>
        <v>1</v>
      </c>
      <c r="K57" s="42">
        <f t="shared" ca="1" si="47"/>
        <v>1.2820997930110045E-2</v>
      </c>
      <c r="L57" s="42">
        <f t="shared" ca="1" si="47"/>
        <v>0.81400717497338027</v>
      </c>
      <c r="M57" s="42">
        <f t="shared" ca="1" si="47"/>
        <v>0.61321153862700961</v>
      </c>
      <c r="N57" s="42">
        <f t="shared" ca="1" si="47"/>
        <v>0.25167866226341606</v>
      </c>
      <c r="O57" s="42">
        <f t="shared" ca="1" si="47"/>
        <v>0.83903120845377743</v>
      </c>
      <c r="P57" s="42">
        <f t="shared" ca="1" si="47"/>
        <v>0.96884641664242188</v>
      </c>
      <c r="Q57" s="42">
        <f t="shared" ca="1" si="47"/>
        <v>0.35101783863493186</v>
      </c>
      <c r="R57" s="42">
        <f t="shared" ca="1" si="47"/>
        <v>0.92052781998893762</v>
      </c>
      <c r="S57" s="42">
        <f t="shared" ca="1" si="47"/>
        <v>0.62809624867383917</v>
      </c>
      <c r="T57" s="42">
        <f t="shared" ca="1" si="47"/>
        <v>9.4934801056835161E-3</v>
      </c>
      <c r="U57" s="44">
        <f ca="1">(IF(D57&gt;=Inputs!$E$12,1,IF(K57&lt;=Inputs!$C$46,Inputs!$D$46,IF(K57&lt;=Inputs!$C$47,Inputs!$D$47,Inputs!$D$48))))*((Inputs!$B$28+(P57-0.5)*2*Inputs!$B$53)/Inputs!$B$28)</f>
        <v>1.0047454090753281</v>
      </c>
      <c r="V57" s="44">
        <f ca="1">(IF(E57&gt;=Inputs!$E$13,1,IF(L57&lt;=Inputs!$C$46,Inputs!$D$46,IF(L57&lt;=Inputs!$C$47,Inputs!$D$47,Inputs!$D$48))))*((Inputs!$B$29+(Q57-0.5)*2*Inputs!$B$53)/Inputs!$B$29)</f>
        <v>0.99849816369591671</v>
      </c>
      <c r="W57" s="44">
        <f ca="1">(IF(F57&gt;=Inputs!$E$14,1,IF(M57&lt;=Inputs!$C$46,Inputs!$D$46,IF(M57&lt;=Inputs!$C$47,Inputs!$D$47,Inputs!$D$48))))*((Inputs!$B$30+(R57-0.5)*2*Inputs!$B$53)/Inputs!$B$30)</f>
        <v>1.0042264102511451</v>
      </c>
      <c r="X57" s="44">
        <f ca="1">(IF(G57&gt;=Inputs!$E$15,1,IF(N57&lt;=Inputs!$C$46,Inputs!$D$46,IF(N57&lt;=Inputs!$C$47,Inputs!$D$47,Inputs!$D$48))))*((Inputs!$B$31+(S57-0.5)*2*Inputs!$B$53)/Inputs!$B$31)</f>
        <v>1.0013004695296837</v>
      </c>
      <c r="Y57" s="44">
        <f ca="1">(IF(H57&gt;=Inputs!$E$16,1,IF(O57&lt;=Inputs!$C$46,Inputs!$D$46,IF(O57&lt;=Inputs!$C$47,Inputs!$D$47,Inputs!$D$48))))*((Inputs!$B$32+(T57-0.5)*2*Inputs!$B$53)/Inputs!$B$32)</f>
        <v>0.99506532676162662</v>
      </c>
      <c r="Z57" s="45">
        <f ca="1">ILP_B_Moderate!$C$9*U57+ILP_B_Moderate!$C$10*V57+ILP_B_Moderate!$C$11*W57+ILP_B_Moderate!$C$12*X57+ILP_B_Moderate!$C$13*Y57</f>
        <v>18030.223573336025</v>
      </c>
      <c r="AA57" s="45">
        <f ca="1">ILP_B_Moderate!$D$9*U57+ILP_B_Moderate!$D$10*V57+ILP_B_Moderate!$D$11*W57+ILP_B_Moderate!$D$12*X57+ILP_B_Moderate!$D$13*Y57</f>
        <v>15014.612066265618</v>
      </c>
      <c r="AB57" s="45">
        <f ca="1">ILP_B_Moderate!$E$9*U57+ILP_B_Moderate!$E$10*V57+ILP_B_Moderate!$E$11*W57+ILP_B_Moderate!$E$12*X57+ILP_B_Moderate!$E$13*Y57</f>
        <v>12007.501432748402</v>
      </c>
      <c r="AC57" s="45">
        <f ca="1">Inputs!$B$6*$C57</f>
        <v>18000</v>
      </c>
      <c r="AD57" s="45">
        <f ca="1">Inputs!$B$7*$C57</f>
        <v>15000</v>
      </c>
      <c r="AE57" s="45">
        <f ca="1">Inputs!$B$8*$C57</f>
        <v>12000</v>
      </c>
      <c r="AF57" s="45">
        <f t="shared" ca="1" si="28"/>
        <v>0</v>
      </c>
      <c r="AG57" s="45">
        <f t="shared" ca="1" si="29"/>
        <v>0</v>
      </c>
      <c r="AH57" s="45">
        <f t="shared" ca="1" si="30"/>
        <v>0</v>
      </c>
      <c r="AI57" s="45">
        <f t="shared" ca="1" si="31"/>
        <v>0</v>
      </c>
      <c r="AJ57" s="45">
        <f ca="1">U57*(Inputs!$B$12-ILP_B_Moderate!$F$9)+V57*(Inputs!$B$13-ILP_B_Moderate!$F$10)+W57*(Inputs!$B$14-ILP_B_Moderate!$F$11)+X57*(Inputs!$B$15-ILP_B_Moderate!$F$12)+Y57*(Inputs!$B$16-ILP_B_Moderate!$F$13)</f>
        <v>24999.092633643526</v>
      </c>
      <c r="AK57" s="45">
        <f t="shared" ca="1" si="32"/>
        <v>0</v>
      </c>
      <c r="AL57" s="45">
        <f t="shared" ca="1" si="33"/>
        <v>0</v>
      </c>
      <c r="AM57" s="45">
        <f t="shared" ca="1" si="34"/>
        <v>0</v>
      </c>
      <c r="AN57" s="45">
        <f t="shared" ca="1" si="35"/>
        <v>0</v>
      </c>
      <c r="AO57" s="45">
        <f ca="1">MIN(AL57,Inputs!$B$36)</f>
        <v>0</v>
      </c>
      <c r="AP57" s="45">
        <f ca="1">MIN(AN57,Inputs!$B$36-AO57)</f>
        <v>0</v>
      </c>
      <c r="AQ57" s="45">
        <f ca="1">MIN(AM57,Inputs!$B$36-AO57-AP57)</f>
        <v>0</v>
      </c>
      <c r="AR57" s="45">
        <f t="shared" ca="1" si="36"/>
        <v>0</v>
      </c>
      <c r="AS57" s="45">
        <f t="shared" ca="1" si="37"/>
        <v>0</v>
      </c>
      <c r="AT57" s="45">
        <f t="shared" ca="1" si="38"/>
        <v>0</v>
      </c>
      <c r="AU57" s="45">
        <f t="shared" ca="1" si="39"/>
        <v>0</v>
      </c>
      <c r="AV57" s="46">
        <f ca="1">AU57*Inputs!$B$35</f>
        <v>0</v>
      </c>
      <c r="AW57" s="46">
        <f ca="1">AR57*Inputs!$C$6+AT57*Inputs!$C$7+AS57*Inputs!$C$8</f>
        <v>0</v>
      </c>
      <c r="AX57" s="46">
        <f t="shared" ca="1" si="40"/>
        <v>47623581.519613177</v>
      </c>
      <c r="AY57" s="46">
        <f ca="1">IF(J57&gt;1,($CD$4)*Inputs!$B$55*((Z57+AA57+AB57)/(SUM(ILP_B_Moderate!$C$9:$E$13))),0)</f>
        <v>0</v>
      </c>
      <c r="AZ57" s="46">
        <f t="shared" ca="1" si="41"/>
        <v>0</v>
      </c>
      <c r="BA57" s="41">
        <f t="shared" ca="1" si="42"/>
        <v>0</v>
      </c>
      <c r="BB57" s="41">
        <f t="shared" ca="1" si="43"/>
        <v>1</v>
      </c>
      <c r="BC57" s="41">
        <f t="shared" ca="1" si="44"/>
        <v>1</v>
      </c>
      <c r="BD57" s="41">
        <f t="shared" ca="1" si="45"/>
        <v>1</v>
      </c>
    </row>
    <row r="58" spans="1:56" ht="15" customHeight="1" x14ac:dyDescent="0.3">
      <c r="A58" s="41">
        <v>51</v>
      </c>
      <c r="B58" s="42">
        <f t="shared" ca="1" si="27"/>
        <v>0.55610969718036185</v>
      </c>
      <c r="C58" s="43">
        <f ca="1">IF(B58&lt;=Inputs!$C$40,Inputs!$D$40,IF(B58&lt;=Inputs!$C$41,Inputs!$D$41,Inputs!$D$42))</f>
        <v>1</v>
      </c>
      <c r="D58" s="42">
        <f t="shared" ref="D58:I67" ca="1" si="48">RAND()</f>
        <v>0.53250216426399344</v>
      </c>
      <c r="E58" s="42">
        <f t="shared" ca="1" si="48"/>
        <v>0.77477189582813843</v>
      </c>
      <c r="F58" s="42">
        <f t="shared" ca="1" si="48"/>
        <v>0.51535962058075557</v>
      </c>
      <c r="G58" s="42">
        <f t="shared" ca="1" si="48"/>
        <v>5.4813685851238247E-3</v>
      </c>
      <c r="H58" s="42">
        <f t="shared" ca="1" si="48"/>
        <v>0.40273728330186132</v>
      </c>
      <c r="I58" s="42">
        <f t="shared" ca="1" si="48"/>
        <v>0.69373788790204594</v>
      </c>
      <c r="J58" s="43">
        <f ca="1">IF(I58&lt;Inputs!$B$54,1+Inputs!$B$55,1)</f>
        <v>1</v>
      </c>
      <c r="K58" s="42">
        <f t="shared" ref="K58:T67" ca="1" si="49">RAND()</f>
        <v>0.79692931305574155</v>
      </c>
      <c r="L58" s="42">
        <f t="shared" ca="1" si="49"/>
        <v>0.62761565766150385</v>
      </c>
      <c r="M58" s="42">
        <f t="shared" ca="1" si="49"/>
        <v>0.88638654925745552</v>
      </c>
      <c r="N58" s="42">
        <f t="shared" ca="1" si="49"/>
        <v>0.82578533463739701</v>
      </c>
      <c r="O58" s="42">
        <f t="shared" ca="1" si="49"/>
        <v>0.88338608656657069</v>
      </c>
      <c r="P58" s="42">
        <f t="shared" ca="1" si="49"/>
        <v>0.574912523871838</v>
      </c>
      <c r="Q58" s="42">
        <f t="shared" ca="1" si="49"/>
        <v>0.16757990129875033</v>
      </c>
      <c r="R58" s="42">
        <f t="shared" ca="1" si="49"/>
        <v>0.22674797370843358</v>
      </c>
      <c r="S58" s="42">
        <f t="shared" ca="1" si="49"/>
        <v>4.2527711196858498E-2</v>
      </c>
      <c r="T58" s="42">
        <f t="shared" ca="1" si="49"/>
        <v>0.79235077336292248</v>
      </c>
      <c r="U58" s="44">
        <f ca="1">(IF(D58&gt;=Inputs!$E$12,1,IF(K58&lt;=Inputs!$C$46,Inputs!$D$46,IF(K58&lt;=Inputs!$C$47,Inputs!$D$47,Inputs!$D$48))))*((Inputs!$B$28+(P58-0.5)*2*Inputs!$B$53)/Inputs!$B$28)</f>
        <v>1.0007582239258284</v>
      </c>
      <c r="V58" s="44">
        <f ca="1">(IF(E58&gt;=Inputs!$E$13,1,IF(L58&lt;=Inputs!$C$46,Inputs!$D$46,IF(L58&lt;=Inputs!$C$47,Inputs!$D$47,Inputs!$D$48))))*((Inputs!$B$29+(Q58-0.5)*2*Inputs!$B$53)/Inputs!$B$29)</f>
        <v>0.99664899094051163</v>
      </c>
      <c r="W58" s="44">
        <f ca="1">(IF(F58&gt;=Inputs!$E$14,1,IF(M58&lt;=Inputs!$C$46,Inputs!$D$46,IF(M58&lt;=Inputs!$C$47,Inputs!$D$47,Inputs!$D$48))))*((Inputs!$B$30+(R58-0.5)*2*Inputs!$B$53)/Inputs!$B$30)</f>
        <v>0.99725374847948167</v>
      </c>
      <c r="X58" s="44">
        <f ca="1">(IF(G58&gt;=Inputs!$E$15,1,IF(N58&lt;=Inputs!$C$46,Inputs!$D$46,IF(N58&lt;=Inputs!$C$47,Inputs!$D$47,Inputs!$D$48))))*((Inputs!$B$31+(S58-0.5)*2*Inputs!$B$53)/Inputs!$B$31)</f>
        <v>0</v>
      </c>
      <c r="Y58" s="44">
        <f ca="1">(IF(H58&gt;=Inputs!$E$16,1,IF(O58&lt;=Inputs!$C$46,Inputs!$D$46,IF(O58&lt;=Inputs!$C$47,Inputs!$D$47,Inputs!$D$48))))*((Inputs!$B$32+(T58-0.5)*2*Inputs!$B$53)/Inputs!$B$32)</f>
        <v>1.0029411546615989</v>
      </c>
      <c r="Z58" s="45">
        <f ca="1">ILP_B_Moderate!$C$9*U58+ILP_B_Moderate!$C$10*V58+ILP_B_Moderate!$C$11*W58+ILP_B_Moderate!$C$12*X58+ILP_B_Moderate!$C$13*Y58</f>
        <v>8990.9130652133081</v>
      </c>
      <c r="AA58" s="45">
        <f ca="1">ILP_B_Moderate!$D$9*U58+ILP_B_Moderate!$D$10*V58+ILP_B_Moderate!$D$11*W58+ILP_B_Moderate!$D$12*X58+ILP_B_Moderate!$D$13*Y58</f>
        <v>12158.415920026713</v>
      </c>
      <c r="AB58" s="45">
        <f ca="1">ILP_B_Moderate!$E$9*U58+ILP_B_Moderate!$E$10*V58+ILP_B_Moderate!$E$11*W58+ILP_B_Moderate!$E$12*X58+ILP_B_Moderate!$E$13*Y58</f>
        <v>12006.365187602309</v>
      </c>
      <c r="AC58" s="45">
        <f ca="1">Inputs!$B$6*$C58</f>
        <v>18000</v>
      </c>
      <c r="AD58" s="45">
        <f ca="1">Inputs!$B$7*$C58</f>
        <v>15000</v>
      </c>
      <c r="AE58" s="45">
        <f ca="1">Inputs!$B$8*$C58</f>
        <v>12000</v>
      </c>
      <c r="AF58" s="45">
        <f t="shared" ca="1" si="28"/>
        <v>9009.0869347866919</v>
      </c>
      <c r="AG58" s="45">
        <f t="shared" ca="1" si="29"/>
        <v>2841.5840799732869</v>
      </c>
      <c r="AH58" s="45">
        <f t="shared" ca="1" si="30"/>
        <v>0</v>
      </c>
      <c r="AI58" s="45">
        <f t="shared" ca="1" si="31"/>
        <v>11850.671014759979</v>
      </c>
      <c r="AJ58" s="45">
        <f ca="1">U58*(Inputs!$B$12-ILP_B_Moderate!$F$9)+V58*(Inputs!$B$13-ILP_B_Moderate!$F$10)+W58*(Inputs!$B$14-ILP_B_Moderate!$F$11)+X58*(Inputs!$B$15-ILP_B_Moderate!$F$12)+Y58*(Inputs!$B$16-ILP_B_Moderate!$F$13)</f>
        <v>24817.939333295333</v>
      </c>
      <c r="AK58" s="45">
        <f t="shared" ca="1" si="32"/>
        <v>11850.671014759979</v>
      </c>
      <c r="AL58" s="45">
        <f t="shared" ca="1" si="33"/>
        <v>0</v>
      </c>
      <c r="AM58" s="45">
        <f t="shared" ca="1" si="34"/>
        <v>0</v>
      </c>
      <c r="AN58" s="45">
        <f t="shared" ca="1" si="35"/>
        <v>0</v>
      </c>
      <c r="AO58" s="45">
        <f ca="1">MIN(AL58,Inputs!$B$36)</f>
        <v>0</v>
      </c>
      <c r="AP58" s="45">
        <f ca="1">MIN(AN58,Inputs!$B$36-AO58)</f>
        <v>0</v>
      </c>
      <c r="AQ58" s="45">
        <f ca="1">MIN(AM58,Inputs!$B$36-AO58-AP58)</f>
        <v>0</v>
      </c>
      <c r="AR58" s="45">
        <f t="shared" ca="1" si="36"/>
        <v>0</v>
      </c>
      <c r="AS58" s="45">
        <f t="shared" ca="1" si="37"/>
        <v>0</v>
      </c>
      <c r="AT58" s="45">
        <f t="shared" ca="1" si="38"/>
        <v>0</v>
      </c>
      <c r="AU58" s="45">
        <f t="shared" ca="1" si="39"/>
        <v>0</v>
      </c>
      <c r="AV58" s="46">
        <f ca="1">AU58*Inputs!$B$35</f>
        <v>0</v>
      </c>
      <c r="AW58" s="46">
        <f ca="1">AR58*Inputs!$C$6+AT58*Inputs!$C$7+AS58*Inputs!$C$8</f>
        <v>0</v>
      </c>
      <c r="AX58" s="46">
        <f t="shared" ca="1" si="40"/>
        <v>35293175.371770263</v>
      </c>
      <c r="AY58" s="46">
        <f ca="1">IF(J58&gt;1,($CD$4)*Inputs!$B$55*((Z58+AA58+AB58)/(SUM(ILP_B_Moderate!$C$9:$E$13))),0)</f>
        <v>0</v>
      </c>
      <c r="AZ58" s="46">
        <f t="shared" ca="1" si="41"/>
        <v>0</v>
      </c>
      <c r="BA58" s="41">
        <f t="shared" ca="1" si="42"/>
        <v>0</v>
      </c>
      <c r="BB58" s="41">
        <f t="shared" ca="1" si="43"/>
        <v>1</v>
      </c>
      <c r="BC58" s="41">
        <f t="shared" ca="1" si="44"/>
        <v>1</v>
      </c>
      <c r="BD58" s="41">
        <f t="shared" ca="1" si="45"/>
        <v>1</v>
      </c>
    </row>
    <row r="59" spans="1:56" ht="15" customHeight="1" x14ac:dyDescent="0.3">
      <c r="A59" s="41">
        <v>52</v>
      </c>
      <c r="B59" s="42">
        <f t="shared" ca="1" si="27"/>
        <v>0.32828053472189989</v>
      </c>
      <c r="C59" s="43">
        <f ca="1">IF(B59&lt;=Inputs!$C$40,Inputs!$D$40,IF(B59&lt;=Inputs!$C$41,Inputs!$D$41,Inputs!$D$42))</f>
        <v>1</v>
      </c>
      <c r="D59" s="42">
        <f t="shared" ca="1" si="48"/>
        <v>0.13945586667126753</v>
      </c>
      <c r="E59" s="42">
        <f t="shared" ca="1" si="48"/>
        <v>0.795811999572823</v>
      </c>
      <c r="F59" s="42">
        <f t="shared" ca="1" si="48"/>
        <v>0.51476064889246687</v>
      </c>
      <c r="G59" s="42">
        <f t="shared" ca="1" si="48"/>
        <v>0.75746736840056761</v>
      </c>
      <c r="H59" s="42">
        <f t="shared" ca="1" si="48"/>
        <v>0.70543907510547388</v>
      </c>
      <c r="I59" s="42">
        <f t="shared" ca="1" si="48"/>
        <v>0.47182965107624297</v>
      </c>
      <c r="J59" s="43">
        <f ca="1">IF(I59&lt;Inputs!$B$54,1+Inputs!$B$55,1)</f>
        <v>1</v>
      </c>
      <c r="K59" s="42">
        <f t="shared" ca="1" si="49"/>
        <v>0.23617516983703779</v>
      </c>
      <c r="L59" s="42">
        <f t="shared" ca="1" si="49"/>
        <v>0.80964251536922827</v>
      </c>
      <c r="M59" s="42">
        <f t="shared" ca="1" si="49"/>
        <v>0.40334011893626387</v>
      </c>
      <c r="N59" s="42">
        <f t="shared" ca="1" si="49"/>
        <v>0.65052070514554428</v>
      </c>
      <c r="O59" s="42">
        <f t="shared" ca="1" si="49"/>
        <v>0.61467231506626796</v>
      </c>
      <c r="P59" s="42">
        <f t="shared" ca="1" si="49"/>
        <v>0.97004054599031864</v>
      </c>
      <c r="Q59" s="42">
        <f t="shared" ca="1" si="49"/>
        <v>8.3186833342360211E-2</v>
      </c>
      <c r="R59" s="42">
        <f t="shared" ca="1" si="49"/>
        <v>0.69676223657672587</v>
      </c>
      <c r="S59" s="42">
        <f t="shared" ca="1" si="49"/>
        <v>0.39278203892043972</v>
      </c>
      <c r="T59" s="42">
        <f t="shared" ca="1" si="49"/>
        <v>0.59991103981207228</v>
      </c>
      <c r="U59" s="44">
        <f ca="1">(IF(D59&gt;=Inputs!$E$12,1,IF(K59&lt;=Inputs!$C$46,Inputs!$D$46,IF(K59&lt;=Inputs!$C$47,Inputs!$D$47,Inputs!$D$48))))*((Inputs!$B$28+(P59-0.5)*2*Inputs!$B$53)/Inputs!$B$28)</f>
        <v>1.0047574954047602</v>
      </c>
      <c r="V59" s="44">
        <f ca="1">(IF(E59&gt;=Inputs!$E$13,1,IF(L59&lt;=Inputs!$C$46,Inputs!$D$46,IF(L59&lt;=Inputs!$C$47,Inputs!$D$47,Inputs!$D$48))))*((Inputs!$B$29+(Q59-0.5)*2*Inputs!$B$53)/Inputs!$B$29)</f>
        <v>0.99579825436837055</v>
      </c>
      <c r="W59" s="44">
        <f ca="1">(IF(F59&gt;=Inputs!$E$14,1,IF(M59&lt;=Inputs!$C$46,Inputs!$D$46,IF(M59&lt;=Inputs!$C$47,Inputs!$D$47,Inputs!$D$48))))*((Inputs!$B$30+(R59-0.5)*2*Inputs!$B$53)/Inputs!$B$30)</f>
        <v>1.0019775099153441</v>
      </c>
      <c r="X59" s="44">
        <f ca="1">(IF(G59&gt;=Inputs!$E$15,1,IF(N59&lt;=Inputs!$C$46,Inputs!$D$46,IF(N59&lt;=Inputs!$C$47,Inputs!$D$47,Inputs!$D$48))))*((Inputs!$B$31+(S59-0.5)*2*Inputs!$B$53)/Inputs!$B$31)</f>
        <v>0.99891149278091818</v>
      </c>
      <c r="Y59" s="44">
        <f ca="1">(IF(H59&gt;=Inputs!$E$16,1,IF(O59&lt;=Inputs!$C$46,Inputs!$D$46,IF(O59&lt;=Inputs!$C$47,Inputs!$D$47,Inputs!$D$48))))*((Inputs!$B$32+(T59-0.5)*2*Inputs!$B$53)/Inputs!$B$32)</f>
        <v>1.0010051412455943</v>
      </c>
      <c r="Z59" s="45">
        <f ca="1">ILP_B_Moderate!$C$9*U59+ILP_B_Moderate!$C$10*V59+ILP_B_Moderate!$C$11*W59+ILP_B_Moderate!$C$12*X59+ILP_B_Moderate!$C$13*Y59</f>
        <v>17998.330712378203</v>
      </c>
      <c r="AA59" s="45">
        <f ca="1">ILP_B_Moderate!$D$9*U59+ILP_B_Moderate!$D$10*V59+ILP_B_Moderate!$D$11*W59+ILP_B_Moderate!$D$12*X59+ILP_B_Moderate!$D$13*Y59</f>
        <v>14987.682395899246</v>
      </c>
      <c r="AB59" s="45">
        <f ca="1">ILP_B_Moderate!$E$9*U59+ILP_B_Moderate!$E$10*V59+ILP_B_Moderate!$E$11*W59+ILP_B_Moderate!$E$12*X59+ILP_B_Moderate!$E$13*Y59</f>
        <v>12021.475292519033</v>
      </c>
      <c r="AC59" s="45">
        <f ca="1">Inputs!$B$6*$C59</f>
        <v>18000</v>
      </c>
      <c r="AD59" s="45">
        <f ca="1">Inputs!$B$7*$C59</f>
        <v>15000</v>
      </c>
      <c r="AE59" s="45">
        <f ca="1">Inputs!$B$8*$C59</f>
        <v>12000</v>
      </c>
      <c r="AF59" s="45">
        <f t="shared" ca="1" si="28"/>
        <v>1.6692876217966841</v>
      </c>
      <c r="AG59" s="45">
        <f t="shared" ca="1" si="29"/>
        <v>12.31760410075367</v>
      </c>
      <c r="AH59" s="45">
        <f t="shared" ca="1" si="30"/>
        <v>0</v>
      </c>
      <c r="AI59" s="45">
        <f t="shared" ca="1" si="31"/>
        <v>13.986891722550354</v>
      </c>
      <c r="AJ59" s="45">
        <f ca="1">U59*(Inputs!$B$12-ILP_B_Moderate!$F$9)+V59*(Inputs!$B$13-ILP_B_Moderate!$F$10)+W59*(Inputs!$B$14-ILP_B_Moderate!$F$11)+X59*(Inputs!$B$15-ILP_B_Moderate!$F$12)+Y59*(Inputs!$B$16-ILP_B_Moderate!$F$13)</f>
        <v>25037.529747791272</v>
      </c>
      <c r="AK59" s="45">
        <f t="shared" ca="1" si="32"/>
        <v>13.986891722550354</v>
      </c>
      <c r="AL59" s="45">
        <f t="shared" ca="1" si="33"/>
        <v>0</v>
      </c>
      <c r="AM59" s="45">
        <f t="shared" ca="1" si="34"/>
        <v>0</v>
      </c>
      <c r="AN59" s="45">
        <f t="shared" ca="1" si="35"/>
        <v>0</v>
      </c>
      <c r="AO59" s="45">
        <f ca="1">MIN(AL59,Inputs!$B$36)</f>
        <v>0</v>
      </c>
      <c r="AP59" s="45">
        <f ca="1">MIN(AN59,Inputs!$B$36-AO59)</f>
        <v>0</v>
      </c>
      <c r="AQ59" s="45">
        <f ca="1">MIN(AM59,Inputs!$B$36-AO59-AP59)</f>
        <v>0</v>
      </c>
      <c r="AR59" s="45">
        <f t="shared" ca="1" si="36"/>
        <v>0</v>
      </c>
      <c r="AS59" s="45">
        <f t="shared" ca="1" si="37"/>
        <v>0</v>
      </c>
      <c r="AT59" s="45">
        <f t="shared" ca="1" si="38"/>
        <v>0</v>
      </c>
      <c r="AU59" s="45">
        <f t="shared" ca="1" si="39"/>
        <v>0</v>
      </c>
      <c r="AV59" s="46">
        <f ca="1">AU59*Inputs!$B$35</f>
        <v>0</v>
      </c>
      <c r="AW59" s="46">
        <f ca="1">AR59*Inputs!$C$6+AT59*Inputs!$C$7+AS59*Inputs!$C$8</f>
        <v>0</v>
      </c>
      <c r="AX59" s="46">
        <f t="shared" ca="1" si="40"/>
        <v>47577746.984778993</v>
      </c>
      <c r="AY59" s="46">
        <f ca="1">IF(J59&gt;1,($CD$4)*Inputs!$B$55*((Z59+AA59+AB59)/(SUM(ILP_B_Moderate!$C$9:$E$13))),0)</f>
        <v>0</v>
      </c>
      <c r="AZ59" s="46">
        <f t="shared" ca="1" si="41"/>
        <v>0</v>
      </c>
      <c r="BA59" s="41">
        <f t="shared" ca="1" si="42"/>
        <v>0</v>
      </c>
      <c r="BB59" s="41">
        <f t="shared" ca="1" si="43"/>
        <v>1</v>
      </c>
      <c r="BC59" s="41">
        <f t="shared" ca="1" si="44"/>
        <v>1</v>
      </c>
      <c r="BD59" s="41">
        <f t="shared" ca="1" si="45"/>
        <v>1</v>
      </c>
    </row>
    <row r="60" spans="1:56" ht="15" customHeight="1" x14ac:dyDescent="0.3">
      <c r="A60" s="41">
        <v>53</v>
      </c>
      <c r="B60" s="42">
        <f t="shared" ca="1" si="27"/>
        <v>0.48186823083581065</v>
      </c>
      <c r="C60" s="43">
        <f ca="1">IF(B60&lt;=Inputs!$C$40,Inputs!$D$40,IF(B60&lt;=Inputs!$C$41,Inputs!$D$41,Inputs!$D$42))</f>
        <v>1</v>
      </c>
      <c r="D60" s="42">
        <f t="shared" ca="1" si="48"/>
        <v>0.29764827184776321</v>
      </c>
      <c r="E60" s="42">
        <f t="shared" ca="1" si="48"/>
        <v>0.94903133346324009</v>
      </c>
      <c r="F60" s="42">
        <f t="shared" ca="1" si="48"/>
        <v>0.87112153680762117</v>
      </c>
      <c r="G60" s="42">
        <f t="shared" ca="1" si="48"/>
        <v>0.75503888530742469</v>
      </c>
      <c r="H60" s="42">
        <f t="shared" ca="1" si="48"/>
        <v>0.54750140264039548</v>
      </c>
      <c r="I60" s="42">
        <f t="shared" ca="1" si="48"/>
        <v>0.87589401908360975</v>
      </c>
      <c r="J60" s="43">
        <f ca="1">IF(I60&lt;Inputs!$B$54,1+Inputs!$B$55,1)</f>
        <v>1</v>
      </c>
      <c r="K60" s="42">
        <f t="shared" ca="1" si="49"/>
        <v>0.40307004522526768</v>
      </c>
      <c r="L60" s="42">
        <f t="shared" ca="1" si="49"/>
        <v>0.29162045871007503</v>
      </c>
      <c r="M60" s="42">
        <f t="shared" ca="1" si="49"/>
        <v>6.7017248289918618E-2</v>
      </c>
      <c r="N60" s="42">
        <f t="shared" ca="1" si="49"/>
        <v>0.60977268804790674</v>
      </c>
      <c r="O60" s="42">
        <f t="shared" ca="1" si="49"/>
        <v>0.84252239747393909</v>
      </c>
      <c r="P60" s="42">
        <f t="shared" ca="1" si="49"/>
        <v>0.24021223797946478</v>
      </c>
      <c r="Q60" s="42">
        <f t="shared" ca="1" si="49"/>
        <v>0.56735088569635761</v>
      </c>
      <c r="R60" s="42">
        <f t="shared" ca="1" si="49"/>
        <v>0.74864316956107668</v>
      </c>
      <c r="S60" s="42">
        <f t="shared" ca="1" si="49"/>
        <v>8.9395696568822069E-2</v>
      </c>
      <c r="T60" s="42">
        <f t="shared" ca="1" si="49"/>
        <v>0.73246566701878024</v>
      </c>
      <c r="U60" s="44">
        <f ca="1">(IF(D60&gt;=Inputs!$E$12,1,IF(K60&lt;=Inputs!$C$46,Inputs!$D$46,IF(K60&lt;=Inputs!$C$47,Inputs!$D$47,Inputs!$D$48))))*((Inputs!$B$28+(P60-0.5)*2*Inputs!$B$53)/Inputs!$B$28)</f>
        <v>0.99737056921031841</v>
      </c>
      <c r="V60" s="44">
        <f ca="1">(IF(E60&gt;=Inputs!$E$13,1,IF(L60&lt;=Inputs!$C$46,Inputs!$D$46,IF(L60&lt;=Inputs!$C$47,Inputs!$D$47,Inputs!$D$48))))*((Inputs!$B$29+(Q60-0.5)*2*Inputs!$B$53)/Inputs!$B$29)</f>
        <v>1.0006789403800036</v>
      </c>
      <c r="W60" s="44">
        <f ca="1">(IF(F60&gt;=Inputs!$E$14,1,IF(M60&lt;=Inputs!$C$46,Inputs!$D$46,IF(M60&lt;=Inputs!$C$47,Inputs!$D$47,Inputs!$D$48))))*((Inputs!$B$30+(R60-0.5)*2*Inputs!$B$53)/Inputs!$B$30)</f>
        <v>1.002498926327247</v>
      </c>
      <c r="X60" s="44">
        <f ca="1">(IF(G60&gt;=Inputs!$E$15,1,IF(N60&lt;=Inputs!$C$46,Inputs!$D$46,IF(N60&lt;=Inputs!$C$47,Inputs!$D$47,Inputs!$D$48))))*((Inputs!$B$31+(S60-0.5)*2*Inputs!$B$53)/Inputs!$B$31)</f>
        <v>0.99583142839156169</v>
      </c>
      <c r="Y60" s="44">
        <f ca="1">(IF(H60&gt;=Inputs!$E$16,1,IF(O60&lt;=Inputs!$C$46,Inputs!$D$46,IF(O60&lt;=Inputs!$C$47,Inputs!$D$47,Inputs!$D$48))))*((Inputs!$B$32+(T60-0.5)*2*Inputs!$B$53)/Inputs!$B$32)</f>
        <v>1.0023386888030059</v>
      </c>
      <c r="Z60" s="45">
        <f ca="1">ILP_B_Moderate!$C$9*U60+ILP_B_Moderate!$C$10*V60+ILP_B_Moderate!$C$11*W60+ILP_B_Moderate!$C$12*X60+ILP_B_Moderate!$C$13*Y60</f>
        <v>17951.627991585941</v>
      </c>
      <c r="AA60" s="45">
        <f ca="1">ILP_B_Moderate!$D$9*U60+ILP_B_Moderate!$D$10*V60+ILP_B_Moderate!$D$11*W60+ILP_B_Moderate!$D$12*X60+ILP_B_Moderate!$D$13*Y60</f>
        <v>14981.030944818522</v>
      </c>
      <c r="AB60" s="45">
        <f ca="1">ILP_B_Moderate!$E$9*U60+ILP_B_Moderate!$E$10*V60+ILP_B_Moderate!$E$11*W60+ILP_B_Moderate!$E$12*X60+ILP_B_Moderate!$E$13*Y60</f>
        <v>11994.079621047671</v>
      </c>
      <c r="AC60" s="45">
        <f ca="1">Inputs!$B$6*$C60</f>
        <v>18000</v>
      </c>
      <c r="AD60" s="45">
        <f ca="1">Inputs!$B$7*$C60</f>
        <v>15000</v>
      </c>
      <c r="AE60" s="45">
        <f ca="1">Inputs!$B$8*$C60</f>
        <v>12000</v>
      </c>
      <c r="AF60" s="45">
        <f t="shared" ca="1" si="28"/>
        <v>48.372008414058655</v>
      </c>
      <c r="AG60" s="45">
        <f t="shared" ca="1" si="29"/>
        <v>18.969055181478325</v>
      </c>
      <c r="AH60" s="45">
        <f t="shared" ca="1" si="30"/>
        <v>5.9203789523289743</v>
      </c>
      <c r="AI60" s="45">
        <f t="shared" ca="1" si="31"/>
        <v>73.261442547865954</v>
      </c>
      <c r="AJ60" s="45">
        <f ca="1">U60*(Inputs!$B$12-ILP_B_Moderate!$F$9)+V60*(Inputs!$B$13-ILP_B_Moderate!$F$10)+W60*(Inputs!$B$14-ILP_B_Moderate!$F$11)+X60*(Inputs!$B$15-ILP_B_Moderate!$F$12)+Y60*(Inputs!$B$16-ILP_B_Moderate!$F$13)</f>
        <v>25058.239230231047</v>
      </c>
      <c r="AK60" s="45">
        <f t="shared" ca="1" si="32"/>
        <v>73.261442547865954</v>
      </c>
      <c r="AL60" s="45">
        <f t="shared" ca="1" si="33"/>
        <v>0</v>
      </c>
      <c r="AM60" s="45">
        <f t="shared" ca="1" si="34"/>
        <v>0</v>
      </c>
      <c r="AN60" s="45">
        <f t="shared" ca="1" si="35"/>
        <v>0</v>
      </c>
      <c r="AO60" s="45">
        <f ca="1">MIN(AL60,Inputs!$B$36)</f>
        <v>0</v>
      </c>
      <c r="AP60" s="45">
        <f ca="1">MIN(AN60,Inputs!$B$36-AO60)</f>
        <v>0</v>
      </c>
      <c r="AQ60" s="45">
        <f ca="1">MIN(AM60,Inputs!$B$36-AO60-AP60)</f>
        <v>0</v>
      </c>
      <c r="AR60" s="45">
        <f t="shared" ca="1" si="36"/>
        <v>0</v>
      </c>
      <c r="AS60" s="45">
        <f t="shared" ca="1" si="37"/>
        <v>0</v>
      </c>
      <c r="AT60" s="45">
        <f t="shared" ca="1" si="38"/>
        <v>0</v>
      </c>
      <c r="AU60" s="45">
        <f t="shared" ca="1" si="39"/>
        <v>0</v>
      </c>
      <c r="AV60" s="46">
        <f ca="1">AU60*Inputs!$B$35</f>
        <v>0</v>
      </c>
      <c r="AW60" s="46">
        <f ca="1">AR60*Inputs!$C$6+AT60*Inputs!$C$7+AS60*Inputs!$C$8</f>
        <v>0</v>
      </c>
      <c r="AX60" s="46">
        <f t="shared" ca="1" si="40"/>
        <v>47492392.07523533</v>
      </c>
      <c r="AY60" s="46">
        <f ca="1">IF(J60&gt;1,($CD$4)*Inputs!$B$55*((Z60+AA60+AB60)/(SUM(ILP_B_Moderate!$C$9:$E$13))),0)</f>
        <v>0</v>
      </c>
      <c r="AZ60" s="46">
        <f t="shared" ca="1" si="41"/>
        <v>0</v>
      </c>
      <c r="BA60" s="41">
        <f t="shared" ca="1" si="42"/>
        <v>0</v>
      </c>
      <c r="BB60" s="41">
        <f t="shared" ca="1" si="43"/>
        <v>1</v>
      </c>
      <c r="BC60" s="41">
        <f t="shared" ca="1" si="44"/>
        <v>1</v>
      </c>
      <c r="BD60" s="41">
        <f t="shared" ca="1" si="45"/>
        <v>1</v>
      </c>
    </row>
    <row r="61" spans="1:56" ht="15" customHeight="1" x14ac:dyDescent="0.3">
      <c r="A61" s="41">
        <v>54</v>
      </c>
      <c r="B61" s="42">
        <f t="shared" ca="1" si="27"/>
        <v>0.93147680876234229</v>
      </c>
      <c r="C61" s="43">
        <f ca="1">IF(B61&lt;=Inputs!$C$40,Inputs!$D$40,IF(B61&lt;=Inputs!$C$41,Inputs!$D$41,Inputs!$D$42))</f>
        <v>1.1499999999999999</v>
      </c>
      <c r="D61" s="42">
        <f t="shared" ca="1" si="48"/>
        <v>0.21044103266924097</v>
      </c>
      <c r="E61" s="42">
        <f t="shared" ca="1" si="48"/>
        <v>0.2408391795842818</v>
      </c>
      <c r="F61" s="42">
        <f t="shared" ca="1" si="48"/>
        <v>0.51426290326794577</v>
      </c>
      <c r="G61" s="42">
        <f t="shared" ca="1" si="48"/>
        <v>0.17948838247708099</v>
      </c>
      <c r="H61" s="42">
        <f t="shared" ca="1" si="48"/>
        <v>0.94543960733033794</v>
      </c>
      <c r="I61" s="42">
        <f t="shared" ca="1" si="48"/>
        <v>0.94360850253061801</v>
      </c>
      <c r="J61" s="43">
        <f ca="1">IF(I61&lt;Inputs!$B$54,1+Inputs!$B$55,1)</f>
        <v>1</v>
      </c>
      <c r="K61" s="42">
        <f t="shared" ca="1" si="49"/>
        <v>0.11897161827931235</v>
      </c>
      <c r="L61" s="42">
        <f t="shared" ca="1" si="49"/>
        <v>0.11915692789074084</v>
      </c>
      <c r="M61" s="42">
        <f t="shared" ca="1" si="49"/>
        <v>0.58718692882341961</v>
      </c>
      <c r="N61" s="42">
        <f t="shared" ca="1" si="49"/>
        <v>0.57224331236854153</v>
      </c>
      <c r="O61" s="42">
        <f t="shared" ca="1" si="49"/>
        <v>8.0570207190849286E-2</v>
      </c>
      <c r="P61" s="42">
        <f t="shared" ca="1" si="49"/>
        <v>0.22038283213781296</v>
      </c>
      <c r="Q61" s="42">
        <f t="shared" ca="1" si="49"/>
        <v>0.42300277466727643</v>
      </c>
      <c r="R61" s="42">
        <f t="shared" ca="1" si="49"/>
        <v>0.48877030483342931</v>
      </c>
      <c r="S61" s="42">
        <f t="shared" ca="1" si="49"/>
        <v>0.39247253215879485</v>
      </c>
      <c r="T61" s="42">
        <f t="shared" ca="1" si="49"/>
        <v>0.56589081630119742</v>
      </c>
      <c r="U61" s="44">
        <f ca="1">(IF(D61&gt;=Inputs!$E$12,1,IF(K61&lt;=Inputs!$C$46,Inputs!$D$46,IF(K61&lt;=Inputs!$C$47,Inputs!$D$47,Inputs!$D$48))))*((Inputs!$B$28+(P61-0.5)*2*Inputs!$B$53)/Inputs!$B$28)</f>
        <v>0.99716986672204266</v>
      </c>
      <c r="V61" s="44">
        <f ca="1">(IF(E61&gt;=Inputs!$E$13,1,IF(L61&lt;=Inputs!$C$46,Inputs!$D$46,IF(L61&lt;=Inputs!$C$47,Inputs!$D$47,Inputs!$D$48))))*((Inputs!$B$29+(Q61-0.5)*2*Inputs!$B$53)/Inputs!$B$29)</f>
        <v>0.99922381829301699</v>
      </c>
      <c r="W61" s="44">
        <f ca="1">(IF(F61&gt;=Inputs!$E$14,1,IF(M61&lt;=Inputs!$C$46,Inputs!$D$46,IF(M61&lt;=Inputs!$C$47,Inputs!$D$47,Inputs!$D$48))))*((Inputs!$B$30+(R61-0.5)*2*Inputs!$B$53)/Inputs!$B$30)</f>
        <v>0.99988713874204449</v>
      </c>
      <c r="X61" s="44">
        <f ca="1">(IF(G61&gt;=Inputs!$E$15,1,IF(N61&lt;=Inputs!$C$46,Inputs!$D$46,IF(N61&lt;=Inputs!$C$47,Inputs!$D$47,Inputs!$D$48))))*((Inputs!$B$31+(S61-0.5)*2*Inputs!$B$53)/Inputs!$B$31)</f>
        <v>0.29967250517408772</v>
      </c>
      <c r="Y61" s="44">
        <f ca="1">(IF(H61&gt;=Inputs!$E$16,1,IF(O61&lt;=Inputs!$C$46,Inputs!$D$46,IF(O61&lt;=Inputs!$C$47,Inputs!$D$47,Inputs!$D$48))))*((Inputs!$B$32+(T61-0.5)*2*Inputs!$B$53)/Inputs!$B$32)</f>
        <v>1.0006628854758672</v>
      </c>
      <c r="Z61" s="45">
        <f ca="1">ILP_B_Moderate!$C$9*U61+ILP_B_Moderate!$C$10*V61+ILP_B_Moderate!$C$11*W61+ILP_B_Moderate!$C$12*X61+ILP_B_Moderate!$C$13*Y61</f>
        <v>11679.534247547985</v>
      </c>
      <c r="AA61" s="45">
        <f ca="1">ILP_B_Moderate!$D$9*U61+ILP_B_Moderate!$D$10*V61+ILP_B_Moderate!$D$11*W61+ILP_B_Moderate!$D$12*X61+ILP_B_Moderate!$D$13*Y61</f>
        <v>13006.010078047715</v>
      </c>
      <c r="AB61" s="45">
        <f ca="1">ILP_B_Moderate!$E$9*U61+ILP_B_Moderate!$E$10*V61+ILP_B_Moderate!$E$11*W61+ILP_B_Moderate!$E$12*X61+ILP_B_Moderate!$E$13*Y61</f>
        <v>11983.375820155408</v>
      </c>
      <c r="AC61" s="45">
        <f ca="1">Inputs!$B$6*$C61</f>
        <v>20700</v>
      </c>
      <c r="AD61" s="45">
        <f ca="1">Inputs!$B$7*$C61</f>
        <v>17250</v>
      </c>
      <c r="AE61" s="45">
        <f ca="1">Inputs!$B$8*$C61</f>
        <v>13799.999999999998</v>
      </c>
      <c r="AF61" s="45">
        <f t="shared" ca="1" si="28"/>
        <v>9020.4657524520153</v>
      </c>
      <c r="AG61" s="45">
        <f t="shared" ca="1" si="29"/>
        <v>4243.9899219522849</v>
      </c>
      <c r="AH61" s="45">
        <f t="shared" ca="1" si="30"/>
        <v>1816.6241798445899</v>
      </c>
      <c r="AI61" s="45">
        <f t="shared" ca="1" si="31"/>
        <v>15081.07985424889</v>
      </c>
      <c r="AJ61" s="45">
        <f ca="1">U61*(Inputs!$B$12-ILP_B_Moderate!$F$9)+V61*(Inputs!$B$13-ILP_B_Moderate!$F$10)+W61*(Inputs!$B$14-ILP_B_Moderate!$F$11)+X61*(Inputs!$B$15-ILP_B_Moderate!$F$12)+Y61*(Inputs!$B$16-ILP_B_Moderate!$F$13)</f>
        <v>24879.47732577745</v>
      </c>
      <c r="AK61" s="45">
        <f t="shared" ca="1" si="32"/>
        <v>15081.07985424889</v>
      </c>
      <c r="AL61" s="45">
        <f t="shared" ca="1" si="33"/>
        <v>0</v>
      </c>
      <c r="AM61" s="45">
        <f t="shared" ca="1" si="34"/>
        <v>0</v>
      </c>
      <c r="AN61" s="45">
        <f t="shared" ca="1" si="35"/>
        <v>0</v>
      </c>
      <c r="AO61" s="45">
        <f ca="1">MIN(AL61,Inputs!$B$36)</f>
        <v>0</v>
      </c>
      <c r="AP61" s="45">
        <f ca="1">MIN(AN61,Inputs!$B$36-AO61)</f>
        <v>0</v>
      </c>
      <c r="AQ61" s="45">
        <f ca="1">MIN(AM61,Inputs!$B$36-AO61-AP61)</f>
        <v>0</v>
      </c>
      <c r="AR61" s="45">
        <f t="shared" ca="1" si="36"/>
        <v>0</v>
      </c>
      <c r="AS61" s="45">
        <f t="shared" ca="1" si="37"/>
        <v>0</v>
      </c>
      <c r="AT61" s="45">
        <f t="shared" ca="1" si="38"/>
        <v>0</v>
      </c>
      <c r="AU61" s="45">
        <f t="shared" ca="1" si="39"/>
        <v>0</v>
      </c>
      <c r="AV61" s="46">
        <f ca="1">AU61*Inputs!$B$35</f>
        <v>0</v>
      </c>
      <c r="AW61" s="46">
        <f ca="1">AR61*Inputs!$C$6+AT61*Inputs!$C$7+AS61*Inputs!$C$8</f>
        <v>0</v>
      </c>
      <c r="AX61" s="46">
        <f t="shared" ca="1" si="40"/>
        <v>38932944.596742198</v>
      </c>
      <c r="AY61" s="46">
        <f ca="1">IF(J61&gt;1,($CD$4)*Inputs!$B$55*((Z61+AA61+AB61)/(SUM(ILP_B_Moderate!$C$9:$E$13))),0)</f>
        <v>0</v>
      </c>
      <c r="AZ61" s="46">
        <f t="shared" ca="1" si="41"/>
        <v>0</v>
      </c>
      <c r="BA61" s="41">
        <f t="shared" ca="1" si="42"/>
        <v>0</v>
      </c>
      <c r="BB61" s="41">
        <f t="shared" ca="1" si="43"/>
        <v>1</v>
      </c>
      <c r="BC61" s="41">
        <f t="shared" ca="1" si="44"/>
        <v>1</v>
      </c>
      <c r="BD61" s="41">
        <f t="shared" ca="1" si="45"/>
        <v>1</v>
      </c>
    </row>
    <row r="62" spans="1:56" ht="15" customHeight="1" x14ac:dyDescent="0.3">
      <c r="A62" s="41">
        <v>55</v>
      </c>
      <c r="B62" s="42">
        <f t="shared" ca="1" si="27"/>
        <v>0.43527010558425561</v>
      </c>
      <c r="C62" s="43">
        <f ca="1">IF(B62&lt;=Inputs!$C$40,Inputs!$D$40,IF(B62&lt;=Inputs!$C$41,Inputs!$D$41,Inputs!$D$42))</f>
        <v>1</v>
      </c>
      <c r="D62" s="42">
        <f t="shared" ca="1" si="48"/>
        <v>0.95841098768041622</v>
      </c>
      <c r="E62" s="42">
        <f t="shared" ca="1" si="48"/>
        <v>0.12895284903322168</v>
      </c>
      <c r="F62" s="42">
        <f t="shared" ca="1" si="48"/>
        <v>0.33941194357780524</v>
      </c>
      <c r="G62" s="42">
        <f t="shared" ca="1" si="48"/>
        <v>0.99747719594694406</v>
      </c>
      <c r="H62" s="42">
        <f t="shared" ca="1" si="48"/>
        <v>0.98230112969221928</v>
      </c>
      <c r="I62" s="42">
        <f t="shared" ca="1" si="48"/>
        <v>0.54025353926381237</v>
      </c>
      <c r="J62" s="43">
        <f ca="1">IF(I62&lt;Inputs!$B$54,1+Inputs!$B$55,1)</f>
        <v>1</v>
      </c>
      <c r="K62" s="42">
        <f t="shared" ca="1" si="49"/>
        <v>0.73959374030637703</v>
      </c>
      <c r="L62" s="42">
        <f t="shared" ca="1" si="49"/>
        <v>0.15827881250309495</v>
      </c>
      <c r="M62" s="42">
        <f t="shared" ca="1" si="49"/>
        <v>0.30841007183625779</v>
      </c>
      <c r="N62" s="42">
        <f t="shared" ca="1" si="49"/>
        <v>0.4762817492751269</v>
      </c>
      <c r="O62" s="42">
        <f t="shared" ca="1" si="49"/>
        <v>0.41573781841099877</v>
      </c>
      <c r="P62" s="42">
        <f t="shared" ca="1" si="49"/>
        <v>0.70315874933110123</v>
      </c>
      <c r="Q62" s="42">
        <f t="shared" ca="1" si="49"/>
        <v>0.11196106845346609</v>
      </c>
      <c r="R62" s="42">
        <f t="shared" ca="1" si="49"/>
        <v>0.86667032067440275</v>
      </c>
      <c r="S62" s="42">
        <f t="shared" ca="1" si="49"/>
        <v>0.7473907681678299</v>
      </c>
      <c r="T62" s="42">
        <f t="shared" ca="1" si="49"/>
        <v>0.95532647011679661</v>
      </c>
      <c r="U62" s="44">
        <f ca="1">(IF(D62&gt;=Inputs!$E$12,1,IF(K62&lt;=Inputs!$C$46,Inputs!$D$46,IF(K62&lt;=Inputs!$C$47,Inputs!$D$47,Inputs!$D$48))))*((Inputs!$B$28+(P62-0.5)*2*Inputs!$B$53)/Inputs!$B$28)</f>
        <v>1.0020562626450515</v>
      </c>
      <c r="V62" s="44">
        <f ca="1">(IF(E62&gt;=Inputs!$E$13,1,IF(L62&lt;=Inputs!$C$46,Inputs!$D$46,IF(L62&lt;=Inputs!$C$47,Inputs!$D$47,Inputs!$D$48))))*((Inputs!$B$29+(Q62-0.5)*2*Inputs!$B$53)/Inputs!$B$29)</f>
        <v>0.99608831722231317</v>
      </c>
      <c r="W62" s="44">
        <f ca="1">(IF(F62&gt;=Inputs!$E$14,1,IF(M62&lt;=Inputs!$C$46,Inputs!$D$46,IF(M62&lt;=Inputs!$C$47,Inputs!$D$47,Inputs!$D$48))))*((Inputs!$B$30+(R62-0.5)*2*Inputs!$B$53)/Inputs!$B$30)</f>
        <v>1.0036851288509989</v>
      </c>
      <c r="X62" s="44">
        <f ca="1">(IF(G62&gt;=Inputs!$E$15,1,IF(N62&lt;=Inputs!$C$46,Inputs!$D$46,IF(N62&lt;=Inputs!$C$47,Inputs!$D$47,Inputs!$D$48))))*((Inputs!$B$31+(S62-0.5)*2*Inputs!$B$53)/Inputs!$B$31)</f>
        <v>1.002511581402719</v>
      </c>
      <c r="Y62" s="44">
        <f ca="1">(IF(H62&gt;=Inputs!$E$16,1,IF(O62&lt;=Inputs!$C$46,Inputs!$D$46,IF(O62&lt;=Inputs!$C$47,Inputs!$D$47,Inputs!$D$48))))*((Inputs!$B$32+(T62-0.5)*2*Inputs!$B$53)/Inputs!$B$32)</f>
        <v>1.0045807491963461</v>
      </c>
      <c r="Z62" s="45">
        <f ca="1">ILP_B_Moderate!$C$9*U62+ILP_B_Moderate!$C$10*V62+ILP_B_Moderate!$C$11*W62+ILP_B_Moderate!$C$12*X62+ILP_B_Moderate!$C$13*Y62</f>
        <v>18018.002711753092</v>
      </c>
      <c r="AA62" s="45">
        <f ca="1">ILP_B_Moderate!$D$9*U62+ILP_B_Moderate!$D$10*V62+ILP_B_Moderate!$D$11*W62+ILP_B_Moderate!$D$12*X62+ILP_B_Moderate!$D$13*Y62</f>
        <v>14987.368347901858</v>
      </c>
      <c r="AB62" s="45">
        <f ca="1">ILP_B_Moderate!$E$9*U62+ILP_B_Moderate!$E$10*V62+ILP_B_Moderate!$E$11*W62+ILP_B_Moderate!$E$12*X62+ILP_B_Moderate!$E$13*Y62</f>
        <v>12018.45511220172</v>
      </c>
      <c r="AC62" s="45">
        <f ca="1">Inputs!$B$6*$C62</f>
        <v>18000</v>
      </c>
      <c r="AD62" s="45">
        <f ca="1">Inputs!$B$7*$C62</f>
        <v>15000</v>
      </c>
      <c r="AE62" s="45">
        <f ca="1">Inputs!$B$8*$C62</f>
        <v>12000</v>
      </c>
      <c r="AF62" s="45">
        <f t="shared" ca="1" si="28"/>
        <v>0</v>
      </c>
      <c r="AG62" s="45">
        <f t="shared" ca="1" si="29"/>
        <v>12.631652098141785</v>
      </c>
      <c r="AH62" s="45">
        <f t="shared" ca="1" si="30"/>
        <v>0</v>
      </c>
      <c r="AI62" s="45">
        <f t="shared" ca="1" si="31"/>
        <v>12.631652098141785</v>
      </c>
      <c r="AJ62" s="45">
        <f ca="1">U62*(Inputs!$B$12-ILP_B_Moderate!$F$9)+V62*(Inputs!$B$13-ILP_B_Moderate!$F$10)+W62*(Inputs!$B$14-ILP_B_Moderate!$F$11)+X62*(Inputs!$B$15-ILP_B_Moderate!$F$12)+Y62*(Inputs!$B$16-ILP_B_Moderate!$F$13)</f>
        <v>25101.067361417347</v>
      </c>
      <c r="AK62" s="45">
        <f t="shared" ca="1" si="32"/>
        <v>12.631652098141785</v>
      </c>
      <c r="AL62" s="45">
        <f t="shared" ca="1" si="33"/>
        <v>0</v>
      </c>
      <c r="AM62" s="45">
        <f t="shared" ca="1" si="34"/>
        <v>0</v>
      </c>
      <c r="AN62" s="45">
        <f t="shared" ca="1" si="35"/>
        <v>0</v>
      </c>
      <c r="AO62" s="45">
        <f ca="1">MIN(AL62,Inputs!$B$36)</f>
        <v>0</v>
      </c>
      <c r="AP62" s="45">
        <f ca="1">MIN(AN62,Inputs!$B$36-AO62)</f>
        <v>0</v>
      </c>
      <c r="AQ62" s="45">
        <f ca="1">MIN(AM62,Inputs!$B$36-AO62-AP62)</f>
        <v>0</v>
      </c>
      <c r="AR62" s="45">
        <f t="shared" ca="1" si="36"/>
        <v>0</v>
      </c>
      <c r="AS62" s="45">
        <f t="shared" ca="1" si="37"/>
        <v>0</v>
      </c>
      <c r="AT62" s="45">
        <f t="shared" ca="1" si="38"/>
        <v>0</v>
      </c>
      <c r="AU62" s="45">
        <f t="shared" ca="1" si="39"/>
        <v>0</v>
      </c>
      <c r="AV62" s="46">
        <f ca="1">AU62*Inputs!$B$35</f>
        <v>0</v>
      </c>
      <c r="AW62" s="46">
        <f ca="1">AR62*Inputs!$C$6+AT62*Inputs!$C$7+AS62*Inputs!$C$8</f>
        <v>0</v>
      </c>
      <c r="AX62" s="46">
        <f t="shared" ca="1" si="40"/>
        <v>47594381.426924065</v>
      </c>
      <c r="AY62" s="46">
        <f ca="1">IF(J62&gt;1,($CD$4)*Inputs!$B$55*((Z62+AA62+AB62)/(SUM(ILP_B_Moderate!$C$9:$E$13))),0)</f>
        <v>0</v>
      </c>
      <c r="AZ62" s="46">
        <f t="shared" ca="1" si="41"/>
        <v>0</v>
      </c>
      <c r="BA62" s="41">
        <f t="shared" ca="1" si="42"/>
        <v>0</v>
      </c>
      <c r="BB62" s="41">
        <f t="shared" ca="1" si="43"/>
        <v>1</v>
      </c>
      <c r="BC62" s="41">
        <f t="shared" ca="1" si="44"/>
        <v>1</v>
      </c>
      <c r="BD62" s="41">
        <f t="shared" ca="1" si="45"/>
        <v>1</v>
      </c>
    </row>
    <row r="63" spans="1:56" ht="15" customHeight="1" x14ac:dyDescent="0.3">
      <c r="A63" s="41">
        <v>56</v>
      </c>
      <c r="B63" s="42">
        <f t="shared" ca="1" si="27"/>
        <v>0.63044492593549828</v>
      </c>
      <c r="C63" s="43">
        <f ca="1">IF(B63&lt;=Inputs!$C$40,Inputs!$D$40,IF(B63&lt;=Inputs!$C$41,Inputs!$D$41,Inputs!$D$42))</f>
        <v>1</v>
      </c>
      <c r="D63" s="42">
        <f t="shared" ca="1" si="48"/>
        <v>0.9813600259242774</v>
      </c>
      <c r="E63" s="42">
        <f t="shared" ca="1" si="48"/>
        <v>7.2840689359261801E-2</v>
      </c>
      <c r="F63" s="42">
        <f t="shared" ca="1" si="48"/>
        <v>0.63104258433673499</v>
      </c>
      <c r="G63" s="42">
        <f t="shared" ca="1" si="48"/>
        <v>0.50173603152878177</v>
      </c>
      <c r="H63" s="42">
        <f t="shared" ca="1" si="48"/>
        <v>0.97293738533905494</v>
      </c>
      <c r="I63" s="42">
        <f t="shared" ca="1" si="48"/>
        <v>0.91886963060433868</v>
      </c>
      <c r="J63" s="43">
        <f ca="1">IF(I63&lt;Inputs!$B$54,1+Inputs!$B$55,1)</f>
        <v>1</v>
      </c>
      <c r="K63" s="42">
        <f t="shared" ca="1" si="49"/>
        <v>0.3873936955444145</v>
      </c>
      <c r="L63" s="42">
        <f t="shared" ca="1" si="49"/>
        <v>0.49952921167757902</v>
      </c>
      <c r="M63" s="42">
        <f t="shared" ca="1" si="49"/>
        <v>0.36440220901350007</v>
      </c>
      <c r="N63" s="42">
        <f t="shared" ca="1" si="49"/>
        <v>8.6866656873738179E-2</v>
      </c>
      <c r="O63" s="42">
        <f t="shared" ca="1" si="49"/>
        <v>0.85511186274503925</v>
      </c>
      <c r="P63" s="42">
        <f t="shared" ca="1" si="49"/>
        <v>3.8516764077757171E-2</v>
      </c>
      <c r="Q63" s="42">
        <f t="shared" ca="1" si="49"/>
        <v>0.10652024616021327</v>
      </c>
      <c r="R63" s="42">
        <f t="shared" ca="1" si="49"/>
        <v>0.26078232404366153</v>
      </c>
      <c r="S63" s="42">
        <f t="shared" ca="1" si="49"/>
        <v>0.89764183371264239</v>
      </c>
      <c r="T63" s="42">
        <f t="shared" ca="1" si="49"/>
        <v>0.39544037185396552</v>
      </c>
      <c r="U63" s="44">
        <f ca="1">(IF(D63&gt;=Inputs!$E$12,1,IF(K63&lt;=Inputs!$C$46,Inputs!$D$46,IF(K63&lt;=Inputs!$C$47,Inputs!$D$47,Inputs!$D$48))))*((Inputs!$B$28+(P63-0.5)*2*Inputs!$B$53)/Inputs!$B$28)</f>
        <v>0.99532911704532145</v>
      </c>
      <c r="V63" s="44">
        <f ca="1">(IF(E63&gt;=Inputs!$E$13,1,IF(L63&lt;=Inputs!$C$46,Inputs!$D$46,IF(L63&lt;=Inputs!$C$47,Inputs!$D$47,Inputs!$D$48))))*((Inputs!$B$29+(Q63-0.5)*2*Inputs!$B$53)/Inputs!$B$29)</f>
        <v>0.29881004106701675</v>
      </c>
      <c r="W63" s="44">
        <f ca="1">(IF(F63&gt;=Inputs!$E$14,1,IF(M63&lt;=Inputs!$C$46,Inputs!$D$46,IF(M63&lt;=Inputs!$C$47,Inputs!$D$47,Inputs!$D$48))))*((Inputs!$B$30+(R63-0.5)*2*Inputs!$B$53)/Inputs!$B$30)</f>
        <v>0.99759580225169509</v>
      </c>
      <c r="X63" s="44">
        <f ca="1">(IF(G63&gt;=Inputs!$E$15,1,IF(N63&lt;=Inputs!$C$46,Inputs!$D$46,IF(N63&lt;=Inputs!$C$47,Inputs!$D$47,Inputs!$D$48))))*((Inputs!$B$31+(S63-0.5)*2*Inputs!$B$53)/Inputs!$B$31)</f>
        <v>1.004036972931093</v>
      </c>
      <c r="Y63" s="44">
        <f ca="1">(IF(H63&gt;=Inputs!$E$16,1,IF(O63&lt;=Inputs!$C$46,Inputs!$D$46,IF(O63&lt;=Inputs!$C$47,Inputs!$D$47,Inputs!$D$48))))*((Inputs!$B$32+(T63-0.5)*2*Inputs!$B$53)/Inputs!$B$32)</f>
        <v>0.99894809227217263</v>
      </c>
      <c r="Z63" s="45">
        <f ca="1">ILP_B_Moderate!$C$9*U63+ILP_B_Moderate!$C$10*V63+ILP_B_Moderate!$C$11*W63+ILP_B_Moderate!$C$12*X63+ILP_B_Moderate!$C$13*Y63</f>
        <v>15297.372947599733</v>
      </c>
      <c r="AA63" s="45">
        <f ca="1">ILP_B_Moderate!$D$9*U63+ILP_B_Moderate!$D$10*V63+ILP_B_Moderate!$D$11*W63+ILP_B_Moderate!$D$12*X63+ILP_B_Moderate!$D$13*Y63</f>
        <v>9730.5998394404123</v>
      </c>
      <c r="AB63" s="45">
        <f ca="1">ILP_B_Moderate!$E$9*U63+ILP_B_Moderate!$E$10*V63+ILP_B_Moderate!$E$11*W63+ILP_B_Moderate!$E$12*X63+ILP_B_Moderate!$E$13*Y63</f>
        <v>10204.115919072792</v>
      </c>
      <c r="AC63" s="45">
        <f ca="1">Inputs!$B$6*$C63</f>
        <v>18000</v>
      </c>
      <c r="AD63" s="45">
        <f ca="1">Inputs!$B$7*$C63</f>
        <v>15000</v>
      </c>
      <c r="AE63" s="45">
        <f ca="1">Inputs!$B$8*$C63</f>
        <v>12000</v>
      </c>
      <c r="AF63" s="45">
        <f t="shared" ca="1" si="28"/>
        <v>2702.6270524002666</v>
      </c>
      <c r="AG63" s="45">
        <f t="shared" ca="1" si="29"/>
        <v>5269.4001605595877</v>
      </c>
      <c r="AH63" s="45">
        <f t="shared" ca="1" si="30"/>
        <v>1795.8840809272078</v>
      </c>
      <c r="AI63" s="45">
        <f t="shared" ca="1" si="31"/>
        <v>9767.9112938870621</v>
      </c>
      <c r="AJ63" s="45">
        <f ca="1">U63*(Inputs!$B$12-ILP_B_Moderate!$F$9)+V63*(Inputs!$B$13-ILP_B_Moderate!$F$10)+W63*(Inputs!$B$14-ILP_B_Moderate!$F$11)+X63*(Inputs!$B$15-ILP_B_Moderate!$F$12)+Y63*(Inputs!$B$16-ILP_B_Moderate!$F$13)</f>
        <v>24877.928230078182</v>
      </c>
      <c r="AK63" s="45">
        <f t="shared" ca="1" si="32"/>
        <v>9767.9112938870621</v>
      </c>
      <c r="AL63" s="45">
        <f t="shared" ca="1" si="33"/>
        <v>0</v>
      </c>
      <c r="AM63" s="45">
        <f t="shared" ca="1" si="34"/>
        <v>0</v>
      </c>
      <c r="AN63" s="45">
        <f t="shared" ca="1" si="35"/>
        <v>0</v>
      </c>
      <c r="AO63" s="45">
        <f ca="1">MIN(AL63,Inputs!$B$36)</f>
        <v>0</v>
      </c>
      <c r="AP63" s="45">
        <f ca="1">MIN(AN63,Inputs!$B$36-AO63)</f>
        <v>0</v>
      </c>
      <c r="AQ63" s="45">
        <f ca="1">MIN(AM63,Inputs!$B$36-AO63-AP63)</f>
        <v>0</v>
      </c>
      <c r="AR63" s="45">
        <f t="shared" ca="1" si="36"/>
        <v>0</v>
      </c>
      <c r="AS63" s="45">
        <f t="shared" ca="1" si="37"/>
        <v>0</v>
      </c>
      <c r="AT63" s="45">
        <f t="shared" ca="1" si="38"/>
        <v>0</v>
      </c>
      <c r="AU63" s="45">
        <f t="shared" ca="1" si="39"/>
        <v>0</v>
      </c>
      <c r="AV63" s="46">
        <f ca="1">AU63*Inputs!$B$35</f>
        <v>0</v>
      </c>
      <c r="AW63" s="46">
        <f ca="1">AR63*Inputs!$C$6+AT63*Inputs!$C$7+AS63*Inputs!$C$8</f>
        <v>0</v>
      </c>
      <c r="AX63" s="46">
        <f t="shared" ca="1" si="40"/>
        <v>37258719.643346213</v>
      </c>
      <c r="AY63" s="46">
        <f ca="1">IF(J63&gt;1,($CD$4)*Inputs!$B$55*((Z63+AA63+AB63)/(SUM(ILP_B_Moderate!$C$9:$E$13))),0)</f>
        <v>0</v>
      </c>
      <c r="AZ63" s="46">
        <f t="shared" ca="1" si="41"/>
        <v>0</v>
      </c>
      <c r="BA63" s="41">
        <f t="shared" ca="1" si="42"/>
        <v>0</v>
      </c>
      <c r="BB63" s="41">
        <f t="shared" ca="1" si="43"/>
        <v>1</v>
      </c>
      <c r="BC63" s="41">
        <f t="shared" ca="1" si="44"/>
        <v>1</v>
      </c>
      <c r="BD63" s="41">
        <f t="shared" ca="1" si="45"/>
        <v>1</v>
      </c>
    </row>
    <row r="64" spans="1:56" ht="15" customHeight="1" x14ac:dyDescent="0.3">
      <c r="A64" s="41">
        <v>57</v>
      </c>
      <c r="B64" s="42">
        <f t="shared" ca="1" si="27"/>
        <v>0.72008254933840921</v>
      </c>
      <c r="C64" s="43">
        <f ca="1">IF(B64&lt;=Inputs!$C$40,Inputs!$D$40,IF(B64&lt;=Inputs!$C$41,Inputs!$D$41,Inputs!$D$42))</f>
        <v>1</v>
      </c>
      <c r="D64" s="42">
        <f t="shared" ca="1" si="48"/>
        <v>0.16593874489758087</v>
      </c>
      <c r="E64" s="42">
        <f t="shared" ca="1" si="48"/>
        <v>0.68427488368755929</v>
      </c>
      <c r="F64" s="42">
        <f t="shared" ca="1" si="48"/>
        <v>5.4235417461637847E-2</v>
      </c>
      <c r="G64" s="42">
        <f t="shared" ca="1" si="48"/>
        <v>0.35817342167133182</v>
      </c>
      <c r="H64" s="42">
        <f t="shared" ca="1" si="48"/>
        <v>0.32650332524643588</v>
      </c>
      <c r="I64" s="42">
        <f t="shared" ca="1" si="48"/>
        <v>1.9558119674153662E-2</v>
      </c>
      <c r="J64" s="43">
        <f ca="1">IF(I64&lt;Inputs!$B$54,1+Inputs!$B$55,1)</f>
        <v>1.25</v>
      </c>
      <c r="K64" s="42">
        <f t="shared" ca="1" si="49"/>
        <v>0.78146700748059217</v>
      </c>
      <c r="L64" s="42">
        <f t="shared" ca="1" si="49"/>
        <v>0.59496352737220137</v>
      </c>
      <c r="M64" s="42">
        <f t="shared" ca="1" si="49"/>
        <v>0.51612567539279186</v>
      </c>
      <c r="N64" s="42">
        <f t="shared" ca="1" si="49"/>
        <v>0.75438151181374236</v>
      </c>
      <c r="O64" s="42">
        <f t="shared" ca="1" si="49"/>
        <v>1.6787753354161827E-2</v>
      </c>
      <c r="P64" s="42">
        <f t="shared" ca="1" si="49"/>
        <v>5.9246432333202481E-2</v>
      </c>
      <c r="Q64" s="42">
        <f t="shared" ca="1" si="49"/>
        <v>9.320047092272421E-2</v>
      </c>
      <c r="R64" s="42">
        <f t="shared" ca="1" si="49"/>
        <v>5.9503724570197924E-5</v>
      </c>
      <c r="S64" s="42">
        <f t="shared" ca="1" si="49"/>
        <v>0.22767665259565362</v>
      </c>
      <c r="T64" s="42">
        <f t="shared" ca="1" si="49"/>
        <v>0.13699042960505436</v>
      </c>
      <c r="U64" s="44">
        <f ca="1">(IF(D64&gt;=Inputs!$E$12,1,IF(K64&lt;=Inputs!$C$46,Inputs!$D$46,IF(K64&lt;=Inputs!$C$47,Inputs!$D$47,Inputs!$D$48))))*((Inputs!$B$28+(P64-0.5)*2*Inputs!$B$53)/Inputs!$B$28)</f>
        <v>0.9955389315013482</v>
      </c>
      <c r="V64" s="44">
        <f ca="1">(IF(E64&gt;=Inputs!$E$13,1,IF(L64&lt;=Inputs!$C$46,Inputs!$D$46,IF(L64&lt;=Inputs!$C$47,Inputs!$D$47,Inputs!$D$48))))*((Inputs!$B$29+(Q64-0.5)*2*Inputs!$B$53)/Inputs!$B$29)</f>
        <v>0.99589919829559204</v>
      </c>
      <c r="W64" s="44">
        <f ca="1">(IF(F64&gt;=Inputs!$E$14,1,IF(M64&lt;=Inputs!$C$46,Inputs!$D$46,IF(M64&lt;=Inputs!$C$47,Inputs!$D$47,Inputs!$D$48))))*((Inputs!$B$30+(R64-0.5)*2*Inputs!$B$53)/Inputs!$B$30)</f>
        <v>0.99497547239924189</v>
      </c>
      <c r="X64" s="44">
        <f ca="1">(IF(G64&gt;=Inputs!$E$15,1,IF(N64&lt;=Inputs!$C$46,Inputs!$D$46,IF(N64&lt;=Inputs!$C$47,Inputs!$D$47,Inputs!$D$48))))*((Inputs!$B$31+(S64-0.5)*2*Inputs!$B$53)/Inputs!$B$31)</f>
        <v>0.99723529596543814</v>
      </c>
      <c r="Y64" s="44">
        <f ca="1">(IF(H64&gt;=Inputs!$E$16,1,IF(O64&lt;=Inputs!$C$46,Inputs!$D$46,IF(O64&lt;=Inputs!$C$47,Inputs!$D$47,Inputs!$D$48))))*((Inputs!$B$32+(T64-0.5)*2*Inputs!$B$53)/Inputs!$B$32)</f>
        <v>0.99634799224954784</v>
      </c>
      <c r="Z64" s="45">
        <f ca="1">ILP_B_Moderate!$C$9*U64+ILP_B_Moderate!$C$10*V64+ILP_B_Moderate!$C$11*W64+ILP_B_Moderate!$C$12*X64+ILP_B_Moderate!$C$13*Y64</f>
        <v>17936.36300022839</v>
      </c>
      <c r="AA64" s="45">
        <f ca="1">ILP_B_Moderate!$D$9*U64+ILP_B_Moderate!$D$10*V64+ILP_B_Moderate!$D$11*W64+ILP_B_Moderate!$D$12*X64+ILP_B_Moderate!$D$13*Y64</f>
        <v>14940.569721265787</v>
      </c>
      <c r="AB64" s="45">
        <f ca="1">ILP_B_Moderate!$E$9*U64+ILP_B_Moderate!$E$10*V64+ILP_B_Moderate!$E$11*W64+ILP_B_Moderate!$E$12*X64+ILP_B_Moderate!$E$13*Y64</f>
        <v>11950.192376917224</v>
      </c>
      <c r="AC64" s="45">
        <f ca="1">Inputs!$B$6*$C64</f>
        <v>18000</v>
      </c>
      <c r="AD64" s="45">
        <f ca="1">Inputs!$B$7*$C64</f>
        <v>15000</v>
      </c>
      <c r="AE64" s="45">
        <f ca="1">Inputs!$B$8*$C64</f>
        <v>12000</v>
      </c>
      <c r="AF64" s="45">
        <f t="shared" ca="1" si="28"/>
        <v>63.636999771610135</v>
      </c>
      <c r="AG64" s="45">
        <f t="shared" ca="1" si="29"/>
        <v>59.430278734213061</v>
      </c>
      <c r="AH64" s="45">
        <f t="shared" ca="1" si="30"/>
        <v>49.807623082775535</v>
      </c>
      <c r="AI64" s="45">
        <f t="shared" ca="1" si="31"/>
        <v>172.87490158859873</v>
      </c>
      <c r="AJ64" s="45">
        <f ca="1">U64*(Inputs!$B$12-ILP_B_Moderate!$F$9)+V64*(Inputs!$B$13-ILP_B_Moderate!$F$10)+W64*(Inputs!$B$14-ILP_B_Moderate!$F$11)+X64*(Inputs!$B$15-ILP_B_Moderate!$F$12)+Y64*(Inputs!$B$16-ILP_B_Moderate!$F$13)</f>
        <v>24890.811158267083</v>
      </c>
      <c r="AK64" s="45">
        <f t="shared" ca="1" si="32"/>
        <v>172.87490158859873</v>
      </c>
      <c r="AL64" s="45">
        <f t="shared" ca="1" si="33"/>
        <v>0</v>
      </c>
      <c r="AM64" s="45">
        <f t="shared" ca="1" si="34"/>
        <v>0</v>
      </c>
      <c r="AN64" s="45">
        <f t="shared" ca="1" si="35"/>
        <v>0</v>
      </c>
      <c r="AO64" s="45">
        <f ca="1">MIN(AL64,Inputs!$B$36)</f>
        <v>0</v>
      </c>
      <c r="AP64" s="45">
        <f ca="1">MIN(AN64,Inputs!$B$36-AO64)</f>
        <v>0</v>
      </c>
      <c r="AQ64" s="45">
        <f ca="1">MIN(AM64,Inputs!$B$36-AO64-AP64)</f>
        <v>0</v>
      </c>
      <c r="AR64" s="45">
        <f t="shared" ca="1" si="36"/>
        <v>0</v>
      </c>
      <c r="AS64" s="45">
        <f t="shared" ca="1" si="37"/>
        <v>0</v>
      </c>
      <c r="AT64" s="45">
        <f t="shared" ca="1" si="38"/>
        <v>0</v>
      </c>
      <c r="AU64" s="45">
        <f t="shared" ca="1" si="39"/>
        <v>0</v>
      </c>
      <c r="AV64" s="46">
        <f ca="1">AU64*Inputs!$B$35</f>
        <v>0</v>
      </c>
      <c r="AW64" s="46">
        <f ca="1">AR64*Inputs!$C$6+AT64*Inputs!$C$7+AS64*Inputs!$C$8</f>
        <v>0</v>
      </c>
      <c r="AX64" s="46">
        <f t="shared" ca="1" si="40"/>
        <v>47385727.537360132</v>
      </c>
      <c r="AY64" s="46">
        <f ca="1">IF(J64&gt;1,($CD$4)*Inputs!$B$55*((Z64+AA64+AB64)/(SUM(ILP_B_Moderate!$C$9:$E$13))),0)</f>
        <v>568517.52366476378</v>
      </c>
      <c r="AZ64" s="46">
        <f t="shared" ca="1" si="41"/>
        <v>0</v>
      </c>
      <c r="BA64" s="41">
        <f t="shared" ca="1" si="42"/>
        <v>0</v>
      </c>
      <c r="BB64" s="41">
        <f t="shared" ca="1" si="43"/>
        <v>1</v>
      </c>
      <c r="BC64" s="41">
        <f t="shared" ca="1" si="44"/>
        <v>1</v>
      </c>
      <c r="BD64" s="41">
        <f t="shared" ca="1" si="45"/>
        <v>1</v>
      </c>
    </row>
    <row r="65" spans="1:56" ht="15" customHeight="1" x14ac:dyDescent="0.3">
      <c r="A65" s="41">
        <v>58</v>
      </c>
      <c r="B65" s="42">
        <f t="shared" ca="1" si="27"/>
        <v>0.28203961670648381</v>
      </c>
      <c r="C65" s="43">
        <f ca="1">IF(B65&lt;=Inputs!$C$40,Inputs!$D$40,IF(B65&lt;=Inputs!$C$41,Inputs!$D$41,Inputs!$D$42))</f>
        <v>1</v>
      </c>
      <c r="D65" s="42">
        <f t="shared" ca="1" si="48"/>
        <v>0.71087201438125791</v>
      </c>
      <c r="E65" s="42">
        <f t="shared" ca="1" si="48"/>
        <v>0.11531032982876244</v>
      </c>
      <c r="F65" s="42">
        <f t="shared" ca="1" si="48"/>
        <v>0.85025467243713992</v>
      </c>
      <c r="G65" s="42">
        <f t="shared" ca="1" si="48"/>
        <v>0.35594867655455442</v>
      </c>
      <c r="H65" s="42">
        <f t="shared" ca="1" si="48"/>
        <v>0.83821187541059616</v>
      </c>
      <c r="I65" s="42">
        <f t="shared" ca="1" si="48"/>
        <v>0.19457380395125567</v>
      </c>
      <c r="J65" s="43">
        <f ca="1">IF(I65&lt;Inputs!$B$54,1+Inputs!$B$55,1)</f>
        <v>1</v>
      </c>
      <c r="K65" s="42">
        <f t="shared" ca="1" si="49"/>
        <v>0.46586127864368787</v>
      </c>
      <c r="L65" s="42">
        <f t="shared" ca="1" si="49"/>
        <v>0.85027513334840465</v>
      </c>
      <c r="M65" s="42">
        <f t="shared" ca="1" si="49"/>
        <v>0.88480624002915553</v>
      </c>
      <c r="N65" s="42">
        <f t="shared" ca="1" si="49"/>
        <v>0.83576715029692772</v>
      </c>
      <c r="O65" s="42">
        <f t="shared" ca="1" si="49"/>
        <v>0.34811096463520619</v>
      </c>
      <c r="P65" s="42">
        <f t="shared" ca="1" si="49"/>
        <v>0.39138933749873572</v>
      </c>
      <c r="Q65" s="42">
        <f t="shared" ca="1" si="49"/>
        <v>6.9531504133635402E-2</v>
      </c>
      <c r="R65" s="42">
        <f t="shared" ca="1" si="49"/>
        <v>0.67721867046691409</v>
      </c>
      <c r="S65" s="42">
        <f t="shared" ca="1" si="49"/>
        <v>0.71599829662894621</v>
      </c>
      <c r="T65" s="42">
        <f t="shared" ca="1" si="49"/>
        <v>0.21564251476167517</v>
      </c>
      <c r="U65" s="44">
        <f ca="1">(IF(D65&gt;=Inputs!$E$12,1,IF(K65&lt;=Inputs!$C$46,Inputs!$D$46,IF(K65&lt;=Inputs!$C$47,Inputs!$D$47,Inputs!$D$48))))*((Inputs!$B$28+(P65-0.5)*2*Inputs!$B$53)/Inputs!$B$28)</f>
        <v>0.99890070179654589</v>
      </c>
      <c r="V65" s="44">
        <f ca="1">(IF(E65&gt;=Inputs!$E$13,1,IF(L65&lt;=Inputs!$C$46,Inputs!$D$46,IF(L65&lt;=Inputs!$C$47,Inputs!$D$47,Inputs!$D$48))))*((Inputs!$B$29+(Q65-0.5)*2*Inputs!$B$53)/Inputs!$B$29)</f>
        <v>0</v>
      </c>
      <c r="W65" s="44">
        <f ca="1">(IF(F65&gt;=Inputs!$E$14,1,IF(M65&lt;=Inputs!$C$46,Inputs!$D$46,IF(M65&lt;=Inputs!$C$47,Inputs!$D$47,Inputs!$D$48))))*((Inputs!$B$30+(R65-0.5)*2*Inputs!$B$53)/Inputs!$B$30)</f>
        <v>1.0017810921654966</v>
      </c>
      <c r="X65" s="44">
        <f ca="1">(IF(G65&gt;=Inputs!$E$15,1,IF(N65&lt;=Inputs!$C$46,Inputs!$D$46,IF(N65&lt;=Inputs!$C$47,Inputs!$D$47,Inputs!$D$48))))*((Inputs!$B$31+(S65-0.5)*2*Inputs!$B$53)/Inputs!$B$31)</f>
        <v>1.0021928761079082</v>
      </c>
      <c r="Y65" s="44">
        <f ca="1">(IF(H65&gt;=Inputs!$E$16,1,IF(O65&lt;=Inputs!$C$46,Inputs!$D$46,IF(O65&lt;=Inputs!$C$47,Inputs!$D$47,Inputs!$D$48))))*((Inputs!$B$32+(T65-0.5)*2*Inputs!$B$53)/Inputs!$B$32)</f>
        <v>0.99713926071188808</v>
      </c>
      <c r="Z65" s="45">
        <f ca="1">ILP_B_Moderate!$C$9*U65+ILP_B_Moderate!$C$10*V65+ILP_B_Moderate!$C$11*W65+ILP_B_Moderate!$C$12*X65+ILP_B_Moderate!$C$13*Y65</f>
        <v>14142.098683783861</v>
      </c>
      <c r="AA65" s="45">
        <f ca="1">ILP_B_Moderate!$D$9*U65+ILP_B_Moderate!$D$10*V65+ILP_B_Moderate!$D$11*W65+ILP_B_Moderate!$D$12*X65+ILP_B_Moderate!$D$13*Y65</f>
        <v>7501.0391950321355</v>
      </c>
      <c r="AB65" s="45">
        <f ca="1">ILP_B_Moderate!$E$9*U65+ILP_B_Moderate!$E$10*V65+ILP_B_Moderate!$E$11*W65+ILP_B_Moderate!$E$12*X65+ILP_B_Moderate!$E$13*Y65</f>
        <v>9467.4373950994941</v>
      </c>
      <c r="AC65" s="45">
        <f ca="1">Inputs!$B$6*$C65</f>
        <v>18000</v>
      </c>
      <c r="AD65" s="45">
        <f ca="1">Inputs!$B$7*$C65</f>
        <v>15000</v>
      </c>
      <c r="AE65" s="45">
        <f ca="1">Inputs!$B$8*$C65</f>
        <v>12000</v>
      </c>
      <c r="AF65" s="45">
        <f t="shared" ca="1" si="28"/>
        <v>3857.9013162161391</v>
      </c>
      <c r="AG65" s="45">
        <f t="shared" ca="1" si="29"/>
        <v>7498.9608049678645</v>
      </c>
      <c r="AH65" s="45">
        <f t="shared" ca="1" si="30"/>
        <v>2532.5626049005059</v>
      </c>
      <c r="AI65" s="45">
        <f t="shared" ca="1" si="31"/>
        <v>13889.42472608451</v>
      </c>
      <c r="AJ65" s="45">
        <f ca="1">U65*(Inputs!$B$12-ILP_B_Moderate!$F$9)+V65*(Inputs!$B$13-ILP_B_Moderate!$F$10)+W65*(Inputs!$B$14-ILP_B_Moderate!$F$11)+X65*(Inputs!$B$15-ILP_B_Moderate!$F$12)+Y65*(Inputs!$B$16-ILP_B_Moderate!$F$13)</f>
        <v>24878.39357695392</v>
      </c>
      <c r="AK65" s="45">
        <f t="shared" ca="1" si="32"/>
        <v>13889.42472608451</v>
      </c>
      <c r="AL65" s="45">
        <f t="shared" ca="1" si="33"/>
        <v>0</v>
      </c>
      <c r="AM65" s="45">
        <f t="shared" ca="1" si="34"/>
        <v>0</v>
      </c>
      <c r="AN65" s="45">
        <f t="shared" ca="1" si="35"/>
        <v>0</v>
      </c>
      <c r="AO65" s="45">
        <f ca="1">MIN(AL65,Inputs!$B$36)</f>
        <v>0</v>
      </c>
      <c r="AP65" s="45">
        <f ca="1">MIN(AN65,Inputs!$B$36-AO65)</f>
        <v>0</v>
      </c>
      <c r="AQ65" s="45">
        <f ca="1">MIN(AM65,Inputs!$B$36-AO65-AP65)</f>
        <v>0</v>
      </c>
      <c r="AR65" s="45">
        <f t="shared" ca="1" si="36"/>
        <v>0</v>
      </c>
      <c r="AS65" s="45">
        <f t="shared" ca="1" si="37"/>
        <v>0</v>
      </c>
      <c r="AT65" s="45">
        <f t="shared" ca="1" si="38"/>
        <v>0</v>
      </c>
      <c r="AU65" s="45">
        <f t="shared" ca="1" si="39"/>
        <v>0</v>
      </c>
      <c r="AV65" s="46">
        <f ca="1">AU65*Inputs!$B$35</f>
        <v>0</v>
      </c>
      <c r="AW65" s="46">
        <f ca="1">AR65*Inputs!$C$6+AT65*Inputs!$C$7+AS65*Inputs!$C$8</f>
        <v>0</v>
      </c>
      <c r="AX65" s="46">
        <f t="shared" ca="1" si="40"/>
        <v>32909807.815464277</v>
      </c>
      <c r="AY65" s="46">
        <f ca="1">IF(J65&gt;1,($CD$4)*Inputs!$B$55*((Z65+AA65+AB65)/(SUM(ILP_B_Moderate!$C$9:$E$13))),0)</f>
        <v>0</v>
      </c>
      <c r="AZ65" s="46">
        <f t="shared" ca="1" si="41"/>
        <v>0</v>
      </c>
      <c r="BA65" s="41">
        <f t="shared" ca="1" si="42"/>
        <v>0</v>
      </c>
      <c r="BB65" s="41">
        <f t="shared" ca="1" si="43"/>
        <v>1</v>
      </c>
      <c r="BC65" s="41">
        <f t="shared" ca="1" si="44"/>
        <v>1</v>
      </c>
      <c r="BD65" s="41">
        <f t="shared" ca="1" si="45"/>
        <v>1</v>
      </c>
    </row>
    <row r="66" spans="1:56" ht="15" customHeight="1" x14ac:dyDescent="0.3">
      <c r="A66" s="41">
        <v>59</v>
      </c>
      <c r="B66" s="42">
        <f t="shared" ca="1" si="27"/>
        <v>0.99028794972685519</v>
      </c>
      <c r="C66" s="43">
        <f ca="1">IF(B66&lt;=Inputs!$C$40,Inputs!$D$40,IF(B66&lt;=Inputs!$C$41,Inputs!$D$41,Inputs!$D$42))</f>
        <v>1.1499999999999999</v>
      </c>
      <c r="D66" s="42">
        <f t="shared" ca="1" si="48"/>
        <v>0.52031372831566725</v>
      </c>
      <c r="E66" s="42">
        <f t="shared" ca="1" si="48"/>
        <v>0.47142992276796947</v>
      </c>
      <c r="F66" s="42">
        <f t="shared" ca="1" si="48"/>
        <v>0.44322232135841522</v>
      </c>
      <c r="G66" s="42">
        <f t="shared" ca="1" si="48"/>
        <v>0.19330595016129126</v>
      </c>
      <c r="H66" s="42">
        <f t="shared" ca="1" si="48"/>
        <v>3.0026472744822397E-2</v>
      </c>
      <c r="I66" s="42">
        <f t="shared" ca="1" si="48"/>
        <v>0.63368442561636729</v>
      </c>
      <c r="J66" s="43">
        <f ca="1">IF(I66&lt;Inputs!$B$54,1+Inputs!$B$55,1)</f>
        <v>1</v>
      </c>
      <c r="K66" s="42">
        <f t="shared" ca="1" si="49"/>
        <v>0.34432123459195396</v>
      </c>
      <c r="L66" s="42">
        <f t="shared" ca="1" si="49"/>
        <v>0.47653001316317634</v>
      </c>
      <c r="M66" s="42">
        <f t="shared" ca="1" si="49"/>
        <v>0.31785749756776582</v>
      </c>
      <c r="N66" s="42">
        <f t="shared" ca="1" si="49"/>
        <v>0.46260039174611345</v>
      </c>
      <c r="O66" s="42">
        <f t="shared" ca="1" si="49"/>
        <v>0.47787851348846988</v>
      </c>
      <c r="P66" s="42">
        <f t="shared" ca="1" si="49"/>
        <v>0.58016371389059529</v>
      </c>
      <c r="Q66" s="42">
        <f t="shared" ca="1" si="49"/>
        <v>0.43005187923836208</v>
      </c>
      <c r="R66" s="42">
        <f t="shared" ca="1" si="49"/>
        <v>0.39184239971103174</v>
      </c>
      <c r="S66" s="42">
        <f t="shared" ca="1" si="49"/>
        <v>0.19417944247093211</v>
      </c>
      <c r="T66" s="42">
        <f t="shared" ca="1" si="49"/>
        <v>0.53072739588595419</v>
      </c>
      <c r="U66" s="44">
        <f ca="1">(IF(D66&gt;=Inputs!$E$12,1,IF(K66&lt;=Inputs!$C$46,Inputs!$D$46,IF(K66&lt;=Inputs!$C$47,Inputs!$D$47,Inputs!$D$48))))*((Inputs!$B$28+(P66-0.5)*2*Inputs!$B$53)/Inputs!$B$28)</f>
        <v>1.0008113736223745</v>
      </c>
      <c r="V66" s="44">
        <f ca="1">(IF(E66&gt;=Inputs!$E$13,1,IF(L66&lt;=Inputs!$C$46,Inputs!$D$46,IF(L66&lt;=Inputs!$C$47,Inputs!$D$47,Inputs!$D$48))))*((Inputs!$B$29+(Q66-0.5)*2*Inputs!$B$53)/Inputs!$B$29)</f>
        <v>0.99929487781490278</v>
      </c>
      <c r="W66" s="44">
        <f ca="1">(IF(F66&gt;=Inputs!$E$14,1,IF(M66&lt;=Inputs!$C$46,Inputs!$D$46,IF(M66&lt;=Inputs!$C$47,Inputs!$D$47,Inputs!$D$48))))*((Inputs!$B$30+(R66-0.5)*2*Inputs!$B$53)/Inputs!$B$30)</f>
        <v>0.99891298894181935</v>
      </c>
      <c r="X66" s="44">
        <f ca="1">(IF(G66&gt;=Inputs!$E$15,1,IF(N66&lt;=Inputs!$C$46,Inputs!$D$46,IF(N66&lt;=Inputs!$C$47,Inputs!$D$47,Inputs!$D$48))))*((Inputs!$B$31+(S66-0.5)*2*Inputs!$B$53)/Inputs!$B$31)</f>
        <v>0.99689522276620235</v>
      </c>
      <c r="Y66" s="44">
        <f ca="1">(IF(H66&gt;=Inputs!$E$16,1,IF(O66&lt;=Inputs!$C$46,Inputs!$D$46,IF(O66&lt;=Inputs!$C$47,Inputs!$D$47,Inputs!$D$48))))*((Inputs!$B$32+(T66-0.5)*2*Inputs!$B$53)/Inputs!$B$32)</f>
        <v>1.0003091287312471</v>
      </c>
      <c r="Z66" s="45">
        <f ca="1">ILP_B_Moderate!$C$9*U66+ILP_B_Moderate!$C$10*V66+ILP_B_Moderate!$C$11*W66+ILP_B_Moderate!$C$12*X66+ILP_B_Moderate!$C$13*Y66</f>
        <v>17973.48749573066</v>
      </c>
      <c r="AA66" s="45">
        <f ca="1">ILP_B_Moderate!$D$9*U66+ILP_B_Moderate!$D$10*V66+ILP_B_Moderate!$D$11*W66+ILP_B_Moderate!$D$12*X66+ILP_B_Moderate!$D$13*Y66</f>
        <v>14989.753340365174</v>
      </c>
      <c r="AB66" s="45">
        <f ca="1">ILP_B_Moderate!$E$9*U66+ILP_B_Moderate!$E$10*V66+ILP_B_Moderate!$E$11*W66+ILP_B_Moderate!$E$12*X66+ILP_B_Moderate!$E$13*Y66</f>
        <v>12004.171158816207</v>
      </c>
      <c r="AC66" s="45">
        <f ca="1">Inputs!$B$6*$C66</f>
        <v>20700</v>
      </c>
      <c r="AD66" s="45">
        <f ca="1">Inputs!$B$7*$C66</f>
        <v>17250</v>
      </c>
      <c r="AE66" s="45">
        <f ca="1">Inputs!$B$8*$C66</f>
        <v>13799.999999999998</v>
      </c>
      <c r="AF66" s="45">
        <f t="shared" ca="1" si="28"/>
        <v>2726.5125042693398</v>
      </c>
      <c r="AG66" s="45">
        <f t="shared" ca="1" si="29"/>
        <v>2260.2466596348258</v>
      </c>
      <c r="AH66" s="45">
        <f t="shared" ca="1" si="30"/>
        <v>1795.8288411837912</v>
      </c>
      <c r="AI66" s="45">
        <f t="shared" ca="1" si="31"/>
        <v>6782.5880050879568</v>
      </c>
      <c r="AJ66" s="45">
        <f ca="1">U66*(Inputs!$B$12-ILP_B_Moderate!$F$9)+V66*(Inputs!$B$13-ILP_B_Moderate!$F$10)+W66*(Inputs!$B$14-ILP_B_Moderate!$F$11)+X66*(Inputs!$B$15-ILP_B_Moderate!$F$12)+Y66*(Inputs!$B$16-ILP_B_Moderate!$F$13)</f>
        <v>24988.946732861375</v>
      </c>
      <c r="AK66" s="45">
        <f t="shared" ca="1" si="32"/>
        <v>6782.5880050879568</v>
      </c>
      <c r="AL66" s="45">
        <f t="shared" ca="1" si="33"/>
        <v>0</v>
      </c>
      <c r="AM66" s="45">
        <f t="shared" ca="1" si="34"/>
        <v>0</v>
      </c>
      <c r="AN66" s="45">
        <f t="shared" ca="1" si="35"/>
        <v>0</v>
      </c>
      <c r="AO66" s="45">
        <f ca="1">MIN(AL66,Inputs!$B$36)</f>
        <v>0</v>
      </c>
      <c r="AP66" s="45">
        <f ca="1">MIN(AN66,Inputs!$B$36-AO66)</f>
        <v>0</v>
      </c>
      <c r="AQ66" s="45">
        <f ca="1">MIN(AM66,Inputs!$B$36-AO66-AP66)</f>
        <v>0</v>
      </c>
      <c r="AR66" s="45">
        <f t="shared" ca="1" si="36"/>
        <v>0</v>
      </c>
      <c r="AS66" s="45">
        <f t="shared" ca="1" si="37"/>
        <v>0</v>
      </c>
      <c r="AT66" s="45">
        <f t="shared" ca="1" si="38"/>
        <v>0</v>
      </c>
      <c r="AU66" s="45">
        <f t="shared" ca="1" si="39"/>
        <v>0</v>
      </c>
      <c r="AV66" s="46">
        <f ca="1">AU66*Inputs!$B$35</f>
        <v>0</v>
      </c>
      <c r="AW66" s="46">
        <f ca="1">AR66*Inputs!$C$6+AT66*Inputs!$C$7+AS66*Inputs!$C$8</f>
        <v>0</v>
      </c>
      <c r="AX66" s="46">
        <f t="shared" ca="1" si="40"/>
        <v>47535235.10275881</v>
      </c>
      <c r="AY66" s="46">
        <f ca="1">IF(J66&gt;1,($CD$4)*Inputs!$B$55*((Z66+AA66+AB66)/(SUM(ILP_B_Moderate!$C$9:$E$13))),0)</f>
        <v>0</v>
      </c>
      <c r="AZ66" s="46">
        <f t="shared" ca="1" si="41"/>
        <v>0</v>
      </c>
      <c r="BA66" s="41">
        <f t="shared" ca="1" si="42"/>
        <v>0</v>
      </c>
      <c r="BB66" s="41">
        <f t="shared" ca="1" si="43"/>
        <v>1</v>
      </c>
      <c r="BC66" s="41">
        <f t="shared" ca="1" si="44"/>
        <v>1</v>
      </c>
      <c r="BD66" s="41">
        <f t="shared" ca="1" si="45"/>
        <v>1</v>
      </c>
    </row>
    <row r="67" spans="1:56" ht="15" customHeight="1" x14ac:dyDescent="0.3">
      <c r="A67" s="41">
        <v>60</v>
      </c>
      <c r="B67" s="42">
        <f t="shared" ca="1" si="27"/>
        <v>4.5209393729296221E-2</v>
      </c>
      <c r="C67" s="43">
        <f ca="1">IF(B67&lt;=Inputs!$C$40,Inputs!$D$40,IF(B67&lt;=Inputs!$C$41,Inputs!$D$41,Inputs!$D$42))</f>
        <v>0.9</v>
      </c>
      <c r="D67" s="42">
        <f t="shared" ca="1" si="48"/>
        <v>0.77492590111641602</v>
      </c>
      <c r="E67" s="42">
        <f t="shared" ca="1" si="48"/>
        <v>0.53814501112927315</v>
      </c>
      <c r="F67" s="42">
        <f t="shared" ca="1" si="48"/>
        <v>0.1503560696064582</v>
      </c>
      <c r="G67" s="42">
        <f t="shared" ca="1" si="48"/>
        <v>0.73630632649179262</v>
      </c>
      <c r="H67" s="42">
        <f t="shared" ca="1" si="48"/>
        <v>0.98170419033644418</v>
      </c>
      <c r="I67" s="42">
        <f t="shared" ca="1" si="48"/>
        <v>0.88212788583460089</v>
      </c>
      <c r="J67" s="43">
        <f ca="1">IF(I67&lt;Inputs!$B$54,1+Inputs!$B$55,1)</f>
        <v>1</v>
      </c>
      <c r="K67" s="42">
        <f t="shared" ca="1" si="49"/>
        <v>0.17249715073454264</v>
      </c>
      <c r="L67" s="42">
        <f t="shared" ca="1" si="49"/>
        <v>0.72875769724555028</v>
      </c>
      <c r="M67" s="42">
        <f t="shared" ca="1" si="49"/>
        <v>0.58800666480544717</v>
      </c>
      <c r="N67" s="42">
        <f t="shared" ca="1" si="49"/>
        <v>0.75681959589901626</v>
      </c>
      <c r="O67" s="42">
        <f t="shared" ca="1" si="49"/>
        <v>0.13634998365159889</v>
      </c>
      <c r="P67" s="42">
        <f t="shared" ca="1" si="49"/>
        <v>0.40089071019639355</v>
      </c>
      <c r="Q67" s="42">
        <f t="shared" ca="1" si="49"/>
        <v>0.1851156090107321</v>
      </c>
      <c r="R67" s="42">
        <f t="shared" ca="1" si="49"/>
        <v>0.41241572138776905</v>
      </c>
      <c r="S67" s="42">
        <f t="shared" ca="1" si="49"/>
        <v>0.14897567509828769</v>
      </c>
      <c r="T67" s="42">
        <f t="shared" ca="1" si="49"/>
        <v>0.78819237260698949</v>
      </c>
      <c r="U67" s="44">
        <f ca="1">(IF(D67&gt;=Inputs!$E$12,1,IF(K67&lt;=Inputs!$C$46,Inputs!$D$46,IF(K67&lt;=Inputs!$C$47,Inputs!$D$47,Inputs!$D$48))))*((Inputs!$B$28+(P67-0.5)*2*Inputs!$B$53)/Inputs!$B$28)</f>
        <v>0.99899686953640066</v>
      </c>
      <c r="V67" s="44">
        <f ca="1">(IF(E67&gt;=Inputs!$E$13,1,IF(L67&lt;=Inputs!$C$46,Inputs!$D$46,IF(L67&lt;=Inputs!$C$47,Inputs!$D$47,Inputs!$D$48))))*((Inputs!$B$29+(Q67-0.5)*2*Inputs!$B$53)/Inputs!$B$29)</f>
        <v>0.99682576218760821</v>
      </c>
      <c r="W67" s="44">
        <f ca="1">(IF(F67&gt;=Inputs!$E$14,1,IF(M67&lt;=Inputs!$C$46,Inputs!$D$46,IF(M67&lt;=Inputs!$C$47,Inputs!$D$47,Inputs!$D$48))))*((Inputs!$B$30+(R67-0.5)*2*Inputs!$B$53)/Inputs!$B$30)</f>
        <v>0.99911975599384695</v>
      </c>
      <c r="X67" s="44">
        <f ca="1">(IF(G67&gt;=Inputs!$E$15,1,IF(N67&lt;=Inputs!$C$46,Inputs!$D$46,IF(N67&lt;=Inputs!$C$47,Inputs!$D$47,Inputs!$D$48))))*((Inputs!$B$31+(S67-0.5)*2*Inputs!$B$53)/Inputs!$B$31)</f>
        <v>0.99643630127003335</v>
      </c>
      <c r="Y67" s="44">
        <f ca="1">(IF(H67&gt;=Inputs!$E$16,1,IF(O67&lt;=Inputs!$C$46,Inputs!$D$46,IF(O67&lt;=Inputs!$C$47,Inputs!$D$47,Inputs!$D$48))))*((Inputs!$B$32+(T67-0.5)*2*Inputs!$B$53)/Inputs!$B$32)</f>
        <v>1.0028993196439335</v>
      </c>
      <c r="Z67" s="45">
        <f ca="1">ILP_B_Moderate!$C$9*U67+ILP_B_Moderate!$C$10*V67+ILP_B_Moderate!$C$11*W67+ILP_B_Moderate!$C$12*X67+ILP_B_Moderate!$C$13*Y67</f>
        <v>17950.492009603382</v>
      </c>
      <c r="AA67" s="45">
        <f ca="1">ILP_B_Moderate!$D$9*U67+ILP_B_Moderate!$D$10*V67+ILP_B_Moderate!$D$11*W67+ILP_B_Moderate!$D$12*X67+ILP_B_Moderate!$D$13*Y67</f>
        <v>14961.448935418912</v>
      </c>
      <c r="AB67" s="45">
        <f ca="1">ILP_B_Moderate!$E$9*U67+ILP_B_Moderate!$E$10*V67+ILP_B_Moderate!$E$11*W67+ILP_B_Moderate!$E$12*X67+ILP_B_Moderate!$E$13*Y67</f>
        <v>11996.096064521889</v>
      </c>
      <c r="AC67" s="45">
        <f ca="1">Inputs!$B$6*$C67</f>
        <v>16200</v>
      </c>
      <c r="AD67" s="45">
        <f ca="1">Inputs!$B$7*$C67</f>
        <v>13500</v>
      </c>
      <c r="AE67" s="45">
        <f ca="1">Inputs!$B$8*$C67</f>
        <v>10800</v>
      </c>
      <c r="AF67" s="45">
        <f t="shared" ca="1" si="28"/>
        <v>0</v>
      </c>
      <c r="AG67" s="45">
        <f t="shared" ca="1" si="29"/>
        <v>0</v>
      </c>
      <c r="AH67" s="45">
        <f t="shared" ca="1" si="30"/>
        <v>0</v>
      </c>
      <c r="AI67" s="45">
        <f t="shared" ca="1" si="31"/>
        <v>0</v>
      </c>
      <c r="AJ67" s="45">
        <f ca="1">U67*(Inputs!$B$12-ILP_B_Moderate!$F$9)+V67*(Inputs!$B$13-ILP_B_Moderate!$F$10)+W67*(Inputs!$B$14-ILP_B_Moderate!$F$11)+X67*(Inputs!$B$15-ILP_B_Moderate!$F$12)+Y67*(Inputs!$B$16-ILP_B_Moderate!$F$13)</f>
        <v>25020.755811484156</v>
      </c>
      <c r="AK67" s="45">
        <f t="shared" ca="1" si="32"/>
        <v>0</v>
      </c>
      <c r="AL67" s="45">
        <f t="shared" ca="1" si="33"/>
        <v>0</v>
      </c>
      <c r="AM67" s="45">
        <f t="shared" ca="1" si="34"/>
        <v>0</v>
      </c>
      <c r="AN67" s="45">
        <f t="shared" ca="1" si="35"/>
        <v>0</v>
      </c>
      <c r="AO67" s="45">
        <f ca="1">MIN(AL67,Inputs!$B$36)</f>
        <v>0</v>
      </c>
      <c r="AP67" s="45">
        <f ca="1">MIN(AN67,Inputs!$B$36-AO67)</f>
        <v>0</v>
      </c>
      <c r="AQ67" s="45">
        <f ca="1">MIN(AM67,Inputs!$B$36-AO67-AP67)</f>
        <v>0</v>
      </c>
      <c r="AR67" s="45">
        <f t="shared" ca="1" si="36"/>
        <v>0</v>
      </c>
      <c r="AS67" s="45">
        <f t="shared" ca="1" si="37"/>
        <v>0</v>
      </c>
      <c r="AT67" s="45">
        <f t="shared" ca="1" si="38"/>
        <v>0</v>
      </c>
      <c r="AU67" s="45">
        <f t="shared" ca="1" si="39"/>
        <v>0</v>
      </c>
      <c r="AV67" s="46">
        <f ca="1">AU67*Inputs!$B$35</f>
        <v>0</v>
      </c>
      <c r="AW67" s="46">
        <f ca="1">AR67*Inputs!$C$6+AT67*Inputs!$C$7+AS67*Inputs!$C$8</f>
        <v>0</v>
      </c>
      <c r="AX67" s="46">
        <f t="shared" ca="1" si="40"/>
        <v>47472840.578154415</v>
      </c>
      <c r="AY67" s="46">
        <f ca="1">IF(J67&gt;1,($CD$4)*Inputs!$B$55*((Z67+AA67+AB67)/(SUM(ILP_B_Moderate!$C$9:$E$13))),0)</f>
        <v>0</v>
      </c>
      <c r="AZ67" s="46">
        <f t="shared" ca="1" si="41"/>
        <v>0</v>
      </c>
      <c r="BA67" s="41">
        <f t="shared" ca="1" si="42"/>
        <v>0</v>
      </c>
      <c r="BB67" s="41">
        <f t="shared" ca="1" si="43"/>
        <v>1</v>
      </c>
      <c r="BC67" s="41">
        <f t="shared" ca="1" si="44"/>
        <v>1</v>
      </c>
      <c r="BD67" s="41">
        <f t="shared" ca="1" si="45"/>
        <v>1</v>
      </c>
    </row>
    <row r="68" spans="1:56" ht="15" customHeight="1" x14ac:dyDescent="0.3">
      <c r="A68" s="41">
        <v>61</v>
      </c>
      <c r="B68" s="42">
        <f t="shared" ca="1" si="27"/>
        <v>0.11173018023141879</v>
      </c>
      <c r="C68" s="43">
        <f ca="1">IF(B68&lt;=Inputs!$C$40,Inputs!$D$40,IF(B68&lt;=Inputs!$C$41,Inputs!$D$41,Inputs!$D$42))</f>
        <v>0.9</v>
      </c>
      <c r="D68" s="42">
        <f t="shared" ref="D68:I77" ca="1" si="50">RAND()</f>
        <v>0.21146149914536638</v>
      </c>
      <c r="E68" s="42">
        <f t="shared" ca="1" si="50"/>
        <v>0.19995249138019966</v>
      </c>
      <c r="F68" s="42">
        <f t="shared" ca="1" si="50"/>
        <v>0.61988060257195776</v>
      </c>
      <c r="G68" s="42">
        <f t="shared" ca="1" si="50"/>
        <v>0.92002130052675213</v>
      </c>
      <c r="H68" s="42">
        <f t="shared" ca="1" si="50"/>
        <v>0.87233675559768464</v>
      </c>
      <c r="I68" s="42">
        <f t="shared" ca="1" si="50"/>
        <v>0.50794455224608726</v>
      </c>
      <c r="J68" s="43">
        <f ca="1">IF(I68&lt;Inputs!$B$54,1+Inputs!$B$55,1)</f>
        <v>1</v>
      </c>
      <c r="K68" s="42">
        <f t="shared" ref="K68:T77" ca="1" si="51">RAND()</f>
        <v>0.74530271043129581</v>
      </c>
      <c r="L68" s="42">
        <f t="shared" ca="1" si="51"/>
        <v>0.29058613541782485</v>
      </c>
      <c r="M68" s="42">
        <f t="shared" ca="1" si="51"/>
        <v>0.14778833546683456</v>
      </c>
      <c r="N68" s="42">
        <f t="shared" ca="1" si="51"/>
        <v>0.1829733702498777</v>
      </c>
      <c r="O68" s="42">
        <f t="shared" ca="1" si="51"/>
        <v>0.98851181863695425</v>
      </c>
      <c r="P68" s="42">
        <f t="shared" ca="1" si="51"/>
        <v>0.55588691427586978</v>
      </c>
      <c r="Q68" s="42">
        <f t="shared" ca="1" si="51"/>
        <v>0.25477453910838577</v>
      </c>
      <c r="R68" s="42">
        <f t="shared" ca="1" si="51"/>
        <v>0.25430387070850013</v>
      </c>
      <c r="S68" s="42">
        <f t="shared" ca="1" si="51"/>
        <v>0.84046780380494168</v>
      </c>
      <c r="T68" s="42">
        <f t="shared" ca="1" si="51"/>
        <v>0.42626169408611003</v>
      </c>
      <c r="U68" s="44">
        <f ca="1">(IF(D68&gt;=Inputs!$E$12,1,IF(K68&lt;=Inputs!$C$46,Inputs!$D$46,IF(K68&lt;=Inputs!$C$47,Inputs!$D$47,Inputs!$D$48))))*((Inputs!$B$28+(P68-0.5)*2*Inputs!$B$53)/Inputs!$B$28)</f>
        <v>1.0005656570270838</v>
      </c>
      <c r="V68" s="44">
        <f ca="1">(IF(E68&gt;=Inputs!$E$13,1,IF(L68&lt;=Inputs!$C$46,Inputs!$D$46,IF(L68&lt;=Inputs!$C$47,Inputs!$D$47,Inputs!$D$48))))*((Inputs!$B$29+(Q68-0.5)*2*Inputs!$B$53)/Inputs!$B$29)</f>
        <v>0.99752796914423769</v>
      </c>
      <c r="W68" s="44">
        <f ca="1">(IF(F68&gt;=Inputs!$E$14,1,IF(M68&lt;=Inputs!$C$46,Inputs!$D$46,IF(M68&lt;=Inputs!$C$47,Inputs!$D$47,Inputs!$D$48))))*((Inputs!$B$30+(R68-0.5)*2*Inputs!$B$53)/Inputs!$B$30)</f>
        <v>0.99753069216792467</v>
      </c>
      <c r="X68" s="44">
        <f ca="1">(IF(G68&gt;=Inputs!$E$15,1,IF(N68&lt;=Inputs!$C$46,Inputs!$D$46,IF(N68&lt;=Inputs!$C$47,Inputs!$D$47,Inputs!$D$48))))*((Inputs!$B$31+(S68-0.5)*2*Inputs!$B$53)/Inputs!$B$31)</f>
        <v>1.0034565259269537</v>
      </c>
      <c r="Y68" s="44">
        <f ca="1">(IF(H68&gt;=Inputs!$E$16,1,IF(O68&lt;=Inputs!$C$46,Inputs!$D$46,IF(O68&lt;=Inputs!$C$47,Inputs!$D$47,Inputs!$D$48))))*((Inputs!$B$32+(T68-0.5)*2*Inputs!$B$53)/Inputs!$B$32)</f>
        <v>0.99925816593647998</v>
      </c>
      <c r="Z68" s="45">
        <f ca="1">ILP_B_Moderate!$C$9*U68+ILP_B_Moderate!$C$10*V68+ILP_B_Moderate!$C$11*W68+ILP_B_Moderate!$C$12*X68+ILP_B_Moderate!$C$13*Y68</f>
        <v>18024.437719103957</v>
      </c>
      <c r="AA68" s="45">
        <f ca="1">ILP_B_Moderate!$D$9*U68+ILP_B_Moderate!$D$10*V68+ILP_B_Moderate!$D$11*W68+ILP_B_Moderate!$D$12*X68+ILP_B_Moderate!$D$13*Y68</f>
        <v>14993.854446582545</v>
      </c>
      <c r="AB68" s="45">
        <f ca="1">ILP_B_Moderate!$E$9*U68+ILP_B_Moderate!$E$10*V68+ILP_B_Moderate!$E$11*W68+ILP_B_Moderate!$E$12*X68+ILP_B_Moderate!$E$13*Y68</f>
        <v>11994.589762652102</v>
      </c>
      <c r="AC68" s="45">
        <f ca="1">Inputs!$B$6*$C68</f>
        <v>16200</v>
      </c>
      <c r="AD68" s="45">
        <f ca="1">Inputs!$B$7*$C68</f>
        <v>13500</v>
      </c>
      <c r="AE68" s="45">
        <f ca="1">Inputs!$B$8*$C68</f>
        <v>10800</v>
      </c>
      <c r="AF68" s="45">
        <f t="shared" ca="1" si="28"/>
        <v>0</v>
      </c>
      <c r="AG68" s="45">
        <f t="shared" ca="1" si="29"/>
        <v>0</v>
      </c>
      <c r="AH68" s="45">
        <f t="shared" ca="1" si="30"/>
        <v>0</v>
      </c>
      <c r="AI68" s="45">
        <f t="shared" ca="1" si="31"/>
        <v>0</v>
      </c>
      <c r="AJ68" s="45">
        <f ca="1">U68*(Inputs!$B$12-ILP_B_Moderate!$F$9)+V68*(Inputs!$B$13-ILP_B_Moderate!$F$10)+W68*(Inputs!$B$14-ILP_B_Moderate!$F$11)+X68*(Inputs!$B$15-ILP_B_Moderate!$F$12)+Y68*(Inputs!$B$16-ILP_B_Moderate!$F$13)</f>
        <v>24959.80995046773</v>
      </c>
      <c r="AK68" s="45">
        <f t="shared" ca="1" si="32"/>
        <v>0</v>
      </c>
      <c r="AL68" s="45">
        <f t="shared" ca="1" si="33"/>
        <v>0</v>
      </c>
      <c r="AM68" s="45">
        <f t="shared" ca="1" si="34"/>
        <v>0</v>
      </c>
      <c r="AN68" s="45">
        <f t="shared" ca="1" si="35"/>
        <v>0</v>
      </c>
      <c r="AO68" s="45">
        <f ca="1">MIN(AL68,Inputs!$B$36)</f>
        <v>0</v>
      </c>
      <c r="AP68" s="45">
        <f ca="1">MIN(AN68,Inputs!$B$36-AO68)</f>
        <v>0</v>
      </c>
      <c r="AQ68" s="45">
        <f ca="1">MIN(AM68,Inputs!$B$36-AO68-AP68)</f>
        <v>0</v>
      </c>
      <c r="AR68" s="45">
        <f t="shared" ca="1" si="36"/>
        <v>0</v>
      </c>
      <c r="AS68" s="45">
        <f t="shared" ca="1" si="37"/>
        <v>0</v>
      </c>
      <c r="AT68" s="45">
        <f t="shared" ca="1" si="38"/>
        <v>0</v>
      </c>
      <c r="AU68" s="45">
        <f t="shared" ca="1" si="39"/>
        <v>0</v>
      </c>
      <c r="AV68" s="46">
        <f ca="1">AU68*Inputs!$B$35</f>
        <v>0</v>
      </c>
      <c r="AW68" s="46">
        <f ca="1">AR68*Inputs!$C$6+AT68*Inputs!$C$7+AS68*Inputs!$C$8</f>
        <v>0</v>
      </c>
      <c r="AX68" s="46">
        <f t="shared" ca="1" si="40"/>
        <v>47581550.278507985</v>
      </c>
      <c r="AY68" s="46">
        <f ca="1">IF(J68&gt;1,($CD$4)*Inputs!$B$55*((Z68+AA68+AB68)/(SUM(ILP_B_Moderate!$C$9:$E$13))),0)</f>
        <v>0</v>
      </c>
      <c r="AZ68" s="46">
        <f t="shared" ca="1" si="41"/>
        <v>0</v>
      </c>
      <c r="BA68" s="41">
        <f t="shared" ca="1" si="42"/>
        <v>0</v>
      </c>
      <c r="BB68" s="41">
        <f t="shared" ca="1" si="43"/>
        <v>1</v>
      </c>
      <c r="BC68" s="41">
        <f t="shared" ca="1" si="44"/>
        <v>1</v>
      </c>
      <c r="BD68" s="41">
        <f t="shared" ca="1" si="45"/>
        <v>1</v>
      </c>
    </row>
    <row r="69" spans="1:56" ht="15" customHeight="1" x14ac:dyDescent="0.3">
      <c r="A69" s="41">
        <v>62</v>
      </c>
      <c r="B69" s="42">
        <f t="shared" ca="1" si="27"/>
        <v>0.2947453733548383</v>
      </c>
      <c r="C69" s="43">
        <f ca="1">IF(B69&lt;=Inputs!$C$40,Inputs!$D$40,IF(B69&lt;=Inputs!$C$41,Inputs!$D$41,Inputs!$D$42))</f>
        <v>1</v>
      </c>
      <c r="D69" s="42">
        <f t="shared" ca="1" si="50"/>
        <v>0.78608867273569238</v>
      </c>
      <c r="E69" s="42">
        <f t="shared" ca="1" si="50"/>
        <v>0.38322050891535087</v>
      </c>
      <c r="F69" s="42">
        <f t="shared" ca="1" si="50"/>
        <v>0.61258687082568197</v>
      </c>
      <c r="G69" s="42">
        <f t="shared" ca="1" si="50"/>
        <v>0.37621418662560435</v>
      </c>
      <c r="H69" s="42">
        <f t="shared" ca="1" si="50"/>
        <v>0.46436017877396552</v>
      </c>
      <c r="I69" s="42">
        <f t="shared" ca="1" si="50"/>
        <v>9.5012345790792652E-2</v>
      </c>
      <c r="J69" s="43">
        <f ca="1">IF(I69&lt;Inputs!$B$54,1+Inputs!$B$55,1)</f>
        <v>1</v>
      </c>
      <c r="K69" s="42">
        <f t="shared" ca="1" si="51"/>
        <v>0.13185860467718546</v>
      </c>
      <c r="L69" s="42">
        <f t="shared" ca="1" si="51"/>
        <v>0.72326174044319869</v>
      </c>
      <c r="M69" s="42">
        <f t="shared" ca="1" si="51"/>
        <v>0.43606653969937181</v>
      </c>
      <c r="N69" s="42">
        <f t="shared" ca="1" si="51"/>
        <v>0.66886244922033478</v>
      </c>
      <c r="O69" s="42">
        <f t="shared" ca="1" si="51"/>
        <v>1.3926751104613722E-3</v>
      </c>
      <c r="P69" s="42">
        <f t="shared" ca="1" si="51"/>
        <v>0.71263642375856728</v>
      </c>
      <c r="Q69" s="42">
        <f t="shared" ca="1" si="51"/>
        <v>6.651834732927242E-2</v>
      </c>
      <c r="R69" s="42">
        <f t="shared" ca="1" si="51"/>
        <v>0.84421807900258883</v>
      </c>
      <c r="S69" s="42">
        <f t="shared" ca="1" si="51"/>
        <v>0.77872919501288496</v>
      </c>
      <c r="T69" s="42">
        <f t="shared" ca="1" si="51"/>
        <v>0.32051587915753033</v>
      </c>
      <c r="U69" s="44">
        <f ca="1">(IF(D69&gt;=Inputs!$E$12,1,IF(K69&lt;=Inputs!$C$46,Inputs!$D$46,IF(K69&lt;=Inputs!$C$47,Inputs!$D$47,Inputs!$D$48))))*((Inputs!$B$28+(P69-0.5)*2*Inputs!$B$53)/Inputs!$B$28)</f>
        <v>1.0021521905238722</v>
      </c>
      <c r="V69" s="44">
        <f ca="1">(IF(E69&gt;=Inputs!$E$13,1,IF(L69&lt;=Inputs!$C$46,Inputs!$D$46,IF(L69&lt;=Inputs!$C$47,Inputs!$D$47,Inputs!$D$48))))*((Inputs!$B$29+(Q69-0.5)*2*Inputs!$B$53)/Inputs!$B$29)</f>
        <v>0.99563022527549672</v>
      </c>
      <c r="W69" s="44">
        <f ca="1">(IF(F69&gt;=Inputs!$E$14,1,IF(M69&lt;=Inputs!$C$46,Inputs!$D$46,IF(M69&lt;=Inputs!$C$47,Inputs!$D$47,Inputs!$D$48))))*((Inputs!$B$30+(R69-0.5)*2*Inputs!$B$53)/Inputs!$B$30)</f>
        <v>1.0034594781809305</v>
      </c>
      <c r="X69" s="44">
        <f ca="1">(IF(G69&gt;=Inputs!$E$15,1,IF(N69&lt;=Inputs!$C$46,Inputs!$D$46,IF(N69&lt;=Inputs!$C$47,Inputs!$D$47,Inputs!$D$48))))*((Inputs!$B$31+(S69-0.5)*2*Inputs!$B$53)/Inputs!$B$31)</f>
        <v>1.0028297380204354</v>
      </c>
      <c r="Y69" s="44">
        <f ca="1">(IF(H69&gt;=Inputs!$E$16,1,IF(O69&lt;=Inputs!$C$46,Inputs!$D$46,IF(O69&lt;=Inputs!$C$47,Inputs!$D$47,Inputs!$D$48))))*((Inputs!$B$32+(T69-0.5)*2*Inputs!$B$53)/Inputs!$B$32)</f>
        <v>0.99819432474001546</v>
      </c>
      <c r="Z69" s="45">
        <f ca="1">ILP_B_Moderate!$C$9*U69+ILP_B_Moderate!$C$10*V69+ILP_B_Moderate!$C$11*W69+ILP_B_Moderate!$C$12*X69+ILP_B_Moderate!$C$13*Y69</f>
        <v>18019.584307457058</v>
      </c>
      <c r="AA69" s="45">
        <f ca="1">ILP_B_Moderate!$D$9*U69+ILP_B_Moderate!$D$10*V69+ILP_B_Moderate!$D$11*W69+ILP_B_Moderate!$D$12*X69+ILP_B_Moderate!$D$13*Y69</f>
        <v>14985.278802435574</v>
      </c>
      <c r="AB69" s="45">
        <f ca="1">ILP_B_Moderate!$E$9*U69+ILP_B_Moderate!$E$10*V69+ILP_B_Moderate!$E$11*W69+ILP_B_Moderate!$E$12*X69+ILP_B_Moderate!$E$13*Y69</f>
        <v>11995.627817330596</v>
      </c>
      <c r="AC69" s="45">
        <f ca="1">Inputs!$B$6*$C69</f>
        <v>18000</v>
      </c>
      <c r="AD69" s="45">
        <f ca="1">Inputs!$B$7*$C69</f>
        <v>15000</v>
      </c>
      <c r="AE69" s="45">
        <f ca="1">Inputs!$B$8*$C69</f>
        <v>12000</v>
      </c>
      <c r="AF69" s="45">
        <f t="shared" ca="1" si="28"/>
        <v>0</v>
      </c>
      <c r="AG69" s="45">
        <f t="shared" ca="1" si="29"/>
        <v>14.721197564425893</v>
      </c>
      <c r="AH69" s="45">
        <f t="shared" ca="1" si="30"/>
        <v>4.3721826694036281</v>
      </c>
      <c r="AI69" s="45">
        <f t="shared" ca="1" si="31"/>
        <v>19.093380233829521</v>
      </c>
      <c r="AJ69" s="45">
        <f ca="1">U69*(Inputs!$B$12-ILP_B_Moderate!$F$9)+V69*(Inputs!$B$13-ILP_B_Moderate!$F$10)+W69*(Inputs!$B$14-ILP_B_Moderate!$F$11)+X69*(Inputs!$B$15-ILP_B_Moderate!$F$12)+Y69*(Inputs!$B$16-ILP_B_Moderate!$F$13)</f>
        <v>25024.612218713235</v>
      </c>
      <c r="AK69" s="45">
        <f t="shared" ca="1" si="32"/>
        <v>19.093380233829521</v>
      </c>
      <c r="AL69" s="45">
        <f t="shared" ca="1" si="33"/>
        <v>0</v>
      </c>
      <c r="AM69" s="45">
        <f t="shared" ca="1" si="34"/>
        <v>0</v>
      </c>
      <c r="AN69" s="45">
        <f t="shared" ca="1" si="35"/>
        <v>0</v>
      </c>
      <c r="AO69" s="45">
        <f ca="1">MIN(AL69,Inputs!$B$36)</f>
        <v>0</v>
      </c>
      <c r="AP69" s="45">
        <f ca="1">MIN(AN69,Inputs!$B$36-AO69)</f>
        <v>0</v>
      </c>
      <c r="AQ69" s="45">
        <f ca="1">MIN(AM69,Inputs!$B$36-AO69-AP69)</f>
        <v>0</v>
      </c>
      <c r="AR69" s="45">
        <f t="shared" ca="1" si="36"/>
        <v>0</v>
      </c>
      <c r="AS69" s="45">
        <f t="shared" ca="1" si="37"/>
        <v>0</v>
      </c>
      <c r="AT69" s="45">
        <f t="shared" ca="1" si="38"/>
        <v>0</v>
      </c>
      <c r="AU69" s="45">
        <f t="shared" ca="1" si="39"/>
        <v>0</v>
      </c>
      <c r="AV69" s="46">
        <f ca="1">AU69*Inputs!$B$35</f>
        <v>0</v>
      </c>
      <c r="AW69" s="46">
        <f ca="1">AR69*Inputs!$C$6+AT69*Inputs!$C$7+AS69*Inputs!$C$8</f>
        <v>0</v>
      </c>
      <c r="AX69" s="46">
        <f t="shared" ca="1" si="40"/>
        <v>47568665.48831059</v>
      </c>
      <c r="AY69" s="46">
        <f ca="1">IF(J69&gt;1,($CD$4)*Inputs!$B$55*((Z69+AA69+AB69)/(SUM(ILP_B_Moderate!$C$9:$E$13))),0)</f>
        <v>0</v>
      </c>
      <c r="AZ69" s="46">
        <f t="shared" ca="1" si="41"/>
        <v>0</v>
      </c>
      <c r="BA69" s="41">
        <f t="shared" ca="1" si="42"/>
        <v>0</v>
      </c>
      <c r="BB69" s="41">
        <f t="shared" ca="1" si="43"/>
        <v>1</v>
      </c>
      <c r="BC69" s="41">
        <f t="shared" ca="1" si="44"/>
        <v>1</v>
      </c>
      <c r="BD69" s="41">
        <f t="shared" ca="1" si="45"/>
        <v>1</v>
      </c>
    </row>
    <row r="70" spans="1:56" ht="15" customHeight="1" x14ac:dyDescent="0.3">
      <c r="A70" s="41">
        <v>63</v>
      </c>
      <c r="B70" s="42">
        <f t="shared" ca="1" si="27"/>
        <v>0.18991534564635981</v>
      </c>
      <c r="C70" s="43">
        <f ca="1">IF(B70&lt;=Inputs!$C$40,Inputs!$D$40,IF(B70&lt;=Inputs!$C$41,Inputs!$D$41,Inputs!$D$42))</f>
        <v>0.9</v>
      </c>
      <c r="D70" s="42">
        <f t="shared" ca="1" si="50"/>
        <v>0.68475732324311311</v>
      </c>
      <c r="E70" s="42">
        <f t="shared" ca="1" si="50"/>
        <v>0.70402304682086225</v>
      </c>
      <c r="F70" s="42">
        <f t="shared" ca="1" si="50"/>
        <v>0.2318545782691005</v>
      </c>
      <c r="G70" s="42">
        <f t="shared" ca="1" si="50"/>
        <v>0.73651668939663595</v>
      </c>
      <c r="H70" s="42">
        <f t="shared" ca="1" si="50"/>
        <v>6.7082160231301646E-2</v>
      </c>
      <c r="I70" s="42">
        <f t="shared" ca="1" si="50"/>
        <v>0.21999544146091954</v>
      </c>
      <c r="J70" s="43">
        <f ca="1">IF(I70&lt;Inputs!$B$54,1+Inputs!$B$55,1)</f>
        <v>1</v>
      </c>
      <c r="K70" s="42">
        <f t="shared" ca="1" si="51"/>
        <v>0.23027609533872739</v>
      </c>
      <c r="L70" s="42">
        <f t="shared" ca="1" si="51"/>
        <v>0.25745207794140024</v>
      </c>
      <c r="M70" s="42">
        <f t="shared" ca="1" si="51"/>
        <v>0.7992583729125422</v>
      </c>
      <c r="N70" s="42">
        <f t="shared" ca="1" si="51"/>
        <v>0.69443197723308103</v>
      </c>
      <c r="O70" s="42">
        <f t="shared" ca="1" si="51"/>
        <v>0.16665861407147331</v>
      </c>
      <c r="P70" s="42">
        <f t="shared" ca="1" si="51"/>
        <v>0.39911845468468998</v>
      </c>
      <c r="Q70" s="42">
        <f t="shared" ca="1" si="51"/>
        <v>0.92426555950829747</v>
      </c>
      <c r="R70" s="42">
        <f t="shared" ca="1" si="51"/>
        <v>0.5772403661725064</v>
      </c>
      <c r="S70" s="42">
        <f t="shared" ca="1" si="51"/>
        <v>2.5853219599784483E-2</v>
      </c>
      <c r="T70" s="42">
        <f t="shared" ca="1" si="51"/>
        <v>0.42845909716236885</v>
      </c>
      <c r="U70" s="44">
        <f ca="1">(IF(D70&gt;=Inputs!$E$12,1,IF(K70&lt;=Inputs!$C$46,Inputs!$D$46,IF(K70&lt;=Inputs!$C$47,Inputs!$D$47,Inputs!$D$48))))*((Inputs!$B$28+(P70-0.5)*2*Inputs!$B$53)/Inputs!$B$28)</f>
        <v>0.99897893172757779</v>
      </c>
      <c r="V70" s="44">
        <f ca="1">(IF(E70&gt;=Inputs!$E$13,1,IF(L70&lt;=Inputs!$C$46,Inputs!$D$46,IF(L70&lt;=Inputs!$C$47,Inputs!$D$47,Inputs!$D$48))))*((Inputs!$B$29+(Q70-0.5)*2*Inputs!$B$53)/Inputs!$B$29)</f>
        <v>1.0042768705595595</v>
      </c>
      <c r="W70" s="44">
        <f ca="1">(IF(F70&gt;=Inputs!$E$14,1,IF(M70&lt;=Inputs!$C$46,Inputs!$D$46,IF(M70&lt;=Inputs!$C$47,Inputs!$D$47,Inputs!$D$48))))*((Inputs!$B$30+(R70-0.5)*2*Inputs!$B$53)/Inputs!$B$30)</f>
        <v>1.0007762850871609</v>
      </c>
      <c r="X70" s="44">
        <f ca="1">(IF(G70&gt;=Inputs!$E$15,1,IF(N70&lt;=Inputs!$C$46,Inputs!$D$46,IF(N70&lt;=Inputs!$C$47,Inputs!$D$47,Inputs!$D$48))))*((Inputs!$B$31+(S70-0.5)*2*Inputs!$B$53)/Inputs!$B$31)</f>
        <v>0.99518632710253585</v>
      </c>
      <c r="Y70" s="44">
        <f ca="1">(IF(H70&gt;=Inputs!$E$16,1,IF(O70&lt;=Inputs!$C$46,Inputs!$D$46,IF(O70&lt;=Inputs!$C$47,Inputs!$D$47,Inputs!$D$48))))*((Inputs!$B$32+(T70-0.5)*2*Inputs!$B$53)/Inputs!$B$32)</f>
        <v>0.99928027260726726</v>
      </c>
      <c r="Z70" s="45">
        <f ca="1">ILP_B_Moderate!$C$9*U70+ILP_B_Moderate!$C$10*V70+ILP_B_Moderate!$C$11*W70+ILP_B_Moderate!$C$12*X70+ILP_B_Moderate!$C$13*Y70</f>
        <v>17968.000948628454</v>
      </c>
      <c r="AA70" s="45">
        <f ca="1">ILP_B_Moderate!$D$9*U70+ILP_B_Moderate!$D$10*V70+ILP_B_Moderate!$D$11*W70+ILP_B_Moderate!$D$12*X70+ILP_B_Moderate!$D$13*Y70</f>
        <v>15013.723372110911</v>
      </c>
      <c r="AB70" s="45">
        <f ca="1">ILP_B_Moderate!$E$9*U70+ILP_B_Moderate!$E$10*V70+ILP_B_Moderate!$E$11*W70+ILP_B_Moderate!$E$12*X70+ILP_B_Moderate!$E$13*Y70</f>
        <v>12002.126666457038</v>
      </c>
      <c r="AC70" s="45">
        <f ca="1">Inputs!$B$6*$C70</f>
        <v>16200</v>
      </c>
      <c r="AD70" s="45">
        <f ca="1">Inputs!$B$7*$C70</f>
        <v>13500</v>
      </c>
      <c r="AE70" s="45">
        <f ca="1">Inputs!$B$8*$C70</f>
        <v>10800</v>
      </c>
      <c r="AF70" s="45">
        <f t="shared" ca="1" si="28"/>
        <v>0</v>
      </c>
      <c r="AG70" s="45">
        <f t="shared" ca="1" si="29"/>
        <v>0</v>
      </c>
      <c r="AH70" s="45">
        <f t="shared" ca="1" si="30"/>
        <v>0</v>
      </c>
      <c r="AI70" s="45">
        <f t="shared" ca="1" si="31"/>
        <v>0</v>
      </c>
      <c r="AJ70" s="45">
        <f ca="1">U70*(Inputs!$B$12-ILP_B_Moderate!$F$9)+V70*(Inputs!$B$13-ILP_B_Moderate!$F$10)+W70*(Inputs!$B$14-ILP_B_Moderate!$F$11)+X70*(Inputs!$B$15-ILP_B_Moderate!$F$12)+Y70*(Inputs!$B$16-ILP_B_Moderate!$F$13)</f>
        <v>25001.219828751204</v>
      </c>
      <c r="AK70" s="45">
        <f t="shared" ca="1" si="32"/>
        <v>0</v>
      </c>
      <c r="AL70" s="45">
        <f t="shared" ca="1" si="33"/>
        <v>0</v>
      </c>
      <c r="AM70" s="45">
        <f t="shared" ca="1" si="34"/>
        <v>0</v>
      </c>
      <c r="AN70" s="45">
        <f t="shared" ca="1" si="35"/>
        <v>0</v>
      </c>
      <c r="AO70" s="45">
        <f ca="1">MIN(AL70,Inputs!$B$36)</f>
        <v>0</v>
      </c>
      <c r="AP70" s="45">
        <f ca="1">MIN(AN70,Inputs!$B$36-AO70)</f>
        <v>0</v>
      </c>
      <c r="AQ70" s="45">
        <f ca="1">MIN(AM70,Inputs!$B$36-AO70-AP70)</f>
        <v>0</v>
      </c>
      <c r="AR70" s="45">
        <f t="shared" ca="1" si="36"/>
        <v>0</v>
      </c>
      <c r="AS70" s="45">
        <f t="shared" ca="1" si="37"/>
        <v>0</v>
      </c>
      <c r="AT70" s="45">
        <f t="shared" ca="1" si="38"/>
        <v>0</v>
      </c>
      <c r="AU70" s="45">
        <f t="shared" ca="1" si="39"/>
        <v>0</v>
      </c>
      <c r="AV70" s="46">
        <f ca="1">AU70*Inputs!$B$35</f>
        <v>0</v>
      </c>
      <c r="AW70" s="46">
        <f ca="1">AR70*Inputs!$C$6+AT70*Inputs!$C$7+AS70*Inputs!$C$8</f>
        <v>0</v>
      </c>
      <c r="AX70" s="46">
        <f t="shared" ca="1" si="40"/>
        <v>47552540.794750765</v>
      </c>
      <c r="AY70" s="46">
        <f ca="1">IF(J70&gt;1,($CD$4)*Inputs!$B$55*((Z70+AA70+AB70)/(SUM(ILP_B_Moderate!$C$9:$E$13))),0)</f>
        <v>0</v>
      </c>
      <c r="AZ70" s="46">
        <f t="shared" ca="1" si="41"/>
        <v>0</v>
      </c>
      <c r="BA70" s="41">
        <f t="shared" ca="1" si="42"/>
        <v>0</v>
      </c>
      <c r="BB70" s="41">
        <f t="shared" ca="1" si="43"/>
        <v>1</v>
      </c>
      <c r="BC70" s="41">
        <f t="shared" ca="1" si="44"/>
        <v>1</v>
      </c>
      <c r="BD70" s="41">
        <f t="shared" ca="1" si="45"/>
        <v>1</v>
      </c>
    </row>
    <row r="71" spans="1:56" ht="15" customHeight="1" x14ac:dyDescent="0.3">
      <c r="A71" s="41">
        <v>64</v>
      </c>
      <c r="B71" s="42">
        <f t="shared" ca="1" si="27"/>
        <v>0.93328637312103757</v>
      </c>
      <c r="C71" s="43">
        <f ca="1">IF(B71&lt;=Inputs!$C$40,Inputs!$D$40,IF(B71&lt;=Inputs!$C$41,Inputs!$D$41,Inputs!$D$42))</f>
        <v>1.1499999999999999</v>
      </c>
      <c r="D71" s="42">
        <f t="shared" ca="1" si="50"/>
        <v>8.1355936718746524E-2</v>
      </c>
      <c r="E71" s="42">
        <f t="shared" ca="1" si="50"/>
        <v>0.52406075327686608</v>
      </c>
      <c r="F71" s="42">
        <f t="shared" ca="1" si="50"/>
        <v>0.71241396319860106</v>
      </c>
      <c r="G71" s="42">
        <f t="shared" ca="1" si="50"/>
        <v>0.40071316398501977</v>
      </c>
      <c r="H71" s="42">
        <f t="shared" ca="1" si="50"/>
        <v>0.46479973422636467</v>
      </c>
      <c r="I71" s="42">
        <f t="shared" ca="1" si="50"/>
        <v>0.54823146699343417</v>
      </c>
      <c r="J71" s="43">
        <f ca="1">IF(I71&lt;Inputs!$B$54,1+Inputs!$B$55,1)</f>
        <v>1</v>
      </c>
      <c r="K71" s="42">
        <f t="shared" ca="1" si="51"/>
        <v>0.6110706438577671</v>
      </c>
      <c r="L71" s="42">
        <f t="shared" ca="1" si="51"/>
        <v>8.6315868109487437E-2</v>
      </c>
      <c r="M71" s="42">
        <f t="shared" ca="1" si="51"/>
        <v>0.91653358567874155</v>
      </c>
      <c r="N71" s="42">
        <f t="shared" ca="1" si="51"/>
        <v>0.9469137573649169</v>
      </c>
      <c r="O71" s="42">
        <f t="shared" ca="1" si="51"/>
        <v>0.12937075896921357</v>
      </c>
      <c r="P71" s="42">
        <f t="shared" ca="1" si="51"/>
        <v>0.62875612037905237</v>
      </c>
      <c r="Q71" s="42">
        <f t="shared" ca="1" si="51"/>
        <v>0.17388649586927785</v>
      </c>
      <c r="R71" s="42">
        <f t="shared" ca="1" si="51"/>
        <v>0.97880336345666819</v>
      </c>
      <c r="S71" s="42">
        <f t="shared" ca="1" si="51"/>
        <v>0.98908298737441169</v>
      </c>
      <c r="T71" s="42">
        <f t="shared" ca="1" si="51"/>
        <v>0.33895270127882537</v>
      </c>
      <c r="U71" s="44">
        <f ca="1">(IF(D71&gt;=Inputs!$E$12,1,IF(K71&lt;=Inputs!$C$46,Inputs!$D$46,IF(K71&lt;=Inputs!$C$47,Inputs!$D$47,Inputs!$D$48))))*((Inputs!$B$28+(P71-0.5)*2*Inputs!$B$53)/Inputs!$B$28)</f>
        <v>1.0013031995989783</v>
      </c>
      <c r="V71" s="44">
        <f ca="1">(IF(E71&gt;=Inputs!$E$13,1,IF(L71&lt;=Inputs!$C$46,Inputs!$D$46,IF(L71&lt;=Inputs!$C$47,Inputs!$D$47,Inputs!$D$48))))*((Inputs!$B$29+(Q71-0.5)*2*Inputs!$B$53)/Inputs!$B$29)</f>
        <v>0.99671256548255327</v>
      </c>
      <c r="W71" s="44">
        <f ca="1">(IF(F71&gt;=Inputs!$E$14,1,IF(M71&lt;=Inputs!$C$46,Inputs!$D$46,IF(M71&lt;=Inputs!$C$47,Inputs!$D$47,Inputs!$D$48))))*((Inputs!$B$30+(R71-0.5)*2*Inputs!$B$53)/Inputs!$B$30)</f>
        <v>1.0048120941050922</v>
      </c>
      <c r="X71" s="44">
        <f ca="1">(IF(G71&gt;=Inputs!$E$15,1,IF(N71&lt;=Inputs!$C$46,Inputs!$D$46,IF(N71&lt;=Inputs!$C$47,Inputs!$D$47,Inputs!$D$48))))*((Inputs!$B$31+(S71-0.5)*2*Inputs!$B$53)/Inputs!$B$31)</f>
        <v>1.0049653095164914</v>
      </c>
      <c r="Y71" s="44">
        <f ca="1">(IF(H71&gt;=Inputs!$E$16,1,IF(O71&lt;=Inputs!$C$46,Inputs!$D$46,IF(O71&lt;=Inputs!$C$47,Inputs!$D$47,Inputs!$D$48))))*((Inputs!$B$32+(T71-0.5)*2*Inputs!$B$53)/Inputs!$B$32)</f>
        <v>0.99837980584787556</v>
      </c>
      <c r="Z71" s="45">
        <f ca="1">ILP_B_Moderate!$C$9*U71+ILP_B_Moderate!$C$10*V71+ILP_B_Moderate!$C$11*W71+ILP_B_Moderate!$C$12*X71+ILP_B_Moderate!$C$13*Y71</f>
        <v>18038.641646740427</v>
      </c>
      <c r="AA71" s="45">
        <f ca="1">ILP_B_Moderate!$D$9*U71+ILP_B_Moderate!$D$10*V71+ILP_B_Moderate!$D$11*W71+ILP_B_Moderate!$D$12*X71+ILP_B_Moderate!$D$13*Y71</f>
        <v>14995.445388078875</v>
      </c>
      <c r="AB71" s="45">
        <f ca="1">ILP_B_Moderate!$E$9*U71+ILP_B_Moderate!$E$10*V71+ILP_B_Moderate!$E$11*W71+ILP_B_Moderate!$E$12*X71+ILP_B_Moderate!$E$13*Y71</f>
        <v>11993.903255921972</v>
      </c>
      <c r="AC71" s="45">
        <f ca="1">Inputs!$B$6*$C71</f>
        <v>20700</v>
      </c>
      <c r="AD71" s="45">
        <f ca="1">Inputs!$B$7*$C71</f>
        <v>17250</v>
      </c>
      <c r="AE71" s="45">
        <f ca="1">Inputs!$B$8*$C71</f>
        <v>13799.999999999998</v>
      </c>
      <c r="AF71" s="45">
        <f t="shared" ca="1" si="28"/>
        <v>2661.3583532595731</v>
      </c>
      <c r="AG71" s="45">
        <f t="shared" ca="1" si="29"/>
        <v>2254.5546119211249</v>
      </c>
      <c r="AH71" s="45">
        <f t="shared" ca="1" si="30"/>
        <v>1806.0967440780259</v>
      </c>
      <c r="AI71" s="45">
        <f t="shared" ca="1" si="31"/>
        <v>6722.0097092587239</v>
      </c>
      <c r="AJ71" s="45">
        <f ca="1">U71*(Inputs!$B$12-ILP_B_Moderate!$F$9)+V71*(Inputs!$B$13-ILP_B_Moderate!$F$10)+W71*(Inputs!$B$14-ILP_B_Moderate!$F$11)+X71*(Inputs!$B$15-ILP_B_Moderate!$F$12)+Y71*(Inputs!$B$16-ILP_B_Moderate!$F$13)</f>
        <v>25044.674844880352</v>
      </c>
      <c r="AK71" s="45">
        <f t="shared" ca="1" si="32"/>
        <v>6722.0097092587239</v>
      </c>
      <c r="AL71" s="45">
        <f t="shared" ca="1" si="33"/>
        <v>0</v>
      </c>
      <c r="AM71" s="45">
        <f t="shared" ca="1" si="34"/>
        <v>0</v>
      </c>
      <c r="AN71" s="45">
        <f t="shared" ca="1" si="35"/>
        <v>0</v>
      </c>
      <c r="AO71" s="45">
        <f ca="1">MIN(AL71,Inputs!$B$36)</f>
        <v>0</v>
      </c>
      <c r="AP71" s="45">
        <f ca="1">MIN(AN71,Inputs!$B$36-AO71)</f>
        <v>0</v>
      </c>
      <c r="AQ71" s="45">
        <f ca="1">MIN(AM71,Inputs!$B$36-AO71-AP71)</f>
        <v>0</v>
      </c>
      <c r="AR71" s="45">
        <f t="shared" ca="1" si="36"/>
        <v>0</v>
      </c>
      <c r="AS71" s="45">
        <f t="shared" ca="1" si="37"/>
        <v>0</v>
      </c>
      <c r="AT71" s="45">
        <f t="shared" ca="1" si="38"/>
        <v>0</v>
      </c>
      <c r="AU71" s="45">
        <f t="shared" ca="1" si="39"/>
        <v>0</v>
      </c>
      <c r="AV71" s="46">
        <f ca="1">AU71*Inputs!$B$35</f>
        <v>0</v>
      </c>
      <c r="AW71" s="46">
        <f ca="1">AR71*Inputs!$C$6+AT71*Inputs!$C$7+AS71*Inputs!$C$8</f>
        <v>0</v>
      </c>
      <c r="AX71" s="46">
        <f t="shared" ca="1" si="40"/>
        <v>47597119.433517702</v>
      </c>
      <c r="AY71" s="46">
        <f ca="1">IF(J71&gt;1,($CD$4)*Inputs!$B$55*((Z71+AA71+AB71)/(SUM(ILP_B_Moderate!$C$9:$E$13))),0)</f>
        <v>0</v>
      </c>
      <c r="AZ71" s="46">
        <f t="shared" ca="1" si="41"/>
        <v>0</v>
      </c>
      <c r="BA71" s="41">
        <f t="shared" ca="1" si="42"/>
        <v>0</v>
      </c>
      <c r="BB71" s="41">
        <f t="shared" ca="1" si="43"/>
        <v>1</v>
      </c>
      <c r="BC71" s="41">
        <f t="shared" ca="1" si="44"/>
        <v>1</v>
      </c>
      <c r="BD71" s="41">
        <f t="shared" ca="1" si="45"/>
        <v>1</v>
      </c>
    </row>
    <row r="72" spans="1:56" ht="15" customHeight="1" x14ac:dyDescent="0.3">
      <c r="A72" s="41">
        <v>65</v>
      </c>
      <c r="B72" s="42">
        <f t="shared" ref="B72:B103" ca="1" si="52">RAND()</f>
        <v>6.9210811925280891E-2</v>
      </c>
      <c r="C72" s="43">
        <f ca="1">IF(B72&lt;=Inputs!$C$40,Inputs!$D$40,IF(B72&lt;=Inputs!$C$41,Inputs!$D$41,Inputs!$D$42))</f>
        <v>0.9</v>
      </c>
      <c r="D72" s="42">
        <f t="shared" ca="1" si="50"/>
        <v>0.97881459282231043</v>
      </c>
      <c r="E72" s="42">
        <f t="shared" ca="1" si="50"/>
        <v>0.5413160553092955</v>
      </c>
      <c r="F72" s="42">
        <f t="shared" ca="1" si="50"/>
        <v>0.6755649324252696</v>
      </c>
      <c r="G72" s="42">
        <f t="shared" ca="1" si="50"/>
        <v>3.2502145252726877E-2</v>
      </c>
      <c r="H72" s="42">
        <f t="shared" ca="1" si="50"/>
        <v>0.80157222161485142</v>
      </c>
      <c r="I72" s="42">
        <f t="shared" ca="1" si="50"/>
        <v>0.9964677769719833</v>
      </c>
      <c r="J72" s="43">
        <f ca="1">IF(I72&lt;Inputs!$B$54,1+Inputs!$B$55,1)</f>
        <v>1</v>
      </c>
      <c r="K72" s="42">
        <f t="shared" ca="1" si="51"/>
        <v>0.36071742263506845</v>
      </c>
      <c r="L72" s="42">
        <f t="shared" ca="1" si="51"/>
        <v>0.92740920672179994</v>
      </c>
      <c r="M72" s="42">
        <f t="shared" ca="1" si="51"/>
        <v>1.5425245543200128E-2</v>
      </c>
      <c r="N72" s="42">
        <f t="shared" ca="1" si="51"/>
        <v>0.38320211576415075</v>
      </c>
      <c r="O72" s="42">
        <f t="shared" ca="1" si="51"/>
        <v>0.35651122977387073</v>
      </c>
      <c r="P72" s="42">
        <f t="shared" ca="1" si="51"/>
        <v>0.37053397736001303</v>
      </c>
      <c r="Q72" s="42">
        <f t="shared" ca="1" si="51"/>
        <v>0.92284216503856886</v>
      </c>
      <c r="R72" s="42">
        <f t="shared" ca="1" si="51"/>
        <v>0.44160368754511359</v>
      </c>
      <c r="S72" s="42">
        <f t="shared" ca="1" si="51"/>
        <v>0.22497609373356431</v>
      </c>
      <c r="T72" s="42">
        <f t="shared" ca="1" si="51"/>
        <v>0.4639236381027968</v>
      </c>
      <c r="U72" s="44">
        <f ca="1">(IF(D72&gt;=Inputs!$E$12,1,IF(K72&lt;=Inputs!$C$46,Inputs!$D$46,IF(K72&lt;=Inputs!$C$47,Inputs!$D$47,Inputs!$D$48))))*((Inputs!$B$28+(P72-0.5)*2*Inputs!$B$53)/Inputs!$B$28)</f>
        <v>0.99868961515546573</v>
      </c>
      <c r="V72" s="44">
        <f ca="1">(IF(E72&gt;=Inputs!$E$13,1,IF(L72&lt;=Inputs!$C$46,Inputs!$D$46,IF(L72&lt;=Inputs!$C$47,Inputs!$D$47,Inputs!$D$48))))*((Inputs!$B$29+(Q72-0.5)*2*Inputs!$B$53)/Inputs!$B$29)</f>
        <v>1.0042625218249857</v>
      </c>
      <c r="W72" s="44">
        <f ca="1">(IF(F72&gt;=Inputs!$E$14,1,IF(M72&lt;=Inputs!$C$46,Inputs!$D$46,IF(M72&lt;=Inputs!$C$47,Inputs!$D$47,Inputs!$D$48))))*((Inputs!$B$30+(R72-0.5)*2*Inputs!$B$53)/Inputs!$B$30)</f>
        <v>0.99941310238738801</v>
      </c>
      <c r="X72" s="44">
        <f ca="1">(IF(G72&gt;=Inputs!$E$15,1,IF(N72&lt;=Inputs!$C$46,Inputs!$D$46,IF(N72&lt;=Inputs!$C$47,Inputs!$D$47,Inputs!$D$48))))*((Inputs!$B$31+(S72-0.5)*2*Inputs!$B$53)/Inputs!$B$31)</f>
        <v>0.29916236373725957</v>
      </c>
      <c r="Y72" s="44">
        <f ca="1">(IF(H72&gt;=Inputs!$E$16,1,IF(O72&lt;=Inputs!$C$46,Inputs!$D$46,IF(O72&lt;=Inputs!$C$47,Inputs!$D$47,Inputs!$D$48))))*((Inputs!$B$32+(T72-0.5)*2*Inputs!$B$53)/Inputs!$B$32)</f>
        <v>0.99963705873342845</v>
      </c>
      <c r="Z72" s="45">
        <f ca="1">ILP_B_Moderate!$C$9*U72+ILP_B_Moderate!$C$10*V72+ILP_B_Moderate!$C$11*W72+ILP_B_Moderate!$C$12*X72+ILP_B_Moderate!$C$13*Y72</f>
        <v>11702.246104658909</v>
      </c>
      <c r="AA72" s="45">
        <f ca="1">ILP_B_Moderate!$D$9*U72+ILP_B_Moderate!$D$10*V72+ILP_B_Moderate!$D$11*W72+ILP_B_Moderate!$D$12*X72+ILP_B_Moderate!$D$13*Y72</f>
        <v>13049.474178354043</v>
      </c>
      <c r="AB72" s="45">
        <f ca="1">ILP_B_Moderate!$E$9*U72+ILP_B_Moderate!$E$10*V72+ILP_B_Moderate!$E$11*W72+ILP_B_Moderate!$E$12*X72+ILP_B_Moderate!$E$13*Y72</f>
        <v>12001.597708471723</v>
      </c>
      <c r="AC72" s="45">
        <f ca="1">Inputs!$B$6*$C72</f>
        <v>16200</v>
      </c>
      <c r="AD72" s="45">
        <f ca="1">Inputs!$B$7*$C72</f>
        <v>13500</v>
      </c>
      <c r="AE72" s="45">
        <f ca="1">Inputs!$B$8*$C72</f>
        <v>10800</v>
      </c>
      <c r="AF72" s="45">
        <f t="shared" ref="AF72:AF103" ca="1" si="53">MAX(0,AC72-Z72)</f>
        <v>4497.7538953410913</v>
      </c>
      <c r="AG72" s="45">
        <f t="shared" ref="AG72:AG103" ca="1" si="54">MAX(0,AD72-AA72)</f>
        <v>450.52582164595697</v>
      </c>
      <c r="AH72" s="45">
        <f t="shared" ref="AH72:AH103" ca="1" si="55">MAX(0,AE72-AB72)</f>
        <v>0</v>
      </c>
      <c r="AI72" s="45">
        <f t="shared" ref="AI72:AI103" ca="1" si="56">SUM(AF72:AH72)</f>
        <v>4948.2797169870482</v>
      </c>
      <c r="AJ72" s="45">
        <f ca="1">U72*(Inputs!$B$12-ILP_B_Moderate!$F$9)+V72*(Inputs!$B$13-ILP_B_Moderate!$F$10)+W72*(Inputs!$B$14-ILP_B_Moderate!$F$11)+X72*(Inputs!$B$15-ILP_B_Moderate!$F$12)+Y72*(Inputs!$B$16-ILP_B_Moderate!$F$13)</f>
        <v>24862.265733437158</v>
      </c>
      <c r="AK72" s="45">
        <f t="shared" ref="AK72:AK103" ca="1" si="57">MIN(AI72,MAX(0,AJ72))</f>
        <v>4948.2797169870482</v>
      </c>
      <c r="AL72" s="45">
        <f t="shared" ref="AL72:AL103" ca="1" si="58">AF72*(1-(IF(AI72&gt;0,AK72/AI72,0)))</f>
        <v>0</v>
      </c>
      <c r="AM72" s="45">
        <f t="shared" ref="AM72:AM103" ca="1" si="59">AG72*(1-(IF(AI72&gt;0,AK72/AI72,0)))</f>
        <v>0</v>
      </c>
      <c r="AN72" s="45">
        <f t="shared" ref="AN72:AN103" ca="1" si="60">AH72*(1-(IF(AI72&gt;0,AK72/AI72,0)))</f>
        <v>0</v>
      </c>
      <c r="AO72" s="45">
        <f ca="1">MIN(AL72,Inputs!$B$36)</f>
        <v>0</v>
      </c>
      <c r="AP72" s="45">
        <f ca="1">MIN(AN72,Inputs!$B$36-AO72)</f>
        <v>0</v>
      </c>
      <c r="AQ72" s="45">
        <f ca="1">MIN(AM72,Inputs!$B$36-AO72-AP72)</f>
        <v>0</v>
      </c>
      <c r="AR72" s="45">
        <f t="shared" ref="AR72:AR103" ca="1" si="61">AL72-AO72</f>
        <v>0</v>
      </c>
      <c r="AS72" s="45">
        <f t="shared" ref="AS72:AS103" ca="1" si="62">AN72-AP72</f>
        <v>0</v>
      </c>
      <c r="AT72" s="45">
        <f t="shared" ref="AT72:AT103" ca="1" si="63">AM72-AQ72</f>
        <v>0</v>
      </c>
      <c r="AU72" s="45">
        <f t="shared" ref="AU72:AU103" ca="1" si="64">AO72+AP72+AQ72</f>
        <v>0</v>
      </c>
      <c r="AV72" s="46">
        <f ca="1">AU72*Inputs!$B$35</f>
        <v>0</v>
      </c>
      <c r="AW72" s="46">
        <f ca="1">AR72*Inputs!$C$6+AT72*Inputs!$C$7+AS72*Inputs!$C$8</f>
        <v>0</v>
      </c>
      <c r="AX72" s="46">
        <f t="shared" ref="AX72:AX103" ca="1" si="65">Z72*$CA$4+AA72*$CB$4+AB72*$CC$4</f>
        <v>39022174.136901602</v>
      </c>
      <c r="AY72" s="46">
        <f ca="1">IF(J72&gt;1,($CD$4)*Inputs!$B$55*((Z72+AA72+AB72)/(SUM(ILP_B_Moderate!$C$9:$E$13))),0)</f>
        <v>0</v>
      </c>
      <c r="AZ72" s="46">
        <f t="shared" ref="AZ72:AZ103" ca="1" si="66">AV72+AW72</f>
        <v>0</v>
      </c>
      <c r="BA72" s="41">
        <f t="shared" ref="BA72:BA103" ca="1" si="67">IF(AR72+AT72+AS72&gt;0,1,0)</f>
        <v>0</v>
      </c>
      <c r="BB72" s="41">
        <f t="shared" ref="BB72:BB103" ca="1" si="68">IF(AR72=0,1,0)</f>
        <v>1</v>
      </c>
      <c r="BC72" s="41">
        <f t="shared" ref="BC72:BC103" ca="1" si="69">IF(AT72=0,1,0)</f>
        <v>1</v>
      </c>
      <c r="BD72" s="41">
        <f t="shared" ref="BD72:BD103" ca="1" si="70">IF(AS72=0,1,0)</f>
        <v>1</v>
      </c>
    </row>
    <row r="73" spans="1:56" ht="15" customHeight="1" x14ac:dyDescent="0.3">
      <c r="A73" s="41">
        <v>66</v>
      </c>
      <c r="B73" s="42">
        <f t="shared" ca="1" si="52"/>
        <v>0.817007882731834</v>
      </c>
      <c r="C73" s="43">
        <f ca="1">IF(B73&lt;=Inputs!$C$40,Inputs!$D$40,IF(B73&lt;=Inputs!$C$41,Inputs!$D$41,Inputs!$D$42))</f>
        <v>1.1499999999999999</v>
      </c>
      <c r="D73" s="42">
        <f t="shared" ca="1" si="50"/>
        <v>0.40194899771071158</v>
      </c>
      <c r="E73" s="42">
        <f t="shared" ca="1" si="50"/>
        <v>0.41893241064307074</v>
      </c>
      <c r="F73" s="42">
        <f t="shared" ca="1" si="50"/>
        <v>0.1575962091506603</v>
      </c>
      <c r="G73" s="42">
        <f t="shared" ca="1" si="50"/>
        <v>0.78483152579441551</v>
      </c>
      <c r="H73" s="42">
        <f t="shared" ca="1" si="50"/>
        <v>0.35818387029545518</v>
      </c>
      <c r="I73" s="42">
        <f t="shared" ca="1" si="50"/>
        <v>0.17855821202130751</v>
      </c>
      <c r="J73" s="43">
        <f ca="1">IF(I73&lt;Inputs!$B$54,1+Inputs!$B$55,1)</f>
        <v>1</v>
      </c>
      <c r="K73" s="42">
        <f t="shared" ca="1" si="51"/>
        <v>0.76618613599146357</v>
      </c>
      <c r="L73" s="42">
        <f t="shared" ca="1" si="51"/>
        <v>0.78645721104135469</v>
      </c>
      <c r="M73" s="42">
        <f t="shared" ca="1" si="51"/>
        <v>0.20129301623504614</v>
      </c>
      <c r="N73" s="42">
        <f t="shared" ca="1" si="51"/>
        <v>0.17424800933876117</v>
      </c>
      <c r="O73" s="42">
        <f t="shared" ca="1" si="51"/>
        <v>0.58906446543571356</v>
      </c>
      <c r="P73" s="42">
        <f t="shared" ca="1" si="51"/>
        <v>0.46967767446302666</v>
      </c>
      <c r="Q73" s="42">
        <f t="shared" ca="1" si="51"/>
        <v>9.6053894942815687E-2</v>
      </c>
      <c r="R73" s="42">
        <f t="shared" ca="1" si="51"/>
        <v>0.33794310039193898</v>
      </c>
      <c r="S73" s="42">
        <f t="shared" ca="1" si="51"/>
        <v>0.59368422507122409</v>
      </c>
      <c r="T73" s="42">
        <f t="shared" ca="1" si="51"/>
        <v>0.55108510584523218</v>
      </c>
      <c r="U73" s="44">
        <f ca="1">(IF(D73&gt;=Inputs!$E$12,1,IF(K73&lt;=Inputs!$C$46,Inputs!$D$46,IF(K73&lt;=Inputs!$C$47,Inputs!$D$47,Inputs!$D$48))))*((Inputs!$B$28+(P73-0.5)*2*Inputs!$B$53)/Inputs!$B$28)</f>
        <v>0.99969309387108329</v>
      </c>
      <c r="V73" s="44">
        <f ca="1">(IF(E73&gt;=Inputs!$E$13,1,IF(L73&lt;=Inputs!$C$46,Inputs!$D$46,IF(L73&lt;=Inputs!$C$47,Inputs!$D$47,Inputs!$D$48))))*((Inputs!$B$29+(Q73-0.5)*2*Inputs!$B$53)/Inputs!$B$29)</f>
        <v>0.99592796265063321</v>
      </c>
      <c r="W73" s="44">
        <f ca="1">(IF(F73&gt;=Inputs!$E$14,1,IF(M73&lt;=Inputs!$C$46,Inputs!$D$46,IF(M73&lt;=Inputs!$C$47,Inputs!$D$47,Inputs!$D$48))))*((Inputs!$B$30+(R73-0.5)*2*Inputs!$B$53)/Inputs!$B$30)</f>
        <v>0.99837128744112502</v>
      </c>
      <c r="X73" s="44">
        <f ca="1">(IF(G73&gt;=Inputs!$E$15,1,IF(N73&lt;=Inputs!$C$46,Inputs!$D$46,IF(N73&lt;=Inputs!$C$47,Inputs!$D$47,Inputs!$D$48))))*((Inputs!$B$31+(S73-0.5)*2*Inputs!$B$53)/Inputs!$B$31)</f>
        <v>1.0009511088839718</v>
      </c>
      <c r="Y73" s="44">
        <f ca="1">(IF(H73&gt;=Inputs!$E$16,1,IF(O73&lt;=Inputs!$C$46,Inputs!$D$46,IF(O73&lt;=Inputs!$C$47,Inputs!$D$47,Inputs!$D$48))))*((Inputs!$B$32+(T73-0.5)*2*Inputs!$B$53)/Inputs!$B$32)</f>
        <v>1.0005139346664509</v>
      </c>
      <c r="Z73" s="45">
        <f ca="1">ILP_B_Moderate!$C$9*U73+ILP_B_Moderate!$C$10*V73+ILP_B_Moderate!$C$11*W73+ILP_B_Moderate!$C$12*X73+ILP_B_Moderate!$C$13*Y73</f>
        <v>17991.219236709912</v>
      </c>
      <c r="AA73" s="45">
        <f ca="1">ILP_B_Moderate!$D$9*U73+ILP_B_Moderate!$D$10*V73+ILP_B_Moderate!$D$11*W73+ILP_B_Moderate!$D$12*X73+ILP_B_Moderate!$D$13*Y73</f>
        <v>14970.705526249219</v>
      </c>
      <c r="AB73" s="45">
        <f ca="1">ILP_B_Moderate!$E$9*U73+ILP_B_Moderate!$E$10*V73+ILP_B_Moderate!$E$11*W73+ILP_B_Moderate!$E$12*X73+ILP_B_Moderate!$E$13*Y73</f>
        <v>11989.703865633408</v>
      </c>
      <c r="AC73" s="45">
        <f ca="1">Inputs!$B$6*$C73</f>
        <v>20700</v>
      </c>
      <c r="AD73" s="45">
        <f ca="1">Inputs!$B$7*$C73</f>
        <v>17250</v>
      </c>
      <c r="AE73" s="45">
        <f ca="1">Inputs!$B$8*$C73</f>
        <v>13799.999999999998</v>
      </c>
      <c r="AF73" s="45">
        <f t="shared" ca="1" si="53"/>
        <v>2708.7807632900876</v>
      </c>
      <c r="AG73" s="45">
        <f t="shared" ca="1" si="54"/>
        <v>2279.2944737507805</v>
      </c>
      <c r="AH73" s="45">
        <f t="shared" ca="1" si="55"/>
        <v>1810.2961343665902</v>
      </c>
      <c r="AI73" s="45">
        <f t="shared" ca="1" si="56"/>
        <v>6798.3713714074584</v>
      </c>
      <c r="AJ73" s="45">
        <f ca="1">U73*(Inputs!$B$12-ILP_B_Moderate!$F$9)+V73*(Inputs!$B$13-ILP_B_Moderate!$F$10)+W73*(Inputs!$B$14-ILP_B_Moderate!$F$11)+X73*(Inputs!$B$15-ILP_B_Moderate!$F$12)+Y73*(Inputs!$B$16-ILP_B_Moderate!$F$13)</f>
        <v>24984.401413792708</v>
      </c>
      <c r="AK73" s="45">
        <f t="shared" ca="1" si="57"/>
        <v>6798.3713714074584</v>
      </c>
      <c r="AL73" s="45">
        <f t="shared" ca="1" si="58"/>
        <v>0</v>
      </c>
      <c r="AM73" s="45">
        <f t="shared" ca="1" si="59"/>
        <v>0</v>
      </c>
      <c r="AN73" s="45">
        <f t="shared" ca="1" si="60"/>
        <v>0</v>
      </c>
      <c r="AO73" s="45">
        <f ca="1">MIN(AL73,Inputs!$B$36)</f>
        <v>0</v>
      </c>
      <c r="AP73" s="45">
        <f ca="1">MIN(AN73,Inputs!$B$36-AO73)</f>
        <v>0</v>
      </c>
      <c r="AQ73" s="45">
        <f ca="1">MIN(AM73,Inputs!$B$36-AO73-AP73)</f>
        <v>0</v>
      </c>
      <c r="AR73" s="45">
        <f t="shared" ca="1" si="61"/>
        <v>0</v>
      </c>
      <c r="AS73" s="45">
        <f t="shared" ca="1" si="62"/>
        <v>0</v>
      </c>
      <c r="AT73" s="45">
        <f t="shared" ca="1" si="63"/>
        <v>0</v>
      </c>
      <c r="AU73" s="45">
        <f t="shared" ca="1" si="64"/>
        <v>0</v>
      </c>
      <c r="AV73" s="46">
        <f ca="1">AU73*Inputs!$B$35</f>
        <v>0</v>
      </c>
      <c r="AW73" s="46">
        <f ca="1">AR73*Inputs!$C$6+AT73*Inputs!$C$7+AS73*Inputs!$C$8</f>
        <v>0</v>
      </c>
      <c r="AX73" s="46">
        <f t="shared" ca="1" si="65"/>
        <v>47517547.85397847</v>
      </c>
      <c r="AY73" s="46">
        <f ca="1">IF(J73&gt;1,($CD$4)*Inputs!$B$55*((Z73+AA73+AB73)/(SUM(ILP_B_Moderate!$C$9:$E$13))),0)</f>
        <v>0</v>
      </c>
      <c r="AZ73" s="46">
        <f t="shared" ca="1" si="66"/>
        <v>0</v>
      </c>
      <c r="BA73" s="41">
        <f t="shared" ca="1" si="67"/>
        <v>0</v>
      </c>
      <c r="BB73" s="41">
        <f t="shared" ca="1" si="68"/>
        <v>1</v>
      </c>
      <c r="BC73" s="41">
        <f t="shared" ca="1" si="69"/>
        <v>1</v>
      </c>
      <c r="BD73" s="41">
        <f t="shared" ca="1" si="70"/>
        <v>1</v>
      </c>
    </row>
    <row r="74" spans="1:56" ht="15" customHeight="1" x14ac:dyDescent="0.3">
      <c r="A74" s="41">
        <v>67</v>
      </c>
      <c r="B74" s="42">
        <f t="shared" ca="1" si="52"/>
        <v>0.53583711686067981</v>
      </c>
      <c r="C74" s="43">
        <f ca="1">IF(B74&lt;=Inputs!$C$40,Inputs!$D$40,IF(B74&lt;=Inputs!$C$41,Inputs!$D$41,Inputs!$D$42))</f>
        <v>1</v>
      </c>
      <c r="D74" s="42">
        <f t="shared" ca="1" si="50"/>
        <v>0.19830024420912085</v>
      </c>
      <c r="E74" s="42">
        <f t="shared" ca="1" si="50"/>
        <v>0.83529108357769277</v>
      </c>
      <c r="F74" s="42">
        <f t="shared" ca="1" si="50"/>
        <v>0.53237898370300529</v>
      </c>
      <c r="G74" s="42">
        <f t="shared" ca="1" si="50"/>
        <v>4.5603804954582161E-2</v>
      </c>
      <c r="H74" s="42">
        <f t="shared" ca="1" si="50"/>
        <v>0.40271663420397086</v>
      </c>
      <c r="I74" s="42">
        <f t="shared" ca="1" si="50"/>
        <v>0.85259965265907978</v>
      </c>
      <c r="J74" s="43">
        <f ca="1">IF(I74&lt;Inputs!$B$54,1+Inputs!$B$55,1)</f>
        <v>1</v>
      </c>
      <c r="K74" s="42">
        <f t="shared" ca="1" si="51"/>
        <v>0.40052051460262283</v>
      </c>
      <c r="L74" s="42">
        <f t="shared" ca="1" si="51"/>
        <v>0.50825428148071172</v>
      </c>
      <c r="M74" s="42">
        <f t="shared" ca="1" si="51"/>
        <v>0.83747386161739512</v>
      </c>
      <c r="N74" s="42">
        <f t="shared" ca="1" si="51"/>
        <v>0.97476413085676072</v>
      </c>
      <c r="O74" s="42">
        <f t="shared" ca="1" si="51"/>
        <v>0.26610497538302291</v>
      </c>
      <c r="P74" s="42">
        <f t="shared" ca="1" si="51"/>
        <v>0.97806384159821658</v>
      </c>
      <c r="Q74" s="42">
        <f t="shared" ca="1" si="51"/>
        <v>0.94613119525896183</v>
      </c>
      <c r="R74" s="42">
        <f t="shared" ca="1" si="51"/>
        <v>0.55753378526245656</v>
      </c>
      <c r="S74" s="42">
        <f t="shared" ca="1" si="51"/>
        <v>9.4350718454026428E-2</v>
      </c>
      <c r="T74" s="42">
        <f t="shared" ca="1" si="51"/>
        <v>0.15464088664502396</v>
      </c>
      <c r="U74" s="44">
        <f ca="1">(IF(D74&gt;=Inputs!$E$12,1,IF(K74&lt;=Inputs!$C$46,Inputs!$D$46,IF(K74&lt;=Inputs!$C$47,Inputs!$D$47,Inputs!$D$48))))*((Inputs!$B$28+(P74-0.5)*2*Inputs!$B$53)/Inputs!$B$28)</f>
        <v>1.0048387028501844</v>
      </c>
      <c r="V74" s="44">
        <f ca="1">(IF(E74&gt;=Inputs!$E$13,1,IF(L74&lt;=Inputs!$C$46,Inputs!$D$46,IF(L74&lt;=Inputs!$C$47,Inputs!$D$47,Inputs!$D$48))))*((Inputs!$B$29+(Q74-0.5)*2*Inputs!$B$53)/Inputs!$B$29)</f>
        <v>1.004497290274788</v>
      </c>
      <c r="W74" s="44">
        <f ca="1">(IF(F74&gt;=Inputs!$E$14,1,IF(M74&lt;=Inputs!$C$46,Inputs!$D$46,IF(M74&lt;=Inputs!$C$47,Inputs!$D$47,Inputs!$D$48))))*((Inputs!$B$30+(R74-0.5)*2*Inputs!$B$53)/Inputs!$B$30)</f>
        <v>1.0005782289976126</v>
      </c>
      <c r="X74" s="44">
        <f ca="1">(IF(G74&gt;=Inputs!$E$15,1,IF(N74&lt;=Inputs!$C$46,Inputs!$D$46,IF(N74&lt;=Inputs!$C$47,Inputs!$D$47,Inputs!$D$48))))*((Inputs!$B$31+(S74-0.5)*2*Inputs!$B$53)/Inputs!$B$31)</f>
        <v>0</v>
      </c>
      <c r="Y74" s="44">
        <f ca="1">(IF(H74&gt;=Inputs!$E$16,1,IF(O74&lt;=Inputs!$C$46,Inputs!$D$46,IF(O74&lt;=Inputs!$C$47,Inputs!$D$47,Inputs!$D$48))))*((Inputs!$B$32+(T74-0.5)*2*Inputs!$B$53)/Inputs!$B$32)</f>
        <v>0.99652556223988953</v>
      </c>
      <c r="Z74" s="45">
        <f ca="1">ILP_B_Moderate!$C$9*U74+ILP_B_Moderate!$C$10*V74+ILP_B_Moderate!$C$11*W74+ILP_B_Moderate!$C$12*X74+ILP_B_Moderate!$C$13*Y74</f>
        <v>9042.2263761597242</v>
      </c>
      <c r="AA74" s="45">
        <f ca="1">ILP_B_Moderate!$D$9*U74+ILP_B_Moderate!$D$10*V74+ILP_B_Moderate!$D$11*W74+ILP_B_Moderate!$D$12*X74+ILP_B_Moderate!$D$13*Y74</f>
        <v>12236.374806399774</v>
      </c>
      <c r="AB74" s="45">
        <f ca="1">ILP_B_Moderate!$E$9*U74+ILP_B_Moderate!$E$10*V74+ILP_B_Moderate!$E$11*W74+ILP_B_Moderate!$E$12*X74+ILP_B_Moderate!$E$13*Y74</f>
        <v>12028.242458276249</v>
      </c>
      <c r="AC74" s="45">
        <f ca="1">Inputs!$B$6*$C74</f>
        <v>18000</v>
      </c>
      <c r="AD74" s="45">
        <f ca="1">Inputs!$B$7*$C74</f>
        <v>15000</v>
      </c>
      <c r="AE74" s="45">
        <f ca="1">Inputs!$B$8*$C74</f>
        <v>12000</v>
      </c>
      <c r="AF74" s="45">
        <f t="shared" ca="1" si="53"/>
        <v>8957.7736238402758</v>
      </c>
      <c r="AG74" s="45">
        <f t="shared" ca="1" si="54"/>
        <v>2763.6251936002263</v>
      </c>
      <c r="AH74" s="45">
        <f t="shared" ca="1" si="55"/>
        <v>0</v>
      </c>
      <c r="AI74" s="45">
        <f t="shared" ca="1" si="56"/>
        <v>11721.398817440502</v>
      </c>
      <c r="AJ74" s="45">
        <f ca="1">U74*(Inputs!$B$12-ILP_B_Moderate!$F$9)+V74*(Inputs!$B$13-ILP_B_Moderate!$F$10)+W74*(Inputs!$B$14-ILP_B_Moderate!$F$11)+X74*(Inputs!$B$15-ILP_B_Moderate!$F$12)+Y74*(Inputs!$B$16-ILP_B_Moderate!$F$13)</f>
        <v>24788.938079181542</v>
      </c>
      <c r="AK74" s="45">
        <f t="shared" ca="1" si="57"/>
        <v>11721.398817440502</v>
      </c>
      <c r="AL74" s="45">
        <f t="shared" ca="1" si="58"/>
        <v>0</v>
      </c>
      <c r="AM74" s="45">
        <f t="shared" ca="1" si="59"/>
        <v>0</v>
      </c>
      <c r="AN74" s="45">
        <f t="shared" ca="1" si="60"/>
        <v>0</v>
      </c>
      <c r="AO74" s="45">
        <f ca="1">MIN(AL74,Inputs!$B$36)</f>
        <v>0</v>
      </c>
      <c r="AP74" s="45">
        <f ca="1">MIN(AN74,Inputs!$B$36-AO74)</f>
        <v>0</v>
      </c>
      <c r="AQ74" s="45">
        <f ca="1">MIN(AM74,Inputs!$B$36-AO74-AP74)</f>
        <v>0</v>
      </c>
      <c r="AR74" s="45">
        <f t="shared" ca="1" si="61"/>
        <v>0</v>
      </c>
      <c r="AS74" s="45">
        <f t="shared" ca="1" si="62"/>
        <v>0</v>
      </c>
      <c r="AT74" s="45">
        <f t="shared" ca="1" si="63"/>
        <v>0</v>
      </c>
      <c r="AU74" s="45">
        <f t="shared" ca="1" si="64"/>
        <v>0</v>
      </c>
      <c r="AV74" s="46">
        <f ca="1">AU74*Inputs!$B$35</f>
        <v>0</v>
      </c>
      <c r="AW74" s="46">
        <f ca="1">AR74*Inputs!$C$6+AT74*Inputs!$C$7+AS74*Inputs!$C$8</f>
        <v>0</v>
      </c>
      <c r="AX74" s="46">
        <f t="shared" ca="1" si="65"/>
        <v>35452225.483856797</v>
      </c>
      <c r="AY74" s="46">
        <f ca="1">IF(J74&gt;1,($CD$4)*Inputs!$B$55*((Z74+AA74+AB74)/(SUM(ILP_B_Moderate!$C$9:$E$13))),0)</f>
        <v>0</v>
      </c>
      <c r="AZ74" s="46">
        <f t="shared" ca="1" si="66"/>
        <v>0</v>
      </c>
      <c r="BA74" s="41">
        <f t="shared" ca="1" si="67"/>
        <v>0</v>
      </c>
      <c r="BB74" s="41">
        <f t="shared" ca="1" si="68"/>
        <v>1</v>
      </c>
      <c r="BC74" s="41">
        <f t="shared" ca="1" si="69"/>
        <v>1</v>
      </c>
      <c r="BD74" s="41">
        <f t="shared" ca="1" si="70"/>
        <v>1</v>
      </c>
    </row>
    <row r="75" spans="1:56" ht="15" customHeight="1" x14ac:dyDescent="0.3">
      <c r="A75" s="41">
        <v>68</v>
      </c>
      <c r="B75" s="42">
        <f t="shared" ca="1" si="52"/>
        <v>0.79217849272450169</v>
      </c>
      <c r="C75" s="43">
        <f ca="1">IF(B75&lt;=Inputs!$C$40,Inputs!$D$40,IF(B75&lt;=Inputs!$C$41,Inputs!$D$41,Inputs!$D$42))</f>
        <v>1.1499999999999999</v>
      </c>
      <c r="D75" s="42">
        <f t="shared" ca="1" si="50"/>
        <v>9.1788524157548679E-2</v>
      </c>
      <c r="E75" s="42">
        <f t="shared" ca="1" si="50"/>
        <v>0.15547431412281987</v>
      </c>
      <c r="F75" s="42">
        <f t="shared" ca="1" si="50"/>
        <v>0.9193518463616539</v>
      </c>
      <c r="G75" s="42">
        <f t="shared" ca="1" si="50"/>
        <v>0.49074358067438384</v>
      </c>
      <c r="H75" s="42">
        <f t="shared" ca="1" si="50"/>
        <v>0.75641284689410204</v>
      </c>
      <c r="I75" s="42">
        <f t="shared" ca="1" si="50"/>
        <v>0.90988463371186645</v>
      </c>
      <c r="J75" s="43">
        <f ca="1">IF(I75&lt;Inputs!$B$54,1+Inputs!$B$55,1)</f>
        <v>1</v>
      </c>
      <c r="K75" s="42">
        <f t="shared" ca="1" si="51"/>
        <v>0.97982813960788528</v>
      </c>
      <c r="L75" s="42">
        <f t="shared" ca="1" si="51"/>
        <v>1.1002857155561929E-2</v>
      </c>
      <c r="M75" s="42">
        <f t="shared" ca="1" si="51"/>
        <v>0.67891566536182413</v>
      </c>
      <c r="N75" s="42">
        <f t="shared" ca="1" si="51"/>
        <v>0.95390180169759708</v>
      </c>
      <c r="O75" s="42">
        <f t="shared" ca="1" si="51"/>
        <v>0.24454206238596221</v>
      </c>
      <c r="P75" s="42">
        <f t="shared" ca="1" si="51"/>
        <v>0.46126776477845832</v>
      </c>
      <c r="Q75" s="42">
        <f t="shared" ca="1" si="51"/>
        <v>0.14889825847060645</v>
      </c>
      <c r="R75" s="42">
        <f t="shared" ca="1" si="51"/>
        <v>0.21144524952811494</v>
      </c>
      <c r="S75" s="42">
        <f t="shared" ca="1" si="51"/>
        <v>0.40906090393597905</v>
      </c>
      <c r="T75" s="42">
        <f t="shared" ca="1" si="51"/>
        <v>0.33201792560762322</v>
      </c>
      <c r="U75" s="44">
        <f ca="1">(IF(D75&gt;=Inputs!$E$12,1,IF(K75&lt;=Inputs!$C$46,Inputs!$D$46,IF(K75&lt;=Inputs!$C$47,Inputs!$D$47,Inputs!$D$48))))*((Inputs!$B$28+(P75-0.5)*2*Inputs!$B$53)/Inputs!$B$28)</f>
        <v>0.99960797332771723</v>
      </c>
      <c r="V75" s="44">
        <f ca="1">(IF(E75&gt;=Inputs!$E$13,1,IF(L75&lt;=Inputs!$C$46,Inputs!$D$46,IF(L75&lt;=Inputs!$C$47,Inputs!$D$47,Inputs!$D$48))))*((Inputs!$B$29+(Q75-0.5)*2*Inputs!$B$53)/Inputs!$B$29)</f>
        <v>0.99646066792813115</v>
      </c>
      <c r="W75" s="44">
        <f ca="1">(IF(F75&gt;=Inputs!$E$14,1,IF(M75&lt;=Inputs!$C$46,Inputs!$D$46,IF(M75&lt;=Inputs!$C$47,Inputs!$D$47,Inputs!$D$48))))*((Inputs!$B$30+(R75-0.5)*2*Inputs!$B$53)/Inputs!$B$30)</f>
        <v>0.997099952256564</v>
      </c>
      <c r="X75" s="44">
        <f ca="1">(IF(G75&gt;=Inputs!$E$15,1,IF(N75&lt;=Inputs!$C$46,Inputs!$D$46,IF(N75&lt;=Inputs!$C$47,Inputs!$D$47,Inputs!$D$48))))*((Inputs!$B$31+(S75-0.5)*2*Inputs!$B$53)/Inputs!$B$31)</f>
        <v>0.99907676044605054</v>
      </c>
      <c r="Y75" s="44">
        <f ca="1">(IF(H75&gt;=Inputs!$E$16,1,IF(O75&lt;=Inputs!$C$46,Inputs!$D$46,IF(O75&lt;=Inputs!$C$47,Inputs!$D$47,Inputs!$D$48))))*((Inputs!$B$32+(T75-0.5)*2*Inputs!$B$53)/Inputs!$B$32)</f>
        <v>0.99831003949303443</v>
      </c>
      <c r="Z75" s="45">
        <f ca="1">ILP_B_Moderate!$C$9*U75+ILP_B_Moderate!$C$10*V75+ILP_B_Moderate!$C$11*W75+ILP_B_Moderate!$C$12*X75+ILP_B_Moderate!$C$13*Y75</f>
        <v>17975.976237456711</v>
      </c>
      <c r="AA75" s="45">
        <f ca="1">ILP_B_Moderate!$D$9*U75+ILP_B_Moderate!$D$10*V75+ILP_B_Moderate!$D$11*W75+ILP_B_Moderate!$D$12*X75+ILP_B_Moderate!$D$13*Y75</f>
        <v>14969.016789092562</v>
      </c>
      <c r="AB75" s="45">
        <f ca="1">ILP_B_Moderate!$E$9*U75+ILP_B_Moderate!$E$10*V75+ILP_B_Moderate!$E$11*W75+ILP_B_Moderate!$E$12*X75+ILP_B_Moderate!$E$13*Y75</f>
        <v>11982.855058067213</v>
      </c>
      <c r="AC75" s="45">
        <f ca="1">Inputs!$B$6*$C75</f>
        <v>20700</v>
      </c>
      <c r="AD75" s="45">
        <f ca="1">Inputs!$B$7*$C75</f>
        <v>17250</v>
      </c>
      <c r="AE75" s="45">
        <f ca="1">Inputs!$B$8*$C75</f>
        <v>13799.999999999998</v>
      </c>
      <c r="AF75" s="45">
        <f t="shared" ca="1" si="53"/>
        <v>2724.0237625432892</v>
      </c>
      <c r="AG75" s="45">
        <f t="shared" ca="1" si="54"/>
        <v>2280.9832109074378</v>
      </c>
      <c r="AH75" s="45">
        <f t="shared" ca="1" si="55"/>
        <v>1817.1449419327855</v>
      </c>
      <c r="AI75" s="45">
        <f t="shared" ca="1" si="56"/>
        <v>6822.1519153835125</v>
      </c>
      <c r="AJ75" s="45">
        <f ca="1">U75*(Inputs!$B$12-ILP_B_Moderate!$F$9)+V75*(Inputs!$B$13-ILP_B_Moderate!$F$10)+W75*(Inputs!$B$14-ILP_B_Moderate!$F$11)+X75*(Inputs!$B$15-ILP_B_Moderate!$F$12)+Y75*(Inputs!$B$16-ILP_B_Moderate!$F$13)</f>
        <v>24942.199936704277</v>
      </c>
      <c r="AK75" s="45">
        <f t="shared" ca="1" si="57"/>
        <v>6822.1519153835125</v>
      </c>
      <c r="AL75" s="45">
        <f t="shared" ca="1" si="58"/>
        <v>0</v>
      </c>
      <c r="AM75" s="45">
        <f t="shared" ca="1" si="59"/>
        <v>0</v>
      </c>
      <c r="AN75" s="45">
        <f t="shared" ca="1" si="60"/>
        <v>0</v>
      </c>
      <c r="AO75" s="45">
        <f ca="1">MIN(AL75,Inputs!$B$36)</f>
        <v>0</v>
      </c>
      <c r="AP75" s="45">
        <f ca="1">MIN(AN75,Inputs!$B$36-AO75)</f>
        <v>0</v>
      </c>
      <c r="AQ75" s="45">
        <f ca="1">MIN(AM75,Inputs!$B$36-AO75-AP75)</f>
        <v>0</v>
      </c>
      <c r="AR75" s="45">
        <f t="shared" ca="1" si="61"/>
        <v>0</v>
      </c>
      <c r="AS75" s="45">
        <f t="shared" ca="1" si="62"/>
        <v>0</v>
      </c>
      <c r="AT75" s="45">
        <f t="shared" ca="1" si="63"/>
        <v>0</v>
      </c>
      <c r="AU75" s="45">
        <f t="shared" ca="1" si="64"/>
        <v>0</v>
      </c>
      <c r="AV75" s="46">
        <f ca="1">AU75*Inputs!$B$35</f>
        <v>0</v>
      </c>
      <c r="AW75" s="46">
        <f ca="1">AR75*Inputs!$C$6+AT75*Inputs!$C$7+AS75*Inputs!$C$8</f>
        <v>0</v>
      </c>
      <c r="AX75" s="46">
        <f t="shared" ca="1" si="65"/>
        <v>47492502.240161441</v>
      </c>
      <c r="AY75" s="46">
        <f ca="1">IF(J75&gt;1,($CD$4)*Inputs!$B$55*((Z75+AA75+AB75)/(SUM(ILP_B_Moderate!$C$9:$E$13))),0)</f>
        <v>0</v>
      </c>
      <c r="AZ75" s="46">
        <f t="shared" ca="1" si="66"/>
        <v>0</v>
      </c>
      <c r="BA75" s="41">
        <f t="shared" ca="1" si="67"/>
        <v>0</v>
      </c>
      <c r="BB75" s="41">
        <f t="shared" ca="1" si="68"/>
        <v>1</v>
      </c>
      <c r="BC75" s="41">
        <f t="shared" ca="1" si="69"/>
        <v>1</v>
      </c>
      <c r="BD75" s="41">
        <f t="shared" ca="1" si="70"/>
        <v>1</v>
      </c>
    </row>
    <row r="76" spans="1:56" ht="15" customHeight="1" x14ac:dyDescent="0.3">
      <c r="A76" s="41">
        <v>69</v>
      </c>
      <c r="B76" s="42">
        <f t="shared" ca="1" si="52"/>
        <v>0.64484337106755651</v>
      </c>
      <c r="C76" s="43">
        <f ca="1">IF(B76&lt;=Inputs!$C$40,Inputs!$D$40,IF(B76&lt;=Inputs!$C$41,Inputs!$D$41,Inputs!$D$42))</f>
        <v>1</v>
      </c>
      <c r="D76" s="42">
        <f t="shared" ca="1" si="50"/>
        <v>6.3122832285365638E-2</v>
      </c>
      <c r="E76" s="42">
        <f t="shared" ca="1" si="50"/>
        <v>0.21813953193176783</v>
      </c>
      <c r="F76" s="42">
        <f t="shared" ca="1" si="50"/>
        <v>0.50550639297024524</v>
      </c>
      <c r="G76" s="42">
        <f t="shared" ca="1" si="50"/>
        <v>0.84613537569126285</v>
      </c>
      <c r="H76" s="42">
        <f t="shared" ca="1" si="50"/>
        <v>0.35716651318736037</v>
      </c>
      <c r="I76" s="42">
        <f t="shared" ca="1" si="50"/>
        <v>0.39711005781521669</v>
      </c>
      <c r="J76" s="43">
        <f ca="1">IF(I76&lt;Inputs!$B$54,1+Inputs!$B$55,1)</f>
        <v>1</v>
      </c>
      <c r="K76" s="42">
        <f t="shared" ca="1" si="51"/>
        <v>0.56343260906991788</v>
      </c>
      <c r="L76" s="42">
        <f t="shared" ca="1" si="51"/>
        <v>0.86568297006360662</v>
      </c>
      <c r="M76" s="42">
        <f t="shared" ca="1" si="51"/>
        <v>0.65714244524941146</v>
      </c>
      <c r="N76" s="42">
        <f t="shared" ca="1" si="51"/>
        <v>0.74055902184949929</v>
      </c>
      <c r="O76" s="42">
        <f t="shared" ca="1" si="51"/>
        <v>0.70421923188502278</v>
      </c>
      <c r="P76" s="42">
        <f t="shared" ca="1" si="51"/>
        <v>0.37783092286901321</v>
      </c>
      <c r="Q76" s="42">
        <f t="shared" ca="1" si="51"/>
        <v>0.175415381960631</v>
      </c>
      <c r="R76" s="42">
        <f t="shared" ca="1" si="51"/>
        <v>0.11893712665286149</v>
      </c>
      <c r="S76" s="42">
        <f t="shared" ca="1" si="51"/>
        <v>0.89225614407685483</v>
      </c>
      <c r="T76" s="42">
        <f t="shared" ca="1" si="51"/>
        <v>0.63880034905200733</v>
      </c>
      <c r="U76" s="44">
        <f ca="1">(IF(D76&gt;=Inputs!$E$12,1,IF(K76&lt;=Inputs!$C$46,Inputs!$D$46,IF(K76&lt;=Inputs!$C$47,Inputs!$D$47,Inputs!$D$48))))*((Inputs!$B$28+(P76-0.5)*2*Inputs!$B$53)/Inputs!$B$28)</f>
        <v>0.998763470879241</v>
      </c>
      <c r="V76" s="44">
        <f ca="1">(IF(E76&gt;=Inputs!$E$13,1,IF(L76&lt;=Inputs!$C$46,Inputs!$D$46,IF(L76&lt;=Inputs!$C$47,Inputs!$D$47,Inputs!$D$48))))*((Inputs!$B$29+(Q76-0.5)*2*Inputs!$B$53)/Inputs!$B$29)</f>
        <v>0.99672797764073218</v>
      </c>
      <c r="W76" s="44">
        <f ca="1">(IF(F76&gt;=Inputs!$E$14,1,IF(M76&lt;=Inputs!$C$46,Inputs!$D$46,IF(M76&lt;=Inputs!$C$47,Inputs!$D$47,Inputs!$D$48))))*((Inputs!$B$30+(R76-0.5)*2*Inputs!$B$53)/Inputs!$B$30)</f>
        <v>0.99617022237842068</v>
      </c>
      <c r="X76" s="44">
        <f ca="1">(IF(G76&gt;=Inputs!$E$15,1,IF(N76&lt;=Inputs!$C$46,Inputs!$D$46,IF(N76&lt;=Inputs!$C$47,Inputs!$D$47,Inputs!$D$48))))*((Inputs!$B$31+(S76-0.5)*2*Inputs!$B$53)/Inputs!$B$31)</f>
        <v>1.0039822958789528</v>
      </c>
      <c r="Y76" s="44">
        <f ca="1">(IF(H76&gt;=Inputs!$E$16,1,IF(O76&lt;=Inputs!$C$46,Inputs!$D$46,IF(O76&lt;=Inputs!$C$47,Inputs!$D$47,Inputs!$D$48))))*((Inputs!$B$32+(T76-0.5)*2*Inputs!$B$53)/Inputs!$B$32)</f>
        <v>1.0013963817812073</v>
      </c>
      <c r="Z76" s="45">
        <f ca="1">ILP_B_Moderate!$C$9*U76+ILP_B_Moderate!$C$10*V76+ILP_B_Moderate!$C$11*W76+ILP_B_Moderate!$C$12*X76+ILP_B_Moderate!$C$13*Y76</f>
        <v>18016.830471004236</v>
      </c>
      <c r="AA76" s="45">
        <f ca="1">ILP_B_Moderate!$D$9*U76+ILP_B_Moderate!$D$10*V76+ILP_B_Moderate!$D$11*W76+ILP_B_Moderate!$D$12*X76+ILP_B_Moderate!$D$13*Y76</f>
        <v>14980.902950398988</v>
      </c>
      <c r="AB76" s="45">
        <f ca="1">ILP_B_Moderate!$E$9*U76+ILP_B_Moderate!$E$10*V76+ILP_B_Moderate!$E$11*W76+ILP_B_Moderate!$E$12*X76+ILP_B_Moderate!$E$13*Y76</f>
        <v>11989.213411145254</v>
      </c>
      <c r="AC76" s="45">
        <f ca="1">Inputs!$B$6*$C76</f>
        <v>18000</v>
      </c>
      <c r="AD76" s="45">
        <f ca="1">Inputs!$B$7*$C76</f>
        <v>15000</v>
      </c>
      <c r="AE76" s="45">
        <f ca="1">Inputs!$B$8*$C76</f>
        <v>12000</v>
      </c>
      <c r="AF76" s="45">
        <f t="shared" ca="1" si="53"/>
        <v>0</v>
      </c>
      <c r="AG76" s="45">
        <f t="shared" ca="1" si="54"/>
        <v>19.097049601012259</v>
      </c>
      <c r="AH76" s="45">
        <f t="shared" ca="1" si="55"/>
        <v>10.786588854745787</v>
      </c>
      <c r="AI76" s="45">
        <f t="shared" ca="1" si="56"/>
        <v>29.883638455758046</v>
      </c>
      <c r="AJ76" s="45">
        <f ca="1">U76*(Inputs!$B$12-ILP_B_Moderate!$F$9)+V76*(Inputs!$B$13-ILP_B_Moderate!$F$10)+W76*(Inputs!$B$14-ILP_B_Moderate!$F$11)+X76*(Inputs!$B$15-ILP_B_Moderate!$F$12)+Y76*(Inputs!$B$16-ILP_B_Moderate!$F$13)</f>
        <v>24966.406556674643</v>
      </c>
      <c r="AK76" s="45">
        <f t="shared" ca="1" si="57"/>
        <v>29.883638455758046</v>
      </c>
      <c r="AL76" s="45">
        <f t="shared" ca="1" si="58"/>
        <v>0</v>
      </c>
      <c r="AM76" s="45">
        <f t="shared" ca="1" si="59"/>
        <v>0</v>
      </c>
      <c r="AN76" s="45">
        <f t="shared" ca="1" si="60"/>
        <v>0</v>
      </c>
      <c r="AO76" s="45">
        <f ca="1">MIN(AL76,Inputs!$B$36)</f>
        <v>0</v>
      </c>
      <c r="AP76" s="45">
        <f ca="1">MIN(AN76,Inputs!$B$36-AO76)</f>
        <v>0</v>
      </c>
      <c r="AQ76" s="45">
        <f ca="1">MIN(AM76,Inputs!$B$36-AO76-AP76)</f>
        <v>0</v>
      </c>
      <c r="AR76" s="45">
        <f t="shared" ca="1" si="61"/>
        <v>0</v>
      </c>
      <c r="AS76" s="45">
        <f t="shared" ca="1" si="62"/>
        <v>0</v>
      </c>
      <c r="AT76" s="45">
        <f t="shared" ca="1" si="63"/>
        <v>0</v>
      </c>
      <c r="AU76" s="45">
        <f t="shared" ca="1" si="64"/>
        <v>0</v>
      </c>
      <c r="AV76" s="46">
        <f ca="1">AU76*Inputs!$B$35</f>
        <v>0</v>
      </c>
      <c r="AW76" s="46">
        <f ca="1">AR76*Inputs!$C$6+AT76*Inputs!$C$7+AS76*Inputs!$C$8</f>
        <v>0</v>
      </c>
      <c r="AX76" s="46">
        <f t="shared" ca="1" si="65"/>
        <v>47554154.393885165</v>
      </c>
      <c r="AY76" s="46">
        <f ca="1">IF(J76&gt;1,($CD$4)*Inputs!$B$55*((Z76+AA76+AB76)/(SUM(ILP_B_Moderate!$C$9:$E$13))),0)</f>
        <v>0</v>
      </c>
      <c r="AZ76" s="46">
        <f t="shared" ca="1" si="66"/>
        <v>0</v>
      </c>
      <c r="BA76" s="41">
        <f t="shared" ca="1" si="67"/>
        <v>0</v>
      </c>
      <c r="BB76" s="41">
        <f t="shared" ca="1" si="68"/>
        <v>1</v>
      </c>
      <c r="BC76" s="41">
        <f t="shared" ca="1" si="69"/>
        <v>1</v>
      </c>
      <c r="BD76" s="41">
        <f t="shared" ca="1" si="70"/>
        <v>1</v>
      </c>
    </row>
    <row r="77" spans="1:56" ht="15" customHeight="1" x14ac:dyDescent="0.3">
      <c r="A77" s="41">
        <v>70</v>
      </c>
      <c r="B77" s="42">
        <f t="shared" ca="1" si="52"/>
        <v>0.34435658561180049</v>
      </c>
      <c r="C77" s="43">
        <f ca="1">IF(B77&lt;=Inputs!$C$40,Inputs!$D$40,IF(B77&lt;=Inputs!$C$41,Inputs!$D$41,Inputs!$D$42))</f>
        <v>1</v>
      </c>
      <c r="D77" s="42">
        <f t="shared" ca="1" si="50"/>
        <v>0.53933895932997633</v>
      </c>
      <c r="E77" s="42">
        <f t="shared" ca="1" si="50"/>
        <v>0.94866931470490445</v>
      </c>
      <c r="F77" s="42">
        <f t="shared" ca="1" si="50"/>
        <v>0.89501551797999024</v>
      </c>
      <c r="G77" s="42">
        <f t="shared" ca="1" si="50"/>
        <v>0.9535506861776154</v>
      </c>
      <c r="H77" s="42">
        <f t="shared" ca="1" si="50"/>
        <v>0.1240766956045376</v>
      </c>
      <c r="I77" s="42">
        <f t="shared" ca="1" si="50"/>
        <v>0.67594142639929122</v>
      </c>
      <c r="J77" s="43">
        <f ca="1">IF(I77&lt;Inputs!$B$54,1+Inputs!$B$55,1)</f>
        <v>1</v>
      </c>
      <c r="K77" s="42">
        <f t="shared" ca="1" si="51"/>
        <v>1.5051309887590403E-3</v>
      </c>
      <c r="L77" s="42">
        <f t="shared" ca="1" si="51"/>
        <v>0.55140869240267687</v>
      </c>
      <c r="M77" s="42">
        <f t="shared" ca="1" si="51"/>
        <v>0.22041106808388311</v>
      </c>
      <c r="N77" s="42">
        <f t="shared" ca="1" si="51"/>
        <v>0.46458941515184315</v>
      </c>
      <c r="O77" s="42">
        <f t="shared" ca="1" si="51"/>
        <v>0.88555213954077172</v>
      </c>
      <c r="P77" s="42">
        <f t="shared" ca="1" si="51"/>
        <v>0.38755927494157483</v>
      </c>
      <c r="Q77" s="42">
        <f t="shared" ca="1" si="51"/>
        <v>0.96486746301068049</v>
      </c>
      <c r="R77" s="42">
        <f t="shared" ca="1" si="51"/>
        <v>0.15409679390630371</v>
      </c>
      <c r="S77" s="42">
        <f t="shared" ca="1" si="51"/>
        <v>0.59422695516898649</v>
      </c>
      <c r="T77" s="42">
        <f t="shared" ca="1" si="51"/>
        <v>0.6376492318032464</v>
      </c>
      <c r="U77" s="44">
        <f ca="1">(IF(D77&gt;=Inputs!$E$12,1,IF(K77&lt;=Inputs!$C$46,Inputs!$D$46,IF(K77&lt;=Inputs!$C$47,Inputs!$D$47,Inputs!$D$48))))*((Inputs!$B$28+(P77-0.5)*2*Inputs!$B$53)/Inputs!$B$28)</f>
        <v>0.99886193598119</v>
      </c>
      <c r="V77" s="44">
        <f ca="1">(IF(E77&gt;=Inputs!$E$13,1,IF(L77&lt;=Inputs!$C$46,Inputs!$D$46,IF(L77&lt;=Inputs!$C$47,Inputs!$D$47,Inputs!$D$48))))*((Inputs!$B$29+(Q77-0.5)*2*Inputs!$B$53)/Inputs!$B$29)</f>
        <v>1.0046861639416398</v>
      </c>
      <c r="W77" s="44">
        <f ca="1">(IF(F77&gt;=Inputs!$E$14,1,IF(M77&lt;=Inputs!$C$46,Inputs!$D$46,IF(M77&lt;=Inputs!$C$47,Inputs!$D$47,Inputs!$D$48))))*((Inputs!$B$30+(R77-0.5)*2*Inputs!$B$53)/Inputs!$B$30)</f>
        <v>0.99652358586840506</v>
      </c>
      <c r="X77" s="44">
        <f ca="1">(IF(G77&gt;=Inputs!$E$15,1,IF(N77&lt;=Inputs!$C$46,Inputs!$D$46,IF(N77&lt;=Inputs!$C$47,Inputs!$D$47,Inputs!$D$48))))*((Inputs!$B$31+(S77-0.5)*2*Inputs!$B$53)/Inputs!$B$31)</f>
        <v>1.0009566188342029</v>
      </c>
      <c r="Y77" s="44">
        <f ca="1">(IF(H77&gt;=Inputs!$E$16,1,IF(O77&lt;=Inputs!$C$46,Inputs!$D$46,IF(O77&lt;=Inputs!$C$47,Inputs!$D$47,Inputs!$D$48))))*((Inputs!$B$32+(T77-0.5)*2*Inputs!$B$53)/Inputs!$B$32)</f>
        <v>1.0013848011247812</v>
      </c>
      <c r="Z77" s="45">
        <f ca="1">ILP_B_Moderate!$C$9*U77+ILP_B_Moderate!$C$10*V77+ILP_B_Moderate!$C$11*W77+ILP_B_Moderate!$C$12*X77+ILP_B_Moderate!$C$13*Y77</f>
        <v>18020.918404001397</v>
      </c>
      <c r="AA77" s="45">
        <f ca="1">ILP_B_Moderate!$D$9*U77+ILP_B_Moderate!$D$10*V77+ILP_B_Moderate!$D$11*W77+ILP_B_Moderate!$D$12*X77+ILP_B_Moderate!$D$13*Y77</f>
        <v>15032.517755066721</v>
      </c>
      <c r="AB77" s="45">
        <f ca="1">ILP_B_Moderate!$E$9*U77+ILP_B_Moderate!$E$10*V77+ILP_B_Moderate!$E$11*W77+ILP_B_Moderate!$E$12*X77+ILP_B_Moderate!$E$13*Y77</f>
        <v>12009.786651483044</v>
      </c>
      <c r="AC77" s="45">
        <f ca="1">Inputs!$B$6*$C77</f>
        <v>18000</v>
      </c>
      <c r="AD77" s="45">
        <f ca="1">Inputs!$B$7*$C77</f>
        <v>15000</v>
      </c>
      <c r="AE77" s="45">
        <f ca="1">Inputs!$B$8*$C77</f>
        <v>12000</v>
      </c>
      <c r="AF77" s="45">
        <f t="shared" ca="1" si="53"/>
        <v>0</v>
      </c>
      <c r="AG77" s="45">
        <f t="shared" ca="1" si="54"/>
        <v>0</v>
      </c>
      <c r="AH77" s="45">
        <f t="shared" ca="1" si="55"/>
        <v>0</v>
      </c>
      <c r="AI77" s="45">
        <f t="shared" ca="1" si="56"/>
        <v>0</v>
      </c>
      <c r="AJ77" s="45">
        <f ca="1">U77*(Inputs!$B$12-ILP_B_Moderate!$F$9)+V77*(Inputs!$B$13-ILP_B_Moderate!$F$10)+W77*(Inputs!$B$14-ILP_B_Moderate!$F$11)+X77*(Inputs!$B$15-ILP_B_Moderate!$F$12)+Y77*(Inputs!$B$16-ILP_B_Moderate!$F$13)</f>
        <v>24971.232519502257</v>
      </c>
      <c r="AK77" s="45">
        <f t="shared" ca="1" si="57"/>
        <v>0</v>
      </c>
      <c r="AL77" s="45">
        <f t="shared" ca="1" si="58"/>
        <v>0</v>
      </c>
      <c r="AM77" s="45">
        <f t="shared" ca="1" si="59"/>
        <v>0</v>
      </c>
      <c r="AN77" s="45">
        <f t="shared" ca="1" si="60"/>
        <v>0</v>
      </c>
      <c r="AO77" s="45">
        <f ca="1">MIN(AL77,Inputs!$B$36)</f>
        <v>0</v>
      </c>
      <c r="AP77" s="45">
        <f ca="1">MIN(AN77,Inputs!$B$36-AO77)</f>
        <v>0</v>
      </c>
      <c r="AQ77" s="45">
        <f ca="1">MIN(AM77,Inputs!$B$36-AO77-AP77)</f>
        <v>0</v>
      </c>
      <c r="AR77" s="45">
        <f t="shared" ca="1" si="61"/>
        <v>0</v>
      </c>
      <c r="AS77" s="45">
        <f t="shared" ca="1" si="62"/>
        <v>0</v>
      </c>
      <c r="AT77" s="45">
        <f t="shared" ca="1" si="63"/>
        <v>0</v>
      </c>
      <c r="AU77" s="45">
        <f t="shared" ca="1" si="64"/>
        <v>0</v>
      </c>
      <c r="AV77" s="46">
        <f ca="1">AU77*Inputs!$B$35</f>
        <v>0</v>
      </c>
      <c r="AW77" s="46">
        <f ca="1">AR77*Inputs!$C$6+AT77*Inputs!$C$7+AS77*Inputs!$C$8</f>
        <v>0</v>
      </c>
      <c r="AX77" s="46">
        <f t="shared" ca="1" si="65"/>
        <v>47635338.303264141</v>
      </c>
      <c r="AY77" s="46">
        <f ca="1">IF(J77&gt;1,($CD$4)*Inputs!$B$55*((Z77+AA77+AB77)/(SUM(ILP_B_Moderate!$C$9:$E$13))),0)</f>
        <v>0</v>
      </c>
      <c r="AZ77" s="46">
        <f t="shared" ca="1" si="66"/>
        <v>0</v>
      </c>
      <c r="BA77" s="41">
        <f t="shared" ca="1" si="67"/>
        <v>0</v>
      </c>
      <c r="BB77" s="41">
        <f t="shared" ca="1" si="68"/>
        <v>1</v>
      </c>
      <c r="BC77" s="41">
        <f t="shared" ca="1" si="69"/>
        <v>1</v>
      </c>
      <c r="BD77" s="41">
        <f t="shared" ca="1" si="70"/>
        <v>1</v>
      </c>
    </row>
    <row r="78" spans="1:56" ht="15" customHeight="1" x14ac:dyDescent="0.3">
      <c r="A78" s="41">
        <v>71</v>
      </c>
      <c r="B78" s="42">
        <f t="shared" ca="1" si="52"/>
        <v>0.49362230981492594</v>
      </c>
      <c r="C78" s="43">
        <f ca="1">IF(B78&lt;=Inputs!$C$40,Inputs!$D$40,IF(B78&lt;=Inputs!$C$41,Inputs!$D$41,Inputs!$D$42))</f>
        <v>1</v>
      </c>
      <c r="D78" s="42">
        <f t="shared" ref="D78:I87" ca="1" si="71">RAND()</f>
        <v>0.24521171570719336</v>
      </c>
      <c r="E78" s="42">
        <f t="shared" ca="1" si="71"/>
        <v>0.46011074618313141</v>
      </c>
      <c r="F78" s="42">
        <f t="shared" ca="1" si="71"/>
        <v>2.3231497616303942E-2</v>
      </c>
      <c r="G78" s="42">
        <f t="shared" ca="1" si="71"/>
        <v>0.82575082430281477</v>
      </c>
      <c r="H78" s="42">
        <f t="shared" ca="1" si="71"/>
        <v>0.17833522333666796</v>
      </c>
      <c r="I78" s="42">
        <f t="shared" ca="1" si="71"/>
        <v>0.63970701824835929</v>
      </c>
      <c r="J78" s="43">
        <f ca="1">IF(I78&lt;Inputs!$B$54,1+Inputs!$B$55,1)</f>
        <v>1</v>
      </c>
      <c r="K78" s="42">
        <f t="shared" ref="K78:T87" ca="1" si="72">RAND()</f>
        <v>0.20031076390210767</v>
      </c>
      <c r="L78" s="42">
        <f t="shared" ca="1" si="72"/>
        <v>0.10817848613878511</v>
      </c>
      <c r="M78" s="42">
        <f t="shared" ca="1" si="72"/>
        <v>0.39888452566919463</v>
      </c>
      <c r="N78" s="42">
        <f t="shared" ca="1" si="72"/>
        <v>0.43725641392484293</v>
      </c>
      <c r="O78" s="42">
        <f t="shared" ca="1" si="72"/>
        <v>0.36848829883442213</v>
      </c>
      <c r="P78" s="42">
        <f t="shared" ca="1" si="72"/>
        <v>0.83540076018107434</v>
      </c>
      <c r="Q78" s="42">
        <f t="shared" ca="1" si="72"/>
        <v>0.67651964222500838</v>
      </c>
      <c r="R78" s="42">
        <f t="shared" ca="1" si="72"/>
        <v>0.97727612930739227</v>
      </c>
      <c r="S78" s="42">
        <f t="shared" ca="1" si="72"/>
        <v>0.58402238233691173</v>
      </c>
      <c r="T78" s="42">
        <f t="shared" ca="1" si="72"/>
        <v>0.43223426717801039</v>
      </c>
      <c r="U78" s="44">
        <f ca="1">(IF(D78&gt;=Inputs!$E$12,1,IF(K78&lt;=Inputs!$C$46,Inputs!$D$46,IF(K78&lt;=Inputs!$C$47,Inputs!$D$47,Inputs!$D$48))))*((Inputs!$B$28+(P78-0.5)*2*Inputs!$B$53)/Inputs!$B$28)</f>
        <v>1.0033947445362457</v>
      </c>
      <c r="V78" s="44">
        <f ca="1">(IF(E78&gt;=Inputs!$E$13,1,IF(L78&lt;=Inputs!$C$46,Inputs!$D$46,IF(L78&lt;=Inputs!$C$47,Inputs!$D$47,Inputs!$D$48))))*((Inputs!$B$29+(Q78-0.5)*2*Inputs!$B$53)/Inputs!$B$29)</f>
        <v>1.0017794318772681</v>
      </c>
      <c r="W78" s="44">
        <f ca="1">(IF(F78&gt;=Inputs!$E$14,1,IF(M78&lt;=Inputs!$C$46,Inputs!$D$46,IF(M78&lt;=Inputs!$C$47,Inputs!$D$47,Inputs!$D$48))))*((Inputs!$B$30+(R78-0.5)*2*Inputs!$B$53)/Inputs!$B$30)</f>
        <v>0.30143902350544943</v>
      </c>
      <c r="X78" s="44">
        <f ca="1">(IF(G78&gt;=Inputs!$E$15,1,IF(N78&lt;=Inputs!$C$46,Inputs!$D$46,IF(N78&lt;=Inputs!$C$47,Inputs!$D$47,Inputs!$D$48))))*((Inputs!$B$31+(S78-0.5)*2*Inputs!$B$53)/Inputs!$B$31)</f>
        <v>1.0008530191100193</v>
      </c>
      <c r="Y78" s="44">
        <f ca="1">(IF(H78&gt;=Inputs!$E$16,1,IF(O78&lt;=Inputs!$C$46,Inputs!$D$46,IF(O78&lt;=Inputs!$C$47,Inputs!$D$47,Inputs!$D$48))))*((Inputs!$B$32+(T78-0.5)*2*Inputs!$B$53)/Inputs!$B$32)</f>
        <v>0.99931825218488946</v>
      </c>
      <c r="Z78" s="45">
        <f ca="1">ILP_B_Moderate!$C$9*U78+ILP_B_Moderate!$C$10*V78+ILP_B_Moderate!$C$11*W78+ILP_B_Moderate!$C$12*X78+ILP_B_Moderate!$C$13*Y78</f>
        <v>18031.975382200824</v>
      </c>
      <c r="AA78" s="45">
        <f ca="1">ILP_B_Moderate!$D$9*U78+ILP_B_Moderate!$D$10*V78+ILP_B_Moderate!$D$11*W78+ILP_B_Moderate!$D$12*X78+ILP_B_Moderate!$D$13*Y78</f>
        <v>15031.638657399395</v>
      </c>
      <c r="AB78" s="45">
        <f ca="1">ILP_B_Moderate!$E$9*U78+ILP_B_Moderate!$E$10*V78+ILP_B_Moderate!$E$11*W78+ILP_B_Moderate!$E$12*X78+ILP_B_Moderate!$E$13*Y78</f>
        <v>12022.470308432836</v>
      </c>
      <c r="AC78" s="45">
        <f ca="1">Inputs!$B$6*$C78</f>
        <v>18000</v>
      </c>
      <c r="AD78" s="45">
        <f ca="1">Inputs!$B$7*$C78</f>
        <v>15000</v>
      </c>
      <c r="AE78" s="45">
        <f ca="1">Inputs!$B$8*$C78</f>
        <v>12000</v>
      </c>
      <c r="AF78" s="45">
        <f t="shared" ca="1" si="53"/>
        <v>0</v>
      </c>
      <c r="AG78" s="45">
        <f t="shared" ca="1" si="54"/>
        <v>0</v>
      </c>
      <c r="AH78" s="45">
        <f t="shared" ca="1" si="55"/>
        <v>0</v>
      </c>
      <c r="AI78" s="45">
        <f t="shared" ca="1" si="56"/>
        <v>0</v>
      </c>
      <c r="AJ78" s="45">
        <f ca="1">U78*(Inputs!$B$12-ILP_B_Moderate!$F$9)+V78*(Inputs!$B$13-ILP_B_Moderate!$F$10)+W78*(Inputs!$B$14-ILP_B_Moderate!$F$11)+X78*(Inputs!$B$15-ILP_B_Moderate!$F$12)+Y78*(Inputs!$B$16-ILP_B_Moderate!$F$13)</f>
        <v>15911.860928493046</v>
      </c>
      <c r="AK78" s="45">
        <f t="shared" ca="1" si="57"/>
        <v>0</v>
      </c>
      <c r="AL78" s="45">
        <f t="shared" ca="1" si="58"/>
        <v>0</v>
      </c>
      <c r="AM78" s="45">
        <f t="shared" ca="1" si="59"/>
        <v>0</v>
      </c>
      <c r="AN78" s="45">
        <f t="shared" ca="1" si="60"/>
        <v>0</v>
      </c>
      <c r="AO78" s="45">
        <f ca="1">MIN(AL78,Inputs!$B$36)</f>
        <v>0</v>
      </c>
      <c r="AP78" s="45">
        <f ca="1">MIN(AN78,Inputs!$B$36-AO78)</f>
        <v>0</v>
      </c>
      <c r="AQ78" s="45">
        <f ca="1">MIN(AM78,Inputs!$B$36-AO78-AP78)</f>
        <v>0</v>
      </c>
      <c r="AR78" s="45">
        <f t="shared" ca="1" si="61"/>
        <v>0</v>
      </c>
      <c r="AS78" s="45">
        <f t="shared" ca="1" si="62"/>
        <v>0</v>
      </c>
      <c r="AT78" s="45">
        <f t="shared" ca="1" si="63"/>
        <v>0</v>
      </c>
      <c r="AU78" s="45">
        <f t="shared" ca="1" si="64"/>
        <v>0</v>
      </c>
      <c r="AV78" s="46">
        <f ca="1">AU78*Inputs!$B$35</f>
        <v>0</v>
      </c>
      <c r="AW78" s="46">
        <f ca="1">AR78*Inputs!$C$6+AT78*Inputs!$C$7+AS78*Inputs!$C$8</f>
        <v>0</v>
      </c>
      <c r="AX78" s="46">
        <f t="shared" ca="1" si="65"/>
        <v>47659792.753958739</v>
      </c>
      <c r="AY78" s="46">
        <f ca="1">IF(J78&gt;1,($CD$4)*Inputs!$B$55*((Z78+AA78+AB78)/(SUM(ILP_B_Moderate!$C$9:$E$13))),0)</f>
        <v>0</v>
      </c>
      <c r="AZ78" s="46">
        <f t="shared" ca="1" si="66"/>
        <v>0</v>
      </c>
      <c r="BA78" s="41">
        <f t="shared" ca="1" si="67"/>
        <v>0</v>
      </c>
      <c r="BB78" s="41">
        <f t="shared" ca="1" si="68"/>
        <v>1</v>
      </c>
      <c r="BC78" s="41">
        <f t="shared" ca="1" si="69"/>
        <v>1</v>
      </c>
      <c r="BD78" s="41">
        <f t="shared" ca="1" si="70"/>
        <v>1</v>
      </c>
    </row>
    <row r="79" spans="1:56" ht="15" customHeight="1" x14ac:dyDescent="0.3">
      <c r="A79" s="41">
        <v>72</v>
      </c>
      <c r="B79" s="42">
        <f t="shared" ca="1" si="52"/>
        <v>0.56773164890544825</v>
      </c>
      <c r="C79" s="43">
        <f ca="1">IF(B79&lt;=Inputs!$C$40,Inputs!$D$40,IF(B79&lt;=Inputs!$C$41,Inputs!$D$41,Inputs!$D$42))</f>
        <v>1</v>
      </c>
      <c r="D79" s="42">
        <f t="shared" ca="1" si="71"/>
        <v>0.87496240640576473</v>
      </c>
      <c r="E79" s="42">
        <f t="shared" ca="1" si="71"/>
        <v>0.29168820477800617</v>
      </c>
      <c r="F79" s="42">
        <f t="shared" ca="1" si="71"/>
        <v>0.27227539235675902</v>
      </c>
      <c r="G79" s="42">
        <f t="shared" ca="1" si="71"/>
        <v>0.79397286116359567</v>
      </c>
      <c r="H79" s="42">
        <f t="shared" ca="1" si="71"/>
        <v>0.45720309826290773</v>
      </c>
      <c r="I79" s="42">
        <f t="shared" ca="1" si="71"/>
        <v>0.88696497553438935</v>
      </c>
      <c r="J79" s="43">
        <f ca="1">IF(I79&lt;Inputs!$B$54,1+Inputs!$B$55,1)</f>
        <v>1</v>
      </c>
      <c r="K79" s="42">
        <f t="shared" ca="1" si="72"/>
        <v>0.94953185023068043</v>
      </c>
      <c r="L79" s="42">
        <f t="shared" ca="1" si="72"/>
        <v>0.15480670478010117</v>
      </c>
      <c r="M79" s="42">
        <f t="shared" ca="1" si="72"/>
        <v>0.45081265516752622</v>
      </c>
      <c r="N79" s="42">
        <f t="shared" ca="1" si="72"/>
        <v>0.74835717816629732</v>
      </c>
      <c r="O79" s="42">
        <f t="shared" ca="1" si="72"/>
        <v>0.76873508178210792</v>
      </c>
      <c r="P79" s="42">
        <f t="shared" ca="1" si="72"/>
        <v>0.83588333210159549</v>
      </c>
      <c r="Q79" s="42">
        <f t="shared" ca="1" si="72"/>
        <v>1.7405327489089517E-2</v>
      </c>
      <c r="R79" s="42">
        <f t="shared" ca="1" si="72"/>
        <v>0.61039578767930447</v>
      </c>
      <c r="S79" s="42">
        <f t="shared" ca="1" si="72"/>
        <v>0.53619255369079677</v>
      </c>
      <c r="T79" s="42">
        <f t="shared" ca="1" si="72"/>
        <v>8.6464521960085472E-2</v>
      </c>
      <c r="U79" s="44">
        <f ca="1">(IF(D79&gt;=Inputs!$E$12,1,IF(K79&lt;=Inputs!$C$46,Inputs!$D$46,IF(K79&lt;=Inputs!$C$47,Inputs!$D$47,Inputs!$D$48))))*((Inputs!$B$28+(P79-0.5)*2*Inputs!$B$53)/Inputs!$B$28)</f>
        <v>1.003399628867425</v>
      </c>
      <c r="V79" s="44">
        <f ca="1">(IF(E79&gt;=Inputs!$E$13,1,IF(L79&lt;=Inputs!$C$46,Inputs!$D$46,IF(L79&lt;=Inputs!$C$47,Inputs!$D$47,Inputs!$D$48))))*((Inputs!$B$29+(Q79-0.5)*2*Inputs!$B$53)/Inputs!$B$29)</f>
        <v>0.99513513434968848</v>
      </c>
      <c r="W79" s="44">
        <f ca="1">(IF(F79&gt;=Inputs!$E$14,1,IF(M79&lt;=Inputs!$C$46,Inputs!$D$46,IF(M79&lt;=Inputs!$C$47,Inputs!$D$47,Inputs!$D$48))))*((Inputs!$B$30+(R79-0.5)*2*Inputs!$B$53)/Inputs!$B$30)</f>
        <v>1.0011095054038122</v>
      </c>
      <c r="X79" s="44">
        <f ca="1">(IF(G79&gt;=Inputs!$E$15,1,IF(N79&lt;=Inputs!$C$46,Inputs!$D$46,IF(N79&lt;=Inputs!$C$47,Inputs!$D$47,Inputs!$D$48))))*((Inputs!$B$31+(S79-0.5)*2*Inputs!$B$53)/Inputs!$B$31)</f>
        <v>1.0003674370933076</v>
      </c>
      <c r="Y79" s="44">
        <f ca="1">(IF(H79&gt;=Inputs!$E$16,1,IF(O79&lt;=Inputs!$C$46,Inputs!$D$46,IF(O79&lt;=Inputs!$C$47,Inputs!$D$47,Inputs!$D$48))))*((Inputs!$B$32+(T79-0.5)*2*Inputs!$B$53)/Inputs!$B$32)</f>
        <v>0.99583968331951789</v>
      </c>
      <c r="Z79" s="45">
        <f ca="1">ILP_B_Moderate!$C$9*U79+ILP_B_Moderate!$C$10*V79+ILP_B_Moderate!$C$11*W79+ILP_B_Moderate!$C$12*X79+ILP_B_Moderate!$C$13*Y79</f>
        <v>18001.903470873916</v>
      </c>
      <c r="AA79" s="45">
        <f ca="1">ILP_B_Moderate!$D$9*U79+ILP_B_Moderate!$D$10*V79+ILP_B_Moderate!$D$11*W79+ILP_B_Moderate!$D$12*X79+ILP_B_Moderate!$D$13*Y79</f>
        <v>14980.459943325341</v>
      </c>
      <c r="AB79" s="45">
        <f ca="1">ILP_B_Moderate!$E$9*U79+ILP_B_Moderate!$E$10*V79+ILP_B_Moderate!$E$11*W79+ILP_B_Moderate!$E$12*X79+ILP_B_Moderate!$E$13*Y79</f>
        <v>11993.663227913567</v>
      </c>
      <c r="AC79" s="45">
        <f ca="1">Inputs!$B$6*$C79</f>
        <v>18000</v>
      </c>
      <c r="AD79" s="45">
        <f ca="1">Inputs!$B$7*$C79</f>
        <v>15000</v>
      </c>
      <c r="AE79" s="45">
        <f ca="1">Inputs!$B$8*$C79</f>
        <v>12000</v>
      </c>
      <c r="AF79" s="45">
        <f t="shared" ca="1" si="53"/>
        <v>0</v>
      </c>
      <c r="AG79" s="45">
        <f t="shared" ca="1" si="54"/>
        <v>19.540056674659354</v>
      </c>
      <c r="AH79" s="45">
        <f t="shared" ca="1" si="55"/>
        <v>6.3367720864334842</v>
      </c>
      <c r="AI79" s="45">
        <f t="shared" ca="1" si="56"/>
        <v>25.876828761092838</v>
      </c>
      <c r="AJ79" s="45">
        <f ca="1">U79*(Inputs!$B$12-ILP_B_Moderate!$F$9)+V79*(Inputs!$B$13-ILP_B_Moderate!$F$10)+W79*(Inputs!$B$14-ILP_B_Moderate!$F$11)+X79*(Inputs!$B$15-ILP_B_Moderate!$F$12)+Y79*(Inputs!$B$16-ILP_B_Moderate!$F$13)</f>
        <v>24966.687365823633</v>
      </c>
      <c r="AK79" s="45">
        <f t="shared" ca="1" si="57"/>
        <v>25.876828761092838</v>
      </c>
      <c r="AL79" s="45">
        <f t="shared" ca="1" si="58"/>
        <v>0</v>
      </c>
      <c r="AM79" s="45">
        <f t="shared" ca="1" si="59"/>
        <v>0</v>
      </c>
      <c r="AN79" s="45">
        <f t="shared" ca="1" si="60"/>
        <v>0</v>
      </c>
      <c r="AO79" s="45">
        <f ca="1">MIN(AL79,Inputs!$B$36)</f>
        <v>0</v>
      </c>
      <c r="AP79" s="45">
        <f ca="1">MIN(AN79,Inputs!$B$36-AO79)</f>
        <v>0</v>
      </c>
      <c r="AQ79" s="45">
        <f ca="1">MIN(AM79,Inputs!$B$36-AO79-AP79)</f>
        <v>0</v>
      </c>
      <c r="AR79" s="45">
        <f t="shared" ca="1" si="61"/>
        <v>0</v>
      </c>
      <c r="AS79" s="45">
        <f t="shared" ca="1" si="62"/>
        <v>0</v>
      </c>
      <c r="AT79" s="45">
        <f t="shared" ca="1" si="63"/>
        <v>0</v>
      </c>
      <c r="AU79" s="45">
        <f t="shared" ca="1" si="64"/>
        <v>0</v>
      </c>
      <c r="AV79" s="46">
        <f ca="1">AU79*Inputs!$B$35</f>
        <v>0</v>
      </c>
      <c r="AW79" s="46">
        <f ca="1">AR79*Inputs!$C$6+AT79*Inputs!$C$7+AS79*Inputs!$C$8</f>
        <v>0</v>
      </c>
      <c r="AX79" s="46">
        <f t="shared" ca="1" si="65"/>
        <v>47543193.135388628</v>
      </c>
      <c r="AY79" s="46">
        <f ca="1">IF(J79&gt;1,($CD$4)*Inputs!$B$55*((Z79+AA79+AB79)/(SUM(ILP_B_Moderate!$C$9:$E$13))),0)</f>
        <v>0</v>
      </c>
      <c r="AZ79" s="46">
        <f t="shared" ca="1" si="66"/>
        <v>0</v>
      </c>
      <c r="BA79" s="41">
        <f t="shared" ca="1" si="67"/>
        <v>0</v>
      </c>
      <c r="BB79" s="41">
        <f t="shared" ca="1" si="68"/>
        <v>1</v>
      </c>
      <c r="BC79" s="41">
        <f t="shared" ca="1" si="69"/>
        <v>1</v>
      </c>
      <c r="BD79" s="41">
        <f t="shared" ca="1" si="70"/>
        <v>1</v>
      </c>
    </row>
    <row r="80" spans="1:56" ht="15" customHeight="1" x14ac:dyDescent="0.3">
      <c r="A80" s="41">
        <v>73</v>
      </c>
      <c r="B80" s="42">
        <f t="shared" ca="1" si="52"/>
        <v>0.10012144695477843</v>
      </c>
      <c r="C80" s="43">
        <f ca="1">IF(B80&lt;=Inputs!$C$40,Inputs!$D$40,IF(B80&lt;=Inputs!$C$41,Inputs!$D$41,Inputs!$D$42))</f>
        <v>0.9</v>
      </c>
      <c r="D80" s="42">
        <f t="shared" ca="1" si="71"/>
        <v>0.30543645544927811</v>
      </c>
      <c r="E80" s="42">
        <f t="shared" ca="1" si="71"/>
        <v>0.72384113510024228</v>
      </c>
      <c r="F80" s="42">
        <f t="shared" ca="1" si="71"/>
        <v>0.15955307365704996</v>
      </c>
      <c r="G80" s="42">
        <f t="shared" ca="1" si="71"/>
        <v>0.26274248068387196</v>
      </c>
      <c r="H80" s="42">
        <f t="shared" ca="1" si="71"/>
        <v>0.66090690385753048</v>
      </c>
      <c r="I80" s="42">
        <f t="shared" ca="1" si="71"/>
        <v>0.22748233021846886</v>
      </c>
      <c r="J80" s="43">
        <f ca="1">IF(I80&lt;Inputs!$B$54,1+Inputs!$B$55,1)</f>
        <v>1</v>
      </c>
      <c r="K80" s="42">
        <f t="shared" ca="1" si="72"/>
        <v>0.37224829781255409</v>
      </c>
      <c r="L80" s="42">
        <f t="shared" ca="1" si="72"/>
        <v>0.63788810513515748</v>
      </c>
      <c r="M80" s="42">
        <f t="shared" ca="1" si="72"/>
        <v>0.42773116353520257</v>
      </c>
      <c r="N80" s="42">
        <f t="shared" ca="1" si="72"/>
        <v>0.10277260928259802</v>
      </c>
      <c r="O80" s="42">
        <f t="shared" ca="1" si="72"/>
        <v>0.8581826025712338</v>
      </c>
      <c r="P80" s="42">
        <f t="shared" ca="1" si="72"/>
        <v>0.43952999466529608</v>
      </c>
      <c r="Q80" s="42">
        <f t="shared" ca="1" si="72"/>
        <v>0.55298362117720889</v>
      </c>
      <c r="R80" s="42">
        <f t="shared" ca="1" si="72"/>
        <v>1.7543763245216115E-2</v>
      </c>
      <c r="S80" s="42">
        <f t="shared" ca="1" si="72"/>
        <v>0.67477653260653503</v>
      </c>
      <c r="T80" s="42">
        <f t="shared" ca="1" si="72"/>
        <v>0.39689148655672724</v>
      </c>
      <c r="U80" s="44">
        <f ca="1">(IF(D80&gt;=Inputs!$E$12,1,IF(K80&lt;=Inputs!$C$46,Inputs!$D$46,IF(K80&lt;=Inputs!$C$47,Inputs!$D$47,Inputs!$D$48))))*((Inputs!$B$28+(P80-0.5)*2*Inputs!$B$53)/Inputs!$B$28)</f>
        <v>0.99938795541159209</v>
      </c>
      <c r="V80" s="44">
        <f ca="1">(IF(E80&gt;=Inputs!$E$13,1,IF(L80&lt;=Inputs!$C$46,Inputs!$D$46,IF(L80&lt;=Inputs!$C$47,Inputs!$D$47,Inputs!$D$48))))*((Inputs!$B$29+(Q80-0.5)*2*Inputs!$B$53)/Inputs!$B$29)</f>
        <v>1.0005341090844477</v>
      </c>
      <c r="W80" s="44">
        <f ca="1">(IF(F80&gt;=Inputs!$E$14,1,IF(M80&lt;=Inputs!$C$46,Inputs!$D$46,IF(M80&lt;=Inputs!$C$47,Inputs!$D$47,Inputs!$D$48))))*((Inputs!$B$30+(R80-0.5)*2*Inputs!$B$53)/Inputs!$B$30)</f>
        <v>0.99515119360045445</v>
      </c>
      <c r="X80" s="44">
        <f ca="1">(IF(G80&gt;=Inputs!$E$15,1,IF(N80&lt;=Inputs!$C$46,Inputs!$D$46,IF(N80&lt;=Inputs!$C$47,Inputs!$D$47,Inputs!$D$48))))*((Inputs!$B$31+(S80-0.5)*2*Inputs!$B$53)/Inputs!$B$31)</f>
        <v>1.0017743810416908</v>
      </c>
      <c r="Y80" s="44">
        <f ca="1">(IF(H80&gt;=Inputs!$E$16,1,IF(O80&lt;=Inputs!$C$46,Inputs!$D$46,IF(O80&lt;=Inputs!$C$47,Inputs!$D$47,Inputs!$D$48))))*((Inputs!$B$32+(T80-0.5)*2*Inputs!$B$53)/Inputs!$B$32)</f>
        <v>0.99896269101163704</v>
      </c>
      <c r="Z80" s="45">
        <f ca="1">ILP_B_Moderate!$C$9*U80+ILP_B_Moderate!$C$10*V80+ILP_B_Moderate!$C$11*W80+ILP_B_Moderate!$C$12*X80+ILP_B_Moderate!$C$13*Y80</f>
        <v>18014.898935100842</v>
      </c>
      <c r="AA80" s="45">
        <f ca="1">ILP_B_Moderate!$D$9*U80+ILP_B_Moderate!$D$10*V80+ILP_B_Moderate!$D$11*W80+ILP_B_Moderate!$D$12*X80+ILP_B_Moderate!$D$13*Y80</f>
        <v>15006.145203997177</v>
      </c>
      <c r="AB80" s="45">
        <f ca="1">ILP_B_Moderate!$E$9*U80+ILP_B_Moderate!$E$10*V80+ILP_B_Moderate!$E$11*W80+ILP_B_Moderate!$E$12*X80+ILP_B_Moderate!$E$13*Y80</f>
        <v>11994.057566410567</v>
      </c>
      <c r="AC80" s="45">
        <f ca="1">Inputs!$B$6*$C80</f>
        <v>16200</v>
      </c>
      <c r="AD80" s="45">
        <f ca="1">Inputs!$B$7*$C80</f>
        <v>13500</v>
      </c>
      <c r="AE80" s="45">
        <f ca="1">Inputs!$B$8*$C80</f>
        <v>10800</v>
      </c>
      <c r="AF80" s="45">
        <f t="shared" ca="1" si="53"/>
        <v>0</v>
      </c>
      <c r="AG80" s="45">
        <f t="shared" ca="1" si="54"/>
        <v>0</v>
      </c>
      <c r="AH80" s="45">
        <f t="shared" ca="1" si="55"/>
        <v>0</v>
      </c>
      <c r="AI80" s="45">
        <f t="shared" ca="1" si="56"/>
        <v>0</v>
      </c>
      <c r="AJ80" s="45">
        <f ca="1">U80*(Inputs!$B$12-ILP_B_Moderate!$F$9)+V80*(Inputs!$B$13-ILP_B_Moderate!$F$10)+W80*(Inputs!$B$14-ILP_B_Moderate!$F$11)+X80*(Inputs!$B$15-ILP_B_Moderate!$F$12)+Y80*(Inputs!$B$16-ILP_B_Moderate!$F$13)</f>
        <v>24925.281562739907</v>
      </c>
      <c r="AK80" s="45">
        <f t="shared" ca="1" si="57"/>
        <v>0</v>
      </c>
      <c r="AL80" s="45">
        <f t="shared" ca="1" si="58"/>
        <v>0</v>
      </c>
      <c r="AM80" s="45">
        <f t="shared" ca="1" si="59"/>
        <v>0</v>
      </c>
      <c r="AN80" s="45">
        <f t="shared" ca="1" si="60"/>
        <v>0</v>
      </c>
      <c r="AO80" s="45">
        <f ca="1">MIN(AL80,Inputs!$B$36)</f>
        <v>0</v>
      </c>
      <c r="AP80" s="45">
        <f ca="1">MIN(AN80,Inputs!$B$36-AO80)</f>
        <v>0</v>
      </c>
      <c r="AQ80" s="45">
        <f ca="1">MIN(AM80,Inputs!$B$36-AO80-AP80)</f>
        <v>0</v>
      </c>
      <c r="AR80" s="45">
        <f t="shared" ca="1" si="61"/>
        <v>0</v>
      </c>
      <c r="AS80" s="45">
        <f t="shared" ca="1" si="62"/>
        <v>0</v>
      </c>
      <c r="AT80" s="45">
        <f t="shared" ca="1" si="63"/>
        <v>0</v>
      </c>
      <c r="AU80" s="45">
        <f t="shared" ca="1" si="64"/>
        <v>0</v>
      </c>
      <c r="AV80" s="46">
        <f ca="1">AU80*Inputs!$B$35</f>
        <v>0</v>
      </c>
      <c r="AW80" s="46">
        <f ca="1">AR80*Inputs!$C$6+AT80*Inputs!$C$7+AS80*Inputs!$C$8</f>
        <v>0</v>
      </c>
      <c r="AX80" s="46">
        <f t="shared" ca="1" si="65"/>
        <v>47584054.919105776</v>
      </c>
      <c r="AY80" s="46">
        <f ca="1">IF(J80&gt;1,($CD$4)*Inputs!$B$55*((Z80+AA80+AB80)/(SUM(ILP_B_Moderate!$C$9:$E$13))),0)</f>
        <v>0</v>
      </c>
      <c r="AZ80" s="46">
        <f t="shared" ca="1" si="66"/>
        <v>0</v>
      </c>
      <c r="BA80" s="41">
        <f t="shared" ca="1" si="67"/>
        <v>0</v>
      </c>
      <c r="BB80" s="41">
        <f t="shared" ca="1" si="68"/>
        <v>1</v>
      </c>
      <c r="BC80" s="41">
        <f t="shared" ca="1" si="69"/>
        <v>1</v>
      </c>
      <c r="BD80" s="41">
        <f t="shared" ca="1" si="70"/>
        <v>1</v>
      </c>
    </row>
    <row r="81" spans="1:56" ht="15" customHeight="1" x14ac:dyDescent="0.3">
      <c r="A81" s="41">
        <v>74</v>
      </c>
      <c r="B81" s="42">
        <f t="shared" ca="1" si="52"/>
        <v>0.46449428564400475</v>
      </c>
      <c r="C81" s="43">
        <f ca="1">IF(B81&lt;=Inputs!$C$40,Inputs!$D$40,IF(B81&lt;=Inputs!$C$41,Inputs!$D$41,Inputs!$D$42))</f>
        <v>1</v>
      </c>
      <c r="D81" s="42">
        <f t="shared" ca="1" si="71"/>
        <v>0.18283970113773318</v>
      </c>
      <c r="E81" s="42">
        <f t="shared" ca="1" si="71"/>
        <v>0.9556227485862514</v>
      </c>
      <c r="F81" s="42">
        <f t="shared" ca="1" si="71"/>
        <v>0.43962429244629742</v>
      </c>
      <c r="G81" s="42">
        <f t="shared" ca="1" si="71"/>
        <v>0.22448414745431589</v>
      </c>
      <c r="H81" s="42">
        <f t="shared" ca="1" si="71"/>
        <v>0.16297997945509823</v>
      </c>
      <c r="I81" s="42">
        <f t="shared" ca="1" si="71"/>
        <v>0.88995158668539864</v>
      </c>
      <c r="J81" s="43">
        <f ca="1">IF(I81&lt;Inputs!$B$54,1+Inputs!$B$55,1)</f>
        <v>1</v>
      </c>
      <c r="K81" s="42">
        <f t="shared" ca="1" si="72"/>
        <v>0.75639753900646867</v>
      </c>
      <c r="L81" s="42">
        <f t="shared" ca="1" si="72"/>
        <v>5.2878384484958962E-2</v>
      </c>
      <c r="M81" s="42">
        <f t="shared" ca="1" si="72"/>
        <v>0.607346001321315</v>
      </c>
      <c r="N81" s="42">
        <f t="shared" ca="1" si="72"/>
        <v>0.64525086319223768</v>
      </c>
      <c r="O81" s="42">
        <f t="shared" ca="1" si="72"/>
        <v>9.648560101044712E-2</v>
      </c>
      <c r="P81" s="42">
        <f t="shared" ca="1" si="72"/>
        <v>0.40538829898643614</v>
      </c>
      <c r="Q81" s="42">
        <f t="shared" ca="1" si="72"/>
        <v>0.4694511288871569</v>
      </c>
      <c r="R81" s="42">
        <f t="shared" ca="1" si="72"/>
        <v>0.13287501552582381</v>
      </c>
      <c r="S81" s="42">
        <f t="shared" ca="1" si="72"/>
        <v>0.43548850423426266</v>
      </c>
      <c r="T81" s="42">
        <f t="shared" ca="1" si="72"/>
        <v>0.18807576211253763</v>
      </c>
      <c r="U81" s="44">
        <f ca="1">(IF(D81&gt;=Inputs!$E$12,1,IF(K81&lt;=Inputs!$C$46,Inputs!$D$46,IF(K81&lt;=Inputs!$C$47,Inputs!$D$47,Inputs!$D$48))))*((Inputs!$B$28+(P81-0.5)*2*Inputs!$B$53)/Inputs!$B$28)</f>
        <v>0.99904239169014608</v>
      </c>
      <c r="V81" s="44">
        <f ca="1">(IF(E81&gt;=Inputs!$E$13,1,IF(L81&lt;=Inputs!$C$46,Inputs!$D$46,IF(L81&lt;=Inputs!$C$47,Inputs!$D$47,Inputs!$D$48))))*((Inputs!$B$29+(Q81-0.5)*2*Inputs!$B$53)/Inputs!$B$29)</f>
        <v>0.99969204767023345</v>
      </c>
      <c r="W81" s="44">
        <f ca="1">(IF(F81&gt;=Inputs!$E$14,1,IF(M81&lt;=Inputs!$C$46,Inputs!$D$46,IF(M81&lt;=Inputs!$C$47,Inputs!$D$47,Inputs!$D$48))))*((Inputs!$B$30+(R81-0.5)*2*Inputs!$B$53)/Inputs!$B$30)</f>
        <v>0.99631030166357615</v>
      </c>
      <c r="X81" s="44">
        <f ca="1">(IF(G81&gt;=Inputs!$E$15,1,IF(N81&lt;=Inputs!$C$46,Inputs!$D$46,IF(N81&lt;=Inputs!$C$47,Inputs!$D$47,Inputs!$D$48))))*((Inputs!$B$31+(S81-0.5)*2*Inputs!$B$53)/Inputs!$B$31)</f>
        <v>0.99934506095669295</v>
      </c>
      <c r="Y81" s="44">
        <f ca="1">(IF(H81&gt;=Inputs!$E$16,1,IF(O81&lt;=Inputs!$C$46,Inputs!$D$46,IF(O81&lt;=Inputs!$C$47,Inputs!$D$47,Inputs!$D$48))))*((Inputs!$B$32+(T81-0.5)*2*Inputs!$B$53)/Inputs!$B$32)</f>
        <v>0.99686192919630323</v>
      </c>
      <c r="Z81" s="45">
        <f ca="1">ILP_B_Moderate!$C$9*U81+ILP_B_Moderate!$C$10*V81+ILP_B_Moderate!$C$11*W81+ILP_B_Moderate!$C$12*X81+ILP_B_Moderate!$C$13*Y81</f>
        <v>17988.002541776448</v>
      </c>
      <c r="AA81" s="45">
        <f ca="1">ILP_B_Moderate!$D$9*U81+ILP_B_Moderate!$D$10*V81+ILP_B_Moderate!$D$11*W81+ILP_B_Moderate!$D$12*X81+ILP_B_Moderate!$D$13*Y81</f>
        <v>14991.361822534507</v>
      </c>
      <c r="AB81" s="45">
        <f ca="1">ILP_B_Moderate!$E$9*U81+ILP_B_Moderate!$E$10*V81+ILP_B_Moderate!$E$11*W81+ILP_B_Moderate!$E$12*X81+ILP_B_Moderate!$E$13*Y81</f>
        <v>11982.546503399104</v>
      </c>
      <c r="AC81" s="45">
        <f ca="1">Inputs!$B$6*$C81</f>
        <v>18000</v>
      </c>
      <c r="AD81" s="45">
        <f ca="1">Inputs!$B$7*$C81</f>
        <v>15000</v>
      </c>
      <c r="AE81" s="45">
        <f ca="1">Inputs!$B$8*$C81</f>
        <v>12000</v>
      </c>
      <c r="AF81" s="45">
        <f t="shared" ca="1" si="53"/>
        <v>11.997458223551803</v>
      </c>
      <c r="AG81" s="45">
        <f t="shared" ca="1" si="54"/>
        <v>8.6381774654928449</v>
      </c>
      <c r="AH81" s="45">
        <f t="shared" ca="1" si="55"/>
        <v>17.45349660089596</v>
      </c>
      <c r="AI81" s="45">
        <f t="shared" ca="1" si="56"/>
        <v>38.089132289940608</v>
      </c>
      <c r="AJ81" s="45">
        <f ca="1">U81*(Inputs!$B$12-ILP_B_Moderate!$F$9)+V81*(Inputs!$B$13-ILP_B_Moderate!$F$10)+W81*(Inputs!$B$14-ILP_B_Moderate!$F$11)+X81*(Inputs!$B$15-ILP_B_Moderate!$F$12)+Y81*(Inputs!$B$16-ILP_B_Moderate!$F$13)</f>
        <v>24915.559657766898</v>
      </c>
      <c r="AK81" s="45">
        <f t="shared" ca="1" si="57"/>
        <v>38.089132289940608</v>
      </c>
      <c r="AL81" s="45">
        <f t="shared" ca="1" si="58"/>
        <v>0</v>
      </c>
      <c r="AM81" s="45">
        <f t="shared" ca="1" si="59"/>
        <v>0</v>
      </c>
      <c r="AN81" s="45">
        <f t="shared" ca="1" si="60"/>
        <v>0</v>
      </c>
      <c r="AO81" s="45">
        <f ca="1">MIN(AL81,Inputs!$B$36)</f>
        <v>0</v>
      </c>
      <c r="AP81" s="45">
        <f ca="1">MIN(AN81,Inputs!$B$36-AO81)</f>
        <v>0</v>
      </c>
      <c r="AQ81" s="45">
        <f ca="1">MIN(AM81,Inputs!$B$36-AO81-AP81)</f>
        <v>0</v>
      </c>
      <c r="AR81" s="45">
        <f t="shared" ca="1" si="61"/>
        <v>0</v>
      </c>
      <c r="AS81" s="45">
        <f t="shared" ca="1" si="62"/>
        <v>0</v>
      </c>
      <c r="AT81" s="45">
        <f t="shared" ca="1" si="63"/>
        <v>0</v>
      </c>
      <c r="AU81" s="45">
        <f t="shared" ca="1" si="64"/>
        <v>0</v>
      </c>
      <c r="AV81" s="46">
        <f ca="1">AU81*Inputs!$B$35</f>
        <v>0</v>
      </c>
      <c r="AW81" s="46">
        <f ca="1">AR81*Inputs!$C$6+AT81*Inputs!$C$7+AS81*Inputs!$C$8</f>
        <v>0</v>
      </c>
      <c r="AX81" s="46">
        <f t="shared" ca="1" si="65"/>
        <v>47528075.83977557</v>
      </c>
      <c r="AY81" s="46">
        <f ca="1">IF(J81&gt;1,($CD$4)*Inputs!$B$55*((Z81+AA81+AB81)/(SUM(ILP_B_Moderate!$C$9:$E$13))),0)</f>
        <v>0</v>
      </c>
      <c r="AZ81" s="46">
        <f t="shared" ca="1" si="66"/>
        <v>0</v>
      </c>
      <c r="BA81" s="41">
        <f t="shared" ca="1" si="67"/>
        <v>0</v>
      </c>
      <c r="BB81" s="41">
        <f t="shared" ca="1" si="68"/>
        <v>1</v>
      </c>
      <c r="BC81" s="41">
        <f t="shared" ca="1" si="69"/>
        <v>1</v>
      </c>
      <c r="BD81" s="41">
        <f t="shared" ca="1" si="70"/>
        <v>1</v>
      </c>
    </row>
    <row r="82" spans="1:56" ht="15" customHeight="1" x14ac:dyDescent="0.3">
      <c r="A82" s="41">
        <v>75</v>
      </c>
      <c r="B82" s="42">
        <f t="shared" ca="1" si="52"/>
        <v>1.119968679452632E-2</v>
      </c>
      <c r="C82" s="43">
        <f ca="1">IF(B82&lt;=Inputs!$C$40,Inputs!$D$40,IF(B82&lt;=Inputs!$C$41,Inputs!$D$41,Inputs!$D$42))</f>
        <v>0.9</v>
      </c>
      <c r="D82" s="42">
        <f t="shared" ca="1" si="71"/>
        <v>0.9964736230613539</v>
      </c>
      <c r="E82" s="42">
        <f t="shared" ca="1" si="71"/>
        <v>0.99261750095046186</v>
      </c>
      <c r="F82" s="42">
        <f t="shared" ca="1" si="71"/>
        <v>0.91959117801594092</v>
      </c>
      <c r="G82" s="42">
        <f t="shared" ca="1" si="71"/>
        <v>0.2387667518339055</v>
      </c>
      <c r="H82" s="42">
        <f t="shared" ca="1" si="71"/>
        <v>0.97041269963631271</v>
      </c>
      <c r="I82" s="42">
        <f t="shared" ca="1" si="71"/>
        <v>0.65239562589555566</v>
      </c>
      <c r="J82" s="43">
        <f ca="1">IF(I82&lt;Inputs!$B$54,1+Inputs!$B$55,1)</f>
        <v>1</v>
      </c>
      <c r="K82" s="42">
        <f t="shared" ca="1" si="72"/>
        <v>0.28835967712986088</v>
      </c>
      <c r="L82" s="42">
        <f t="shared" ca="1" si="72"/>
        <v>8.7692794831494614E-2</v>
      </c>
      <c r="M82" s="42">
        <f t="shared" ca="1" si="72"/>
        <v>0.46633771120314915</v>
      </c>
      <c r="N82" s="42">
        <f t="shared" ca="1" si="72"/>
        <v>0.8329574272287259</v>
      </c>
      <c r="O82" s="42">
        <f t="shared" ca="1" si="72"/>
        <v>0.91140308781575241</v>
      </c>
      <c r="P82" s="42">
        <f t="shared" ca="1" si="72"/>
        <v>0.32393667462175868</v>
      </c>
      <c r="Q82" s="42">
        <f t="shared" ca="1" si="72"/>
        <v>0.96541502305192395</v>
      </c>
      <c r="R82" s="42">
        <f t="shared" ca="1" si="72"/>
        <v>0.83235935282106288</v>
      </c>
      <c r="S82" s="42">
        <f t="shared" ca="1" si="72"/>
        <v>9.4369894723413505E-2</v>
      </c>
      <c r="T82" s="42">
        <f t="shared" ca="1" si="72"/>
        <v>0.48610499597665835</v>
      </c>
      <c r="U82" s="44">
        <f ca="1">(IF(D82&gt;=Inputs!$E$12,1,IF(K82&lt;=Inputs!$C$46,Inputs!$D$46,IF(K82&lt;=Inputs!$C$47,Inputs!$D$47,Inputs!$D$48))))*((Inputs!$B$28+(P82-0.5)*2*Inputs!$B$53)/Inputs!$B$28)</f>
        <v>0.9982179825366575</v>
      </c>
      <c r="V82" s="44">
        <f ca="1">(IF(E82&gt;=Inputs!$E$13,1,IF(L82&lt;=Inputs!$C$46,Inputs!$D$46,IF(L82&lt;=Inputs!$C$47,Inputs!$D$47,Inputs!$D$48))))*((Inputs!$B$29+(Q82-0.5)*2*Inputs!$B$53)/Inputs!$B$29)</f>
        <v>1.0046916837001203</v>
      </c>
      <c r="W82" s="44">
        <f ca="1">(IF(F82&gt;=Inputs!$E$14,1,IF(M82&lt;=Inputs!$C$46,Inputs!$D$46,IF(M82&lt;=Inputs!$C$47,Inputs!$D$47,Inputs!$D$48))))*((Inputs!$B$30+(R82-0.5)*2*Inputs!$B$53)/Inputs!$B$30)</f>
        <v>1.0033402950032269</v>
      </c>
      <c r="X82" s="44">
        <f ca="1">(IF(G82&gt;=Inputs!$E$15,1,IF(N82&lt;=Inputs!$C$46,Inputs!$D$46,IF(N82&lt;=Inputs!$C$47,Inputs!$D$47,Inputs!$D$48))))*((Inputs!$B$31+(S82-0.5)*2*Inputs!$B$53)/Inputs!$B$31)</f>
        <v>0.99588192786521235</v>
      </c>
      <c r="Y82" s="44">
        <f ca="1">(IF(H82&gt;=Inputs!$E$16,1,IF(O82&lt;=Inputs!$C$46,Inputs!$D$46,IF(O82&lt;=Inputs!$C$47,Inputs!$D$47,Inputs!$D$48))))*((Inputs!$B$32+(T82-0.5)*2*Inputs!$B$53)/Inputs!$B$32)</f>
        <v>0.99986021122712931</v>
      </c>
      <c r="Z82" s="45">
        <f ca="1">ILP_B_Moderate!$C$9*U82+ILP_B_Moderate!$C$10*V82+ILP_B_Moderate!$C$11*W82+ILP_B_Moderate!$C$12*X82+ILP_B_Moderate!$C$13*Y82</f>
        <v>17971.965364521755</v>
      </c>
      <c r="AA82" s="45">
        <f ca="1">ILP_B_Moderate!$D$9*U82+ILP_B_Moderate!$D$10*V82+ILP_B_Moderate!$D$11*W82+ILP_B_Moderate!$D$12*X82+ILP_B_Moderate!$D$13*Y82</f>
        <v>15015.234822602359</v>
      </c>
      <c r="AB82" s="45">
        <f ca="1">ILP_B_Moderate!$E$9*U82+ILP_B_Moderate!$E$10*V82+ILP_B_Moderate!$E$11*W82+ILP_B_Moderate!$E$12*X82+ILP_B_Moderate!$E$13*Y82</f>
        <v>12000.625147324767</v>
      </c>
      <c r="AC82" s="45">
        <f ca="1">Inputs!$B$6*$C82</f>
        <v>16200</v>
      </c>
      <c r="AD82" s="45">
        <f ca="1">Inputs!$B$7*$C82</f>
        <v>13500</v>
      </c>
      <c r="AE82" s="45">
        <f ca="1">Inputs!$B$8*$C82</f>
        <v>10800</v>
      </c>
      <c r="AF82" s="45">
        <f t="shared" ca="1" si="53"/>
        <v>0</v>
      </c>
      <c r="AG82" s="45">
        <f t="shared" ca="1" si="54"/>
        <v>0</v>
      </c>
      <c r="AH82" s="45">
        <f t="shared" ca="1" si="55"/>
        <v>0</v>
      </c>
      <c r="AI82" s="45">
        <f t="shared" ca="1" si="56"/>
        <v>0</v>
      </c>
      <c r="AJ82" s="45">
        <f ca="1">U82*(Inputs!$B$12-ILP_B_Moderate!$F$9)+V82*(Inputs!$B$13-ILP_B_Moderate!$F$10)+W82*(Inputs!$B$14-ILP_B_Moderate!$F$11)+X82*(Inputs!$B$15-ILP_B_Moderate!$F$12)+Y82*(Inputs!$B$16-ILP_B_Moderate!$F$13)</f>
        <v>25041.256095770761</v>
      </c>
      <c r="AK82" s="45">
        <f t="shared" ca="1" si="57"/>
        <v>0</v>
      </c>
      <c r="AL82" s="45">
        <f t="shared" ca="1" si="58"/>
        <v>0</v>
      </c>
      <c r="AM82" s="45">
        <f t="shared" ca="1" si="59"/>
        <v>0</v>
      </c>
      <c r="AN82" s="45">
        <f t="shared" ca="1" si="60"/>
        <v>0</v>
      </c>
      <c r="AO82" s="45">
        <f ca="1">MIN(AL82,Inputs!$B$36)</f>
        <v>0</v>
      </c>
      <c r="AP82" s="45">
        <f ca="1">MIN(AN82,Inputs!$B$36-AO82)</f>
        <v>0</v>
      </c>
      <c r="AQ82" s="45">
        <f ca="1">MIN(AM82,Inputs!$B$36-AO82-AP82)</f>
        <v>0</v>
      </c>
      <c r="AR82" s="45">
        <f t="shared" ca="1" si="61"/>
        <v>0</v>
      </c>
      <c r="AS82" s="45">
        <f t="shared" ca="1" si="62"/>
        <v>0</v>
      </c>
      <c r="AT82" s="45">
        <f t="shared" ca="1" si="63"/>
        <v>0</v>
      </c>
      <c r="AU82" s="45">
        <f t="shared" ca="1" si="64"/>
        <v>0</v>
      </c>
      <c r="AV82" s="46">
        <f ca="1">AU82*Inputs!$B$35</f>
        <v>0</v>
      </c>
      <c r="AW82" s="46">
        <f ca="1">AR82*Inputs!$C$6+AT82*Inputs!$C$7+AS82*Inputs!$C$8</f>
        <v>0</v>
      </c>
      <c r="AX82" s="46">
        <f t="shared" ca="1" si="65"/>
        <v>47556566.077376083</v>
      </c>
      <c r="AY82" s="46">
        <f ca="1">IF(J82&gt;1,($CD$4)*Inputs!$B$55*((Z82+AA82+AB82)/(SUM(ILP_B_Moderate!$C$9:$E$13))),0)</f>
        <v>0</v>
      </c>
      <c r="AZ82" s="46">
        <f t="shared" ca="1" si="66"/>
        <v>0</v>
      </c>
      <c r="BA82" s="41">
        <f t="shared" ca="1" si="67"/>
        <v>0</v>
      </c>
      <c r="BB82" s="41">
        <f t="shared" ca="1" si="68"/>
        <v>1</v>
      </c>
      <c r="BC82" s="41">
        <f t="shared" ca="1" si="69"/>
        <v>1</v>
      </c>
      <c r="BD82" s="41">
        <f t="shared" ca="1" si="70"/>
        <v>1</v>
      </c>
    </row>
    <row r="83" spans="1:56" ht="15" customHeight="1" x14ac:dyDescent="0.3">
      <c r="A83" s="41">
        <v>76</v>
      </c>
      <c r="B83" s="42">
        <f t="shared" ca="1" si="52"/>
        <v>0.20381998266358659</v>
      </c>
      <c r="C83" s="43">
        <f ca="1">IF(B83&lt;=Inputs!$C$40,Inputs!$D$40,IF(B83&lt;=Inputs!$C$41,Inputs!$D$41,Inputs!$D$42))</f>
        <v>1</v>
      </c>
      <c r="D83" s="42">
        <f t="shared" ca="1" si="71"/>
        <v>0.4828639651459713</v>
      </c>
      <c r="E83" s="42">
        <f t="shared" ca="1" si="71"/>
        <v>0.60719458928444114</v>
      </c>
      <c r="F83" s="42">
        <f t="shared" ca="1" si="71"/>
        <v>0.79666883811762612</v>
      </c>
      <c r="G83" s="42">
        <f t="shared" ca="1" si="71"/>
        <v>0.82577300121903396</v>
      </c>
      <c r="H83" s="42">
        <f t="shared" ca="1" si="71"/>
        <v>0.33462171708017252</v>
      </c>
      <c r="I83" s="42">
        <f t="shared" ca="1" si="71"/>
        <v>0.11723237899070393</v>
      </c>
      <c r="J83" s="43">
        <f ca="1">IF(I83&lt;Inputs!$B$54,1+Inputs!$B$55,1)</f>
        <v>1</v>
      </c>
      <c r="K83" s="42">
        <f t="shared" ca="1" si="72"/>
        <v>0.70143075229325369</v>
      </c>
      <c r="L83" s="42">
        <f t="shared" ca="1" si="72"/>
        <v>0.43322897333307953</v>
      </c>
      <c r="M83" s="42">
        <f t="shared" ca="1" si="72"/>
        <v>0.377139598034548</v>
      </c>
      <c r="N83" s="42">
        <f t="shared" ca="1" si="72"/>
        <v>0.92924478549866185</v>
      </c>
      <c r="O83" s="42">
        <f t="shared" ca="1" si="72"/>
        <v>1.307421740407555E-2</v>
      </c>
      <c r="P83" s="42">
        <f t="shared" ca="1" si="72"/>
        <v>0.3185869240845377</v>
      </c>
      <c r="Q83" s="42">
        <f t="shared" ca="1" si="72"/>
        <v>0.84587807080859756</v>
      </c>
      <c r="R83" s="42">
        <f t="shared" ca="1" si="72"/>
        <v>0.81998328490873162</v>
      </c>
      <c r="S83" s="42">
        <f t="shared" ca="1" si="72"/>
        <v>0.90592569335025508</v>
      </c>
      <c r="T83" s="42">
        <f t="shared" ca="1" si="72"/>
        <v>0.92683201601807941</v>
      </c>
      <c r="U83" s="44">
        <f ca="1">(IF(D83&gt;=Inputs!$E$12,1,IF(K83&lt;=Inputs!$C$46,Inputs!$D$46,IF(K83&lt;=Inputs!$C$47,Inputs!$D$47,Inputs!$D$48))))*((Inputs!$B$28+(P83-0.5)*2*Inputs!$B$53)/Inputs!$B$28)</f>
        <v>0.99816383526401353</v>
      </c>
      <c r="V83" s="44">
        <f ca="1">(IF(E83&gt;=Inputs!$E$13,1,IF(L83&lt;=Inputs!$C$46,Inputs!$D$46,IF(L83&lt;=Inputs!$C$47,Inputs!$D$47,Inputs!$D$48))))*((Inputs!$B$29+(Q83-0.5)*2*Inputs!$B$53)/Inputs!$B$29)</f>
        <v>1.0034866741008932</v>
      </c>
      <c r="W83" s="44">
        <f ca="1">(IF(F83&gt;=Inputs!$E$14,1,IF(M83&lt;=Inputs!$C$46,Inputs!$D$46,IF(M83&lt;=Inputs!$C$47,Inputs!$D$47,Inputs!$D$48))))*((Inputs!$B$30+(R83-0.5)*2*Inputs!$B$53)/Inputs!$B$30)</f>
        <v>1.0032159124111431</v>
      </c>
      <c r="X83" s="44">
        <f ca="1">(IF(G83&gt;=Inputs!$E$15,1,IF(N83&lt;=Inputs!$C$46,Inputs!$D$46,IF(N83&lt;=Inputs!$C$47,Inputs!$D$47,Inputs!$D$48))))*((Inputs!$B$31+(S83-0.5)*2*Inputs!$B$53)/Inputs!$B$31)</f>
        <v>1.0041210730289365</v>
      </c>
      <c r="Y83" s="44">
        <f ca="1">(IF(H83&gt;=Inputs!$E$16,1,IF(O83&lt;=Inputs!$C$46,Inputs!$D$46,IF(O83&lt;=Inputs!$C$47,Inputs!$D$47,Inputs!$D$48))))*((Inputs!$B$32+(T83-0.5)*2*Inputs!$B$53)/Inputs!$B$32)</f>
        <v>1.0042940846681898</v>
      </c>
      <c r="Z83" s="45">
        <f ca="1">ILP_B_Moderate!$C$9*U83+ILP_B_Moderate!$C$10*V83+ILP_B_Moderate!$C$11*W83+ILP_B_Moderate!$C$12*X83+ILP_B_Moderate!$C$13*Y83</f>
        <v>18041.174206612948</v>
      </c>
      <c r="AA83" s="45">
        <f ca="1">ILP_B_Moderate!$D$9*U83+ILP_B_Moderate!$D$10*V83+ILP_B_Moderate!$D$11*W83+ILP_B_Moderate!$D$12*X83+ILP_B_Moderate!$D$13*Y83</f>
        <v>15029.178230733884</v>
      </c>
      <c r="AB83" s="45">
        <f ca="1">ILP_B_Moderate!$E$9*U83+ILP_B_Moderate!$E$10*V83+ILP_B_Moderate!$E$11*W83+ILP_B_Moderate!$E$12*X83+ILP_B_Moderate!$E$13*Y83</f>
        <v>12012.716074605902</v>
      </c>
      <c r="AC83" s="45">
        <f ca="1">Inputs!$B$6*$C83</f>
        <v>18000</v>
      </c>
      <c r="AD83" s="45">
        <f ca="1">Inputs!$B$7*$C83</f>
        <v>15000</v>
      </c>
      <c r="AE83" s="45">
        <f ca="1">Inputs!$B$8*$C83</f>
        <v>12000</v>
      </c>
      <c r="AF83" s="45">
        <f t="shared" ca="1" si="53"/>
        <v>0</v>
      </c>
      <c r="AG83" s="45">
        <f t="shared" ca="1" si="54"/>
        <v>0</v>
      </c>
      <c r="AH83" s="45">
        <f t="shared" ca="1" si="55"/>
        <v>0</v>
      </c>
      <c r="AI83" s="45">
        <f t="shared" ca="1" si="56"/>
        <v>0</v>
      </c>
      <c r="AJ83" s="45">
        <f ca="1">U83*(Inputs!$B$12-ILP_B_Moderate!$F$9)+V83*(Inputs!$B$13-ILP_B_Moderate!$F$10)+W83*(Inputs!$B$14-ILP_B_Moderate!$F$11)+X83*(Inputs!$B$15-ILP_B_Moderate!$F$12)+Y83*(Inputs!$B$16-ILP_B_Moderate!$F$13)</f>
        <v>25092.037297398932</v>
      </c>
      <c r="AK83" s="45">
        <f t="shared" ca="1" si="57"/>
        <v>0</v>
      </c>
      <c r="AL83" s="45">
        <f t="shared" ca="1" si="58"/>
        <v>0</v>
      </c>
      <c r="AM83" s="45">
        <f t="shared" ca="1" si="59"/>
        <v>0</v>
      </c>
      <c r="AN83" s="45">
        <f t="shared" ca="1" si="60"/>
        <v>0</v>
      </c>
      <c r="AO83" s="45">
        <f ca="1">MIN(AL83,Inputs!$B$36)</f>
        <v>0</v>
      </c>
      <c r="AP83" s="45">
        <f ca="1">MIN(AN83,Inputs!$B$36-AO83)</f>
        <v>0</v>
      </c>
      <c r="AQ83" s="45">
        <f ca="1">MIN(AM83,Inputs!$B$36-AO83-AP83)</f>
        <v>0</v>
      </c>
      <c r="AR83" s="45">
        <f t="shared" ca="1" si="61"/>
        <v>0</v>
      </c>
      <c r="AS83" s="45">
        <f t="shared" ca="1" si="62"/>
        <v>0</v>
      </c>
      <c r="AT83" s="45">
        <f t="shared" ca="1" si="63"/>
        <v>0</v>
      </c>
      <c r="AU83" s="45">
        <f t="shared" ca="1" si="64"/>
        <v>0</v>
      </c>
      <c r="AV83" s="46">
        <f ca="1">AU83*Inputs!$B$35</f>
        <v>0</v>
      </c>
      <c r="AW83" s="46">
        <f ca="1">AR83*Inputs!$C$6+AT83*Inputs!$C$7+AS83*Inputs!$C$8</f>
        <v>0</v>
      </c>
      <c r="AX83" s="46">
        <f t="shared" ca="1" si="65"/>
        <v>47655946.750449896</v>
      </c>
      <c r="AY83" s="46">
        <f ca="1">IF(J83&gt;1,($CD$4)*Inputs!$B$55*((Z83+AA83+AB83)/(SUM(ILP_B_Moderate!$C$9:$E$13))),0)</f>
        <v>0</v>
      </c>
      <c r="AZ83" s="46">
        <f t="shared" ca="1" si="66"/>
        <v>0</v>
      </c>
      <c r="BA83" s="41">
        <f t="shared" ca="1" si="67"/>
        <v>0</v>
      </c>
      <c r="BB83" s="41">
        <f t="shared" ca="1" si="68"/>
        <v>1</v>
      </c>
      <c r="BC83" s="41">
        <f t="shared" ca="1" si="69"/>
        <v>1</v>
      </c>
      <c r="BD83" s="41">
        <f t="shared" ca="1" si="70"/>
        <v>1</v>
      </c>
    </row>
    <row r="84" spans="1:56" ht="15" customHeight="1" x14ac:dyDescent="0.3">
      <c r="A84" s="41">
        <v>77</v>
      </c>
      <c r="B84" s="42">
        <f t="shared" ca="1" si="52"/>
        <v>0.22461931436327032</v>
      </c>
      <c r="C84" s="43">
        <f ca="1">IF(B84&lt;=Inputs!$C$40,Inputs!$D$40,IF(B84&lt;=Inputs!$C$41,Inputs!$D$41,Inputs!$D$42))</f>
        <v>1</v>
      </c>
      <c r="D84" s="42">
        <f t="shared" ca="1" si="71"/>
        <v>0.46014111252489154</v>
      </c>
      <c r="E84" s="42">
        <f t="shared" ca="1" si="71"/>
        <v>0.80136847869263472</v>
      </c>
      <c r="F84" s="42">
        <f t="shared" ca="1" si="71"/>
        <v>0.47190388855774223</v>
      </c>
      <c r="G84" s="42">
        <f t="shared" ca="1" si="71"/>
        <v>0.2205193166943884</v>
      </c>
      <c r="H84" s="42">
        <f t="shared" ca="1" si="71"/>
        <v>0.11452075873618472</v>
      </c>
      <c r="I84" s="42">
        <f t="shared" ca="1" si="71"/>
        <v>0.16571787969130081</v>
      </c>
      <c r="J84" s="43">
        <f ca="1">IF(I84&lt;Inputs!$B$54,1+Inputs!$B$55,1)</f>
        <v>1</v>
      </c>
      <c r="K84" s="42">
        <f t="shared" ca="1" si="72"/>
        <v>0.2381958482552694</v>
      </c>
      <c r="L84" s="42">
        <f t="shared" ca="1" si="72"/>
        <v>0.18774798327073283</v>
      </c>
      <c r="M84" s="42">
        <f t="shared" ca="1" si="72"/>
        <v>0.80625462257950709</v>
      </c>
      <c r="N84" s="42">
        <f t="shared" ca="1" si="72"/>
        <v>7.4953722252156685E-2</v>
      </c>
      <c r="O84" s="42">
        <f t="shared" ca="1" si="72"/>
        <v>0.88202133506479763</v>
      </c>
      <c r="P84" s="42">
        <f t="shared" ca="1" si="72"/>
        <v>0.4986384014686982</v>
      </c>
      <c r="Q84" s="42">
        <f t="shared" ca="1" si="72"/>
        <v>0.90971341482007251</v>
      </c>
      <c r="R84" s="42">
        <f t="shared" ca="1" si="72"/>
        <v>0.69395944093526496</v>
      </c>
      <c r="S84" s="42">
        <f t="shared" ca="1" si="72"/>
        <v>0.16119937917619109</v>
      </c>
      <c r="T84" s="42">
        <f t="shared" ca="1" si="72"/>
        <v>0.21261009379979368</v>
      </c>
      <c r="U84" s="44">
        <f ca="1">(IF(D84&gt;=Inputs!$E$12,1,IF(K84&lt;=Inputs!$C$46,Inputs!$D$46,IF(K84&lt;=Inputs!$C$47,Inputs!$D$47,Inputs!$D$48))))*((Inputs!$B$28+(P84-0.5)*2*Inputs!$B$53)/Inputs!$B$28)</f>
        <v>0.99998621863834714</v>
      </c>
      <c r="V84" s="44">
        <f ca="1">(IF(E84&gt;=Inputs!$E$13,1,IF(L84&lt;=Inputs!$C$46,Inputs!$D$46,IF(L84&lt;=Inputs!$C$47,Inputs!$D$47,Inputs!$D$48))))*((Inputs!$B$29+(Q84-0.5)*2*Inputs!$B$53)/Inputs!$B$29)</f>
        <v>1.0041301755526217</v>
      </c>
      <c r="W84" s="44">
        <f ca="1">(IF(F84&gt;=Inputs!$E$14,1,IF(M84&lt;=Inputs!$C$46,Inputs!$D$46,IF(M84&lt;=Inputs!$C$47,Inputs!$D$47,Inputs!$D$48))))*((Inputs!$B$30+(R84-0.5)*2*Inputs!$B$53)/Inputs!$B$30)</f>
        <v>1.0019493411149274</v>
      </c>
      <c r="X84" s="44">
        <f ca="1">(IF(G84&gt;=Inputs!$E$15,1,IF(N84&lt;=Inputs!$C$46,Inputs!$D$46,IF(N84&lt;=Inputs!$C$47,Inputs!$D$47,Inputs!$D$48))))*((Inputs!$B$31+(S84-0.5)*2*Inputs!$B$53)/Inputs!$B$31)</f>
        <v>0.99656039978859079</v>
      </c>
      <c r="Y84" s="44">
        <f ca="1">(IF(H84&gt;=Inputs!$E$16,1,IF(O84&lt;=Inputs!$C$46,Inputs!$D$46,IF(O84&lt;=Inputs!$C$47,Inputs!$D$47,Inputs!$D$48))))*((Inputs!$B$32+(T84-0.5)*2*Inputs!$B$53)/Inputs!$B$32)</f>
        <v>0.99710875345875039</v>
      </c>
      <c r="Z84" s="45">
        <f ca="1">ILP_B_Moderate!$C$9*U84+ILP_B_Moderate!$C$10*V84+ILP_B_Moderate!$C$11*W84+ILP_B_Moderate!$C$12*X84+ILP_B_Moderate!$C$13*Y84</f>
        <v>17984.964967014515</v>
      </c>
      <c r="AA84" s="45">
        <f ca="1">ILP_B_Moderate!$D$9*U84+ILP_B_Moderate!$D$10*V84+ILP_B_Moderate!$D$11*W84+ILP_B_Moderate!$D$12*X84+ILP_B_Moderate!$D$13*Y84</f>
        <v>15021.212147275952</v>
      </c>
      <c r="AB84" s="45">
        <f ca="1">ILP_B_Moderate!$E$9*U84+ILP_B_Moderate!$E$10*V84+ILP_B_Moderate!$E$11*W84+ILP_B_Moderate!$E$12*X84+ILP_B_Moderate!$E$13*Y84</f>
        <v>12000.235730570766</v>
      </c>
      <c r="AC84" s="45">
        <f ca="1">Inputs!$B$6*$C84</f>
        <v>18000</v>
      </c>
      <c r="AD84" s="45">
        <f ca="1">Inputs!$B$7*$C84</f>
        <v>15000</v>
      </c>
      <c r="AE84" s="45">
        <f ca="1">Inputs!$B$8*$C84</f>
        <v>12000</v>
      </c>
      <c r="AF84" s="45">
        <f t="shared" ca="1" si="53"/>
        <v>15.035032985484577</v>
      </c>
      <c r="AG84" s="45">
        <f t="shared" ca="1" si="54"/>
        <v>0</v>
      </c>
      <c r="AH84" s="45">
        <f t="shared" ca="1" si="55"/>
        <v>0</v>
      </c>
      <c r="AI84" s="45">
        <f t="shared" ca="1" si="56"/>
        <v>15.035032985484577</v>
      </c>
      <c r="AJ84" s="45">
        <f ca="1">U84*(Inputs!$B$12-ILP_B_Moderate!$F$9)+V84*(Inputs!$B$13-ILP_B_Moderate!$F$10)+W84*(Inputs!$B$14-ILP_B_Moderate!$F$11)+X84*(Inputs!$B$15-ILP_B_Moderate!$F$12)+Y84*(Inputs!$B$16-ILP_B_Moderate!$F$13)</f>
        <v>24991.886644927428</v>
      </c>
      <c r="AK84" s="45">
        <f t="shared" ca="1" si="57"/>
        <v>15.035032985484577</v>
      </c>
      <c r="AL84" s="45">
        <f t="shared" ca="1" si="58"/>
        <v>0</v>
      </c>
      <c r="AM84" s="45">
        <f t="shared" ca="1" si="59"/>
        <v>0</v>
      </c>
      <c r="AN84" s="45">
        <f t="shared" ca="1" si="60"/>
        <v>0</v>
      </c>
      <c r="AO84" s="45">
        <f ca="1">MIN(AL84,Inputs!$B$36)</f>
        <v>0</v>
      </c>
      <c r="AP84" s="45">
        <f ca="1">MIN(AN84,Inputs!$B$36-AO84)</f>
        <v>0</v>
      </c>
      <c r="AQ84" s="45">
        <f ca="1">MIN(AM84,Inputs!$B$36-AO84-AP84)</f>
        <v>0</v>
      </c>
      <c r="AR84" s="45">
        <f t="shared" ca="1" si="61"/>
        <v>0</v>
      </c>
      <c r="AS84" s="45">
        <f t="shared" ca="1" si="62"/>
        <v>0</v>
      </c>
      <c r="AT84" s="45">
        <f t="shared" ca="1" si="63"/>
        <v>0</v>
      </c>
      <c r="AU84" s="45">
        <f t="shared" ca="1" si="64"/>
        <v>0</v>
      </c>
      <c r="AV84" s="46">
        <f ca="1">AU84*Inputs!$B$35</f>
        <v>0</v>
      </c>
      <c r="AW84" s="46">
        <f ca="1">AR84*Inputs!$C$6+AT84*Inputs!$C$7+AS84*Inputs!$C$8</f>
        <v>0</v>
      </c>
      <c r="AX84" s="46">
        <f t="shared" ca="1" si="65"/>
        <v>47575834.937046722</v>
      </c>
      <c r="AY84" s="46">
        <f ca="1">IF(J84&gt;1,($CD$4)*Inputs!$B$55*((Z84+AA84+AB84)/(SUM(ILP_B_Moderate!$C$9:$E$13))),0)</f>
        <v>0</v>
      </c>
      <c r="AZ84" s="46">
        <f t="shared" ca="1" si="66"/>
        <v>0</v>
      </c>
      <c r="BA84" s="41">
        <f t="shared" ca="1" si="67"/>
        <v>0</v>
      </c>
      <c r="BB84" s="41">
        <f t="shared" ca="1" si="68"/>
        <v>1</v>
      </c>
      <c r="BC84" s="41">
        <f t="shared" ca="1" si="69"/>
        <v>1</v>
      </c>
      <c r="BD84" s="41">
        <f t="shared" ca="1" si="70"/>
        <v>1</v>
      </c>
    </row>
    <row r="85" spans="1:56" ht="15" customHeight="1" x14ac:dyDescent="0.3">
      <c r="A85" s="41">
        <v>78</v>
      </c>
      <c r="B85" s="42">
        <f t="shared" ca="1" si="52"/>
        <v>0.43623902379634327</v>
      </c>
      <c r="C85" s="43">
        <f ca="1">IF(B85&lt;=Inputs!$C$40,Inputs!$D$40,IF(B85&lt;=Inputs!$C$41,Inputs!$D$41,Inputs!$D$42))</f>
        <v>1</v>
      </c>
      <c r="D85" s="42">
        <f t="shared" ca="1" si="71"/>
        <v>0.59106151207751501</v>
      </c>
      <c r="E85" s="42">
        <f t="shared" ca="1" si="71"/>
        <v>0.82393623750766165</v>
      </c>
      <c r="F85" s="42">
        <f t="shared" ca="1" si="71"/>
        <v>0.10685389367439491</v>
      </c>
      <c r="G85" s="42">
        <f t="shared" ca="1" si="71"/>
        <v>0.53228556517309433</v>
      </c>
      <c r="H85" s="42">
        <f t="shared" ca="1" si="71"/>
        <v>0.77191297621148247</v>
      </c>
      <c r="I85" s="42">
        <f t="shared" ca="1" si="71"/>
        <v>7.2390881064464119E-2</v>
      </c>
      <c r="J85" s="43">
        <f ca="1">IF(I85&lt;Inputs!$B$54,1+Inputs!$B$55,1)</f>
        <v>1.25</v>
      </c>
      <c r="K85" s="42">
        <f t="shared" ca="1" si="72"/>
        <v>0.78503836347745182</v>
      </c>
      <c r="L85" s="42">
        <f t="shared" ca="1" si="72"/>
        <v>0.77698896712372023</v>
      </c>
      <c r="M85" s="42">
        <f t="shared" ca="1" si="72"/>
        <v>0.50953083035511437</v>
      </c>
      <c r="N85" s="42">
        <f t="shared" ca="1" si="72"/>
        <v>6.6681585171845636E-2</v>
      </c>
      <c r="O85" s="42">
        <f t="shared" ca="1" si="72"/>
        <v>0.86121681775896186</v>
      </c>
      <c r="P85" s="42">
        <f t="shared" ca="1" si="72"/>
        <v>0.58037368010527068</v>
      </c>
      <c r="Q85" s="42">
        <f t="shared" ca="1" si="72"/>
        <v>7.928756080846644E-2</v>
      </c>
      <c r="R85" s="42">
        <f t="shared" ca="1" si="72"/>
        <v>0.80515776539182204</v>
      </c>
      <c r="S85" s="42">
        <f t="shared" ca="1" si="72"/>
        <v>0.2720546594108042</v>
      </c>
      <c r="T85" s="42">
        <f t="shared" ca="1" si="72"/>
        <v>0.20305735675250902</v>
      </c>
      <c r="U85" s="44">
        <f ca="1">(IF(D85&gt;=Inputs!$E$12,1,IF(K85&lt;=Inputs!$C$46,Inputs!$D$46,IF(K85&lt;=Inputs!$C$47,Inputs!$D$47,Inputs!$D$48))))*((Inputs!$B$28+(P85-0.5)*2*Inputs!$B$53)/Inputs!$B$28)</f>
        <v>1.0008134987864905</v>
      </c>
      <c r="V85" s="44">
        <f ca="1">(IF(E85&gt;=Inputs!$E$13,1,IF(L85&lt;=Inputs!$C$46,Inputs!$D$46,IF(L85&lt;=Inputs!$C$47,Inputs!$D$47,Inputs!$D$48))))*((Inputs!$B$29+(Q85-0.5)*2*Inputs!$B$53)/Inputs!$B$29)</f>
        <v>0.99575894718556923</v>
      </c>
      <c r="W85" s="44">
        <f ca="1">(IF(F85&gt;=Inputs!$E$14,1,IF(M85&lt;=Inputs!$C$46,Inputs!$D$46,IF(M85&lt;=Inputs!$C$47,Inputs!$D$47,Inputs!$D$48))))*((Inputs!$B$30+(R85-0.5)*2*Inputs!$B$53)/Inputs!$B$30)</f>
        <v>1.0030669122149931</v>
      </c>
      <c r="X85" s="44">
        <f ca="1">(IF(G85&gt;=Inputs!$E$15,1,IF(N85&lt;=Inputs!$C$46,Inputs!$D$46,IF(N85&lt;=Inputs!$C$47,Inputs!$D$47,Inputs!$D$48))))*((Inputs!$B$31+(S85-0.5)*2*Inputs!$B$53)/Inputs!$B$31)</f>
        <v>0.99768583410569345</v>
      </c>
      <c r="Y85" s="44">
        <f ca="1">(IF(H85&gt;=Inputs!$E$16,1,IF(O85&lt;=Inputs!$C$46,Inputs!$D$46,IF(O85&lt;=Inputs!$C$47,Inputs!$D$47,Inputs!$D$48))))*((Inputs!$B$32+(T85-0.5)*2*Inputs!$B$53)/Inputs!$B$32)</f>
        <v>0.99701264946431101</v>
      </c>
      <c r="Z85" s="45">
        <f ca="1">ILP_B_Moderate!$C$9*U85+ILP_B_Moderate!$C$10*V85+ILP_B_Moderate!$C$11*W85+ILP_B_Moderate!$C$12*X85+ILP_B_Moderate!$C$13*Y85</f>
        <v>17966.922772230886</v>
      </c>
      <c r="AA85" s="45">
        <f ca="1">ILP_B_Moderate!$D$9*U85+ILP_B_Moderate!$D$10*V85+ILP_B_Moderate!$D$11*W85+ILP_B_Moderate!$D$12*X85+ILP_B_Moderate!$D$13*Y85</f>
        <v>14965.4733303906</v>
      </c>
      <c r="AB85" s="45">
        <f ca="1">ILP_B_Moderate!$E$9*U85+ILP_B_Moderate!$E$10*V85+ILP_B_Moderate!$E$11*W85+ILP_B_Moderate!$E$12*X85+ILP_B_Moderate!$E$13*Y85</f>
        <v>11983.802574571495</v>
      </c>
      <c r="AC85" s="45">
        <f ca="1">Inputs!$B$6*$C85</f>
        <v>18000</v>
      </c>
      <c r="AD85" s="45">
        <f ca="1">Inputs!$B$7*$C85</f>
        <v>15000</v>
      </c>
      <c r="AE85" s="45">
        <f ca="1">Inputs!$B$8*$C85</f>
        <v>12000</v>
      </c>
      <c r="AF85" s="45">
        <f t="shared" ca="1" si="53"/>
        <v>33.077227769113961</v>
      </c>
      <c r="AG85" s="45">
        <f t="shared" ca="1" si="54"/>
        <v>34.526669609400415</v>
      </c>
      <c r="AH85" s="45">
        <f t="shared" ca="1" si="55"/>
        <v>16.197425428505085</v>
      </c>
      <c r="AI85" s="45">
        <f t="shared" ca="1" si="56"/>
        <v>83.80132280701946</v>
      </c>
      <c r="AJ85" s="45">
        <f ca="1">U85*(Inputs!$B$12-ILP_B_Moderate!$F$9)+V85*(Inputs!$B$13-ILP_B_Moderate!$F$10)+W85*(Inputs!$B$14-ILP_B_Moderate!$F$11)+X85*(Inputs!$B$15-ILP_B_Moderate!$F$12)+Y85*(Inputs!$B$16-ILP_B_Moderate!$F$13)</f>
        <v>25004.732174016732</v>
      </c>
      <c r="AK85" s="45">
        <f t="shared" ca="1" si="57"/>
        <v>83.80132280701946</v>
      </c>
      <c r="AL85" s="45">
        <f t="shared" ca="1" si="58"/>
        <v>0</v>
      </c>
      <c r="AM85" s="45">
        <f t="shared" ca="1" si="59"/>
        <v>0</v>
      </c>
      <c r="AN85" s="45">
        <f t="shared" ca="1" si="60"/>
        <v>0</v>
      </c>
      <c r="AO85" s="45">
        <f ca="1">MIN(AL85,Inputs!$B$36)</f>
        <v>0</v>
      </c>
      <c r="AP85" s="45">
        <f ca="1">MIN(AN85,Inputs!$B$36-AO85)</f>
        <v>0</v>
      </c>
      <c r="AQ85" s="45">
        <f ca="1">MIN(AM85,Inputs!$B$36-AO85-AP85)</f>
        <v>0</v>
      </c>
      <c r="AR85" s="45">
        <f t="shared" ca="1" si="61"/>
        <v>0</v>
      </c>
      <c r="AS85" s="45">
        <f t="shared" ca="1" si="62"/>
        <v>0</v>
      </c>
      <c r="AT85" s="45">
        <f t="shared" ca="1" si="63"/>
        <v>0</v>
      </c>
      <c r="AU85" s="45">
        <f t="shared" ca="1" si="64"/>
        <v>0</v>
      </c>
      <c r="AV85" s="46">
        <f ca="1">AU85*Inputs!$B$35</f>
        <v>0</v>
      </c>
      <c r="AW85" s="46">
        <f ca="1">AR85*Inputs!$C$6+AT85*Inputs!$C$7+AS85*Inputs!$C$8</f>
        <v>0</v>
      </c>
      <c r="AX85" s="46">
        <f t="shared" ca="1" si="65"/>
        <v>47480479.340557516</v>
      </c>
      <c r="AY85" s="46">
        <f ca="1">IF(J85&gt;1,($CD$4)*Inputs!$B$55*((Z85+AA85+AB85)/(SUM(ILP_B_Moderate!$C$9:$E$13))),0)</f>
        <v>569647.19437912898</v>
      </c>
      <c r="AZ85" s="46">
        <f t="shared" ca="1" si="66"/>
        <v>0</v>
      </c>
      <c r="BA85" s="41">
        <f t="shared" ca="1" si="67"/>
        <v>0</v>
      </c>
      <c r="BB85" s="41">
        <f t="shared" ca="1" si="68"/>
        <v>1</v>
      </c>
      <c r="BC85" s="41">
        <f t="shared" ca="1" si="69"/>
        <v>1</v>
      </c>
      <c r="BD85" s="41">
        <f t="shared" ca="1" si="70"/>
        <v>1</v>
      </c>
    </row>
    <row r="86" spans="1:56" ht="15" customHeight="1" x14ac:dyDescent="0.3">
      <c r="A86" s="41">
        <v>79</v>
      </c>
      <c r="B86" s="42">
        <f t="shared" ca="1" si="52"/>
        <v>0.29537775660840015</v>
      </c>
      <c r="C86" s="43">
        <f ca="1">IF(B86&lt;=Inputs!$C$40,Inputs!$D$40,IF(B86&lt;=Inputs!$C$41,Inputs!$D$41,Inputs!$D$42))</f>
        <v>1</v>
      </c>
      <c r="D86" s="42">
        <f t="shared" ca="1" si="71"/>
        <v>0.66119759302689296</v>
      </c>
      <c r="E86" s="42">
        <f t="shared" ca="1" si="71"/>
        <v>0.82397078425634185</v>
      </c>
      <c r="F86" s="42">
        <f t="shared" ca="1" si="71"/>
        <v>0.38400229358587379</v>
      </c>
      <c r="G86" s="42">
        <f t="shared" ca="1" si="71"/>
        <v>0.48779949301643788</v>
      </c>
      <c r="H86" s="42">
        <f t="shared" ca="1" si="71"/>
        <v>0.18630299582940069</v>
      </c>
      <c r="I86" s="42">
        <f t="shared" ca="1" si="71"/>
        <v>3.3686147796551325E-2</v>
      </c>
      <c r="J86" s="43">
        <f ca="1">IF(I86&lt;Inputs!$B$54,1+Inputs!$B$55,1)</f>
        <v>1.25</v>
      </c>
      <c r="K86" s="42">
        <f t="shared" ca="1" si="72"/>
        <v>0.25407818063910748</v>
      </c>
      <c r="L86" s="42">
        <f t="shared" ca="1" si="72"/>
        <v>8.5859665732647472E-2</v>
      </c>
      <c r="M86" s="42">
        <f t="shared" ca="1" si="72"/>
        <v>0.63143608049573396</v>
      </c>
      <c r="N86" s="42">
        <f t="shared" ca="1" si="72"/>
        <v>0.65736104144907259</v>
      </c>
      <c r="O86" s="42">
        <f t="shared" ca="1" si="72"/>
        <v>0.13760046587787833</v>
      </c>
      <c r="P86" s="42">
        <f t="shared" ca="1" si="72"/>
        <v>0.27784569177470553</v>
      </c>
      <c r="Q86" s="42">
        <f t="shared" ca="1" si="72"/>
        <v>0.95618899133710689</v>
      </c>
      <c r="R86" s="42">
        <f t="shared" ca="1" si="72"/>
        <v>0.30372022749735628</v>
      </c>
      <c r="S86" s="42">
        <f t="shared" ca="1" si="72"/>
        <v>0.54845483787296456</v>
      </c>
      <c r="T86" s="42">
        <f t="shared" ca="1" si="72"/>
        <v>0.80752509831427255</v>
      </c>
      <c r="U86" s="44">
        <f ca="1">(IF(D86&gt;=Inputs!$E$12,1,IF(K86&lt;=Inputs!$C$46,Inputs!$D$46,IF(K86&lt;=Inputs!$C$47,Inputs!$D$47,Inputs!$D$48))))*((Inputs!$B$28+(P86-0.5)*2*Inputs!$B$53)/Inputs!$B$28)</f>
        <v>0.99775147461310432</v>
      </c>
      <c r="V86" s="44">
        <f ca="1">(IF(E86&gt;=Inputs!$E$13,1,IF(L86&lt;=Inputs!$C$46,Inputs!$D$46,IF(L86&lt;=Inputs!$C$47,Inputs!$D$47,Inputs!$D$48))))*((Inputs!$B$29+(Q86-0.5)*2*Inputs!$B$53)/Inputs!$B$29)</f>
        <v>1.0045986793481563</v>
      </c>
      <c r="W86" s="44">
        <f ca="1">(IF(F86&gt;=Inputs!$E$14,1,IF(M86&lt;=Inputs!$C$46,Inputs!$D$46,IF(M86&lt;=Inputs!$C$47,Inputs!$D$47,Inputs!$D$48))))*((Inputs!$B$30+(R86-0.5)*2*Inputs!$B$53)/Inputs!$B$30)</f>
        <v>0.99802733896982276</v>
      </c>
      <c r="X86" s="44">
        <f ca="1">(IF(G86&gt;=Inputs!$E$15,1,IF(N86&lt;=Inputs!$C$46,Inputs!$D$46,IF(N86&lt;=Inputs!$C$47,Inputs!$D$47,Inputs!$D$48))))*((Inputs!$B$31+(S86-0.5)*2*Inputs!$B$53)/Inputs!$B$31)</f>
        <v>1.0004919272880504</v>
      </c>
      <c r="Y86" s="44">
        <f ca="1">(IF(H86&gt;=Inputs!$E$16,1,IF(O86&lt;=Inputs!$C$46,Inputs!$D$46,IF(O86&lt;=Inputs!$C$47,Inputs!$D$47,Inputs!$D$48))))*((Inputs!$B$32+(T86-0.5)*2*Inputs!$B$53)/Inputs!$B$32)</f>
        <v>1.0030938138663408</v>
      </c>
      <c r="Z86" s="45">
        <f ca="1">ILP_B_Moderate!$C$9*U86+ILP_B_Moderate!$C$10*V86+ILP_B_Moderate!$C$11*W86+ILP_B_Moderate!$C$12*X86+ILP_B_Moderate!$C$13*Y86</f>
        <v>18010.702993844512</v>
      </c>
      <c r="AA86" s="45">
        <f ca="1">ILP_B_Moderate!$D$9*U86+ILP_B_Moderate!$D$10*V86+ILP_B_Moderate!$D$11*W86+ILP_B_Moderate!$D$12*X86+ILP_B_Moderate!$D$13*Y86</f>
        <v>15025.354231252802</v>
      </c>
      <c r="AB86" s="45">
        <f ca="1">ILP_B_Moderate!$E$9*U86+ILP_B_Moderate!$E$10*V86+ILP_B_Moderate!$E$11*W86+ILP_B_Moderate!$E$12*X86+ILP_B_Moderate!$E$13*Y86</f>
        <v>12008.857972428919</v>
      </c>
      <c r="AC86" s="45">
        <f ca="1">Inputs!$B$6*$C86</f>
        <v>18000</v>
      </c>
      <c r="AD86" s="45">
        <f ca="1">Inputs!$B$7*$C86</f>
        <v>15000</v>
      </c>
      <c r="AE86" s="45">
        <f ca="1">Inputs!$B$8*$C86</f>
        <v>12000</v>
      </c>
      <c r="AF86" s="45">
        <f t="shared" ca="1" si="53"/>
        <v>0</v>
      </c>
      <c r="AG86" s="45">
        <f t="shared" ca="1" si="54"/>
        <v>0</v>
      </c>
      <c r="AH86" s="45">
        <f t="shared" ca="1" si="55"/>
        <v>0</v>
      </c>
      <c r="AI86" s="45">
        <f t="shared" ca="1" si="56"/>
        <v>0</v>
      </c>
      <c r="AJ86" s="45">
        <f ca="1">U86*(Inputs!$B$12-ILP_B_Moderate!$F$9)+V86*(Inputs!$B$13-ILP_B_Moderate!$F$10)+W86*(Inputs!$B$14-ILP_B_Moderate!$F$11)+X86*(Inputs!$B$15-ILP_B_Moderate!$F$12)+Y86*(Inputs!$B$16-ILP_B_Moderate!$F$13)</f>
        <v>25010.155649217035</v>
      </c>
      <c r="AK86" s="45">
        <f t="shared" ca="1" si="57"/>
        <v>0</v>
      </c>
      <c r="AL86" s="45">
        <f t="shared" ca="1" si="58"/>
        <v>0</v>
      </c>
      <c r="AM86" s="45">
        <f t="shared" ca="1" si="59"/>
        <v>0</v>
      </c>
      <c r="AN86" s="45">
        <f t="shared" ca="1" si="60"/>
        <v>0</v>
      </c>
      <c r="AO86" s="45">
        <f ca="1">MIN(AL86,Inputs!$B$36)</f>
        <v>0</v>
      </c>
      <c r="AP86" s="45">
        <f ca="1">MIN(AN86,Inputs!$B$36-AO86)</f>
        <v>0</v>
      </c>
      <c r="AQ86" s="45">
        <f ca="1">MIN(AM86,Inputs!$B$36-AO86-AP86)</f>
        <v>0</v>
      </c>
      <c r="AR86" s="45">
        <f t="shared" ca="1" si="61"/>
        <v>0</v>
      </c>
      <c r="AS86" s="45">
        <f t="shared" ca="1" si="62"/>
        <v>0</v>
      </c>
      <c r="AT86" s="45">
        <f t="shared" ca="1" si="63"/>
        <v>0</v>
      </c>
      <c r="AU86" s="45">
        <f t="shared" ca="1" si="64"/>
        <v>0</v>
      </c>
      <c r="AV86" s="46">
        <f ca="1">AU86*Inputs!$B$35</f>
        <v>0</v>
      </c>
      <c r="AW86" s="46">
        <f ca="1">AR86*Inputs!$C$6+AT86*Inputs!$C$7+AS86*Inputs!$C$8</f>
        <v>0</v>
      </c>
      <c r="AX86" s="46">
        <f t="shared" ca="1" si="65"/>
        <v>47616241.312583014</v>
      </c>
      <c r="AY86" s="46">
        <f ca="1">IF(J86&gt;1,($CD$4)*Inputs!$B$55*((Z86+AA86+AB86)/(SUM(ILP_B_Moderate!$C$9:$E$13))),0)</f>
        <v>571279.63449733774</v>
      </c>
      <c r="AZ86" s="46">
        <f t="shared" ca="1" si="66"/>
        <v>0</v>
      </c>
      <c r="BA86" s="41">
        <f t="shared" ca="1" si="67"/>
        <v>0</v>
      </c>
      <c r="BB86" s="41">
        <f t="shared" ca="1" si="68"/>
        <v>1</v>
      </c>
      <c r="BC86" s="41">
        <f t="shared" ca="1" si="69"/>
        <v>1</v>
      </c>
      <c r="BD86" s="41">
        <f t="shared" ca="1" si="70"/>
        <v>1</v>
      </c>
    </row>
    <row r="87" spans="1:56" ht="15" customHeight="1" x14ac:dyDescent="0.3">
      <c r="A87" s="41">
        <v>80</v>
      </c>
      <c r="B87" s="42">
        <f t="shared" ca="1" si="52"/>
        <v>0.79109854975345772</v>
      </c>
      <c r="C87" s="43">
        <f ca="1">IF(B87&lt;=Inputs!$C$40,Inputs!$D$40,IF(B87&lt;=Inputs!$C$41,Inputs!$D$41,Inputs!$D$42))</f>
        <v>1.1499999999999999</v>
      </c>
      <c r="D87" s="42">
        <f t="shared" ca="1" si="71"/>
        <v>0.6030436833990348</v>
      </c>
      <c r="E87" s="42">
        <f t="shared" ca="1" si="71"/>
        <v>0.10289116324532221</v>
      </c>
      <c r="F87" s="42">
        <f t="shared" ca="1" si="71"/>
        <v>0.56014064910614147</v>
      </c>
      <c r="G87" s="42">
        <f t="shared" ca="1" si="71"/>
        <v>0.42073280701166649</v>
      </c>
      <c r="H87" s="42">
        <f t="shared" ca="1" si="71"/>
        <v>0.57902497333512726</v>
      </c>
      <c r="I87" s="42">
        <f t="shared" ca="1" si="71"/>
        <v>0.30815606482580571</v>
      </c>
      <c r="J87" s="43">
        <f ca="1">IF(I87&lt;Inputs!$B$54,1+Inputs!$B$55,1)</f>
        <v>1</v>
      </c>
      <c r="K87" s="42">
        <f t="shared" ca="1" si="72"/>
        <v>0.86376179011409926</v>
      </c>
      <c r="L87" s="42">
        <f t="shared" ca="1" si="72"/>
        <v>0.33323813214382914</v>
      </c>
      <c r="M87" s="42">
        <f t="shared" ca="1" si="72"/>
        <v>0.94379790042124667</v>
      </c>
      <c r="N87" s="42">
        <f t="shared" ca="1" si="72"/>
        <v>2.1443872060578961E-2</v>
      </c>
      <c r="O87" s="42">
        <f t="shared" ca="1" si="72"/>
        <v>0.11778599289710245</v>
      </c>
      <c r="P87" s="42">
        <f t="shared" ca="1" si="72"/>
        <v>0.63527046628068418</v>
      </c>
      <c r="Q87" s="42">
        <f t="shared" ca="1" si="72"/>
        <v>0.74332577389518029</v>
      </c>
      <c r="R87" s="42">
        <f t="shared" ca="1" si="72"/>
        <v>6.1049512192785871E-2</v>
      </c>
      <c r="S87" s="42">
        <f t="shared" ca="1" si="72"/>
        <v>0.13030101509857295</v>
      </c>
      <c r="T87" s="42">
        <f t="shared" ca="1" si="72"/>
        <v>0.40504964669277688</v>
      </c>
      <c r="U87" s="44">
        <f ca="1">(IF(D87&gt;=Inputs!$E$12,1,IF(K87&lt;=Inputs!$C$46,Inputs!$D$46,IF(K87&lt;=Inputs!$C$47,Inputs!$D$47,Inputs!$D$48))))*((Inputs!$B$28+(P87-0.5)*2*Inputs!$B$53)/Inputs!$B$28)</f>
        <v>1.001369134274096</v>
      </c>
      <c r="V87" s="44">
        <f ca="1">(IF(E87&gt;=Inputs!$E$13,1,IF(L87&lt;=Inputs!$C$46,Inputs!$D$46,IF(L87&lt;=Inputs!$C$47,Inputs!$D$47,Inputs!$D$48))))*((Inputs!$B$29+(Q87-0.5)*2*Inputs!$B$53)/Inputs!$B$29)</f>
        <v>0.60147172847114005</v>
      </c>
      <c r="W87" s="44">
        <f ca="1">(IF(F87&gt;=Inputs!$E$14,1,IF(M87&lt;=Inputs!$C$46,Inputs!$D$46,IF(M87&lt;=Inputs!$C$47,Inputs!$D$47,Inputs!$D$48))))*((Inputs!$B$30+(R87-0.5)*2*Inputs!$B$53)/Inputs!$B$30)</f>
        <v>0.99558843730847024</v>
      </c>
      <c r="X87" s="44">
        <f ca="1">(IF(G87&gt;=Inputs!$E$15,1,IF(N87&lt;=Inputs!$C$46,Inputs!$D$46,IF(N87&lt;=Inputs!$C$47,Inputs!$D$47,Inputs!$D$48))))*((Inputs!$B$31+(S87-0.5)*2*Inputs!$B$53)/Inputs!$B$31)</f>
        <v>0.9962467108131835</v>
      </c>
      <c r="Y87" s="44">
        <f ca="1">(IF(H87&gt;=Inputs!$E$16,1,IF(O87&lt;=Inputs!$C$46,Inputs!$D$46,IF(O87&lt;=Inputs!$C$47,Inputs!$D$47,Inputs!$D$48))))*((Inputs!$B$32+(T87-0.5)*2*Inputs!$B$53)/Inputs!$B$32)</f>
        <v>0.99904476505727147</v>
      </c>
      <c r="Z87" s="45">
        <f ca="1">ILP_B_Moderate!$C$9*U87+ILP_B_Moderate!$C$10*V87+ILP_B_Moderate!$C$11*W87+ILP_B_Moderate!$C$12*X87+ILP_B_Moderate!$C$13*Y87</f>
        <v>16430.139850516469</v>
      </c>
      <c r="AA87" s="45">
        <f ca="1">ILP_B_Moderate!$D$9*U87+ILP_B_Moderate!$D$10*V87+ILP_B_Moderate!$D$11*W87+ILP_B_Moderate!$D$12*X87+ILP_B_Moderate!$D$13*Y87</f>
        <v>12006.861236429497</v>
      </c>
      <c r="AB87" s="45">
        <f ca="1">ILP_B_Moderate!$E$9*U87+ILP_B_Moderate!$E$10*V87+ILP_B_Moderate!$E$11*W87+ILP_B_Moderate!$E$12*X87+ILP_B_Moderate!$E$13*Y87</f>
        <v>11002.189635937497</v>
      </c>
      <c r="AC87" s="45">
        <f ca="1">Inputs!$B$6*$C87</f>
        <v>20700</v>
      </c>
      <c r="AD87" s="45">
        <f ca="1">Inputs!$B$7*$C87</f>
        <v>17250</v>
      </c>
      <c r="AE87" s="45">
        <f ca="1">Inputs!$B$8*$C87</f>
        <v>13799.999999999998</v>
      </c>
      <c r="AF87" s="45">
        <f t="shared" ca="1" si="53"/>
        <v>4269.8601494835311</v>
      </c>
      <c r="AG87" s="45">
        <f t="shared" ca="1" si="54"/>
        <v>5243.1387635705032</v>
      </c>
      <c r="AH87" s="45">
        <f t="shared" ca="1" si="55"/>
        <v>2797.8103640625013</v>
      </c>
      <c r="AI87" s="45">
        <f t="shared" ca="1" si="56"/>
        <v>12310.809277116536</v>
      </c>
      <c r="AJ87" s="45">
        <f ca="1">U87*(Inputs!$B$12-ILP_B_Moderate!$F$9)+V87*(Inputs!$B$13-ILP_B_Moderate!$F$10)+W87*(Inputs!$B$14-ILP_B_Moderate!$F$11)+X87*(Inputs!$B$15-ILP_B_Moderate!$F$12)+Y87*(Inputs!$B$16-ILP_B_Moderate!$F$13)</f>
        <v>24886.60131472542</v>
      </c>
      <c r="AK87" s="45">
        <f t="shared" ca="1" si="57"/>
        <v>12310.809277116536</v>
      </c>
      <c r="AL87" s="45">
        <f t="shared" ca="1" si="58"/>
        <v>0</v>
      </c>
      <c r="AM87" s="45">
        <f t="shared" ca="1" si="59"/>
        <v>0</v>
      </c>
      <c r="AN87" s="45">
        <f t="shared" ca="1" si="60"/>
        <v>0</v>
      </c>
      <c r="AO87" s="45">
        <f ca="1">MIN(AL87,Inputs!$B$36)</f>
        <v>0</v>
      </c>
      <c r="AP87" s="45">
        <f ca="1">MIN(AN87,Inputs!$B$36-AO87)</f>
        <v>0</v>
      </c>
      <c r="AQ87" s="45">
        <f ca="1">MIN(AM87,Inputs!$B$36-AO87-AP87)</f>
        <v>0</v>
      </c>
      <c r="AR87" s="45">
        <f t="shared" ca="1" si="61"/>
        <v>0</v>
      </c>
      <c r="AS87" s="45">
        <f t="shared" ca="1" si="62"/>
        <v>0</v>
      </c>
      <c r="AT87" s="45">
        <f t="shared" ca="1" si="63"/>
        <v>0</v>
      </c>
      <c r="AU87" s="45">
        <f t="shared" ca="1" si="64"/>
        <v>0</v>
      </c>
      <c r="AV87" s="46">
        <f ca="1">AU87*Inputs!$B$35</f>
        <v>0</v>
      </c>
      <c r="AW87" s="46">
        <f ca="1">AR87*Inputs!$C$6+AT87*Inputs!$C$7+AS87*Inputs!$C$8</f>
        <v>0</v>
      </c>
      <c r="AX87" s="46">
        <f t="shared" ca="1" si="65"/>
        <v>41701185.79877454</v>
      </c>
      <c r="AY87" s="46">
        <f ca="1">IF(J87&gt;1,($CD$4)*Inputs!$B$55*((Z87+AA87+AB87)/(SUM(ILP_B_Moderate!$C$9:$E$13))),0)</f>
        <v>0</v>
      </c>
      <c r="AZ87" s="46">
        <f t="shared" ca="1" si="66"/>
        <v>0</v>
      </c>
      <c r="BA87" s="41">
        <f t="shared" ca="1" si="67"/>
        <v>0</v>
      </c>
      <c r="BB87" s="41">
        <f t="shared" ca="1" si="68"/>
        <v>1</v>
      </c>
      <c r="BC87" s="41">
        <f t="shared" ca="1" si="69"/>
        <v>1</v>
      </c>
      <c r="BD87" s="41">
        <f t="shared" ca="1" si="70"/>
        <v>1</v>
      </c>
    </row>
    <row r="88" spans="1:56" ht="15" customHeight="1" x14ac:dyDescent="0.3">
      <c r="A88" s="41">
        <v>81</v>
      </c>
      <c r="B88" s="42">
        <f t="shared" ca="1" si="52"/>
        <v>0.21242776662765528</v>
      </c>
      <c r="C88" s="43">
        <f ca="1">IF(B88&lt;=Inputs!$C$40,Inputs!$D$40,IF(B88&lt;=Inputs!$C$41,Inputs!$D$41,Inputs!$D$42))</f>
        <v>1</v>
      </c>
      <c r="D88" s="42">
        <f t="shared" ref="D88:I97" ca="1" si="73">RAND()</f>
        <v>0.85270941765851438</v>
      </c>
      <c r="E88" s="42">
        <f t="shared" ca="1" si="73"/>
        <v>0.40535393596141611</v>
      </c>
      <c r="F88" s="42">
        <f t="shared" ca="1" si="73"/>
        <v>0.66360986093867014</v>
      </c>
      <c r="G88" s="42">
        <f t="shared" ca="1" si="73"/>
        <v>0.18849693806185941</v>
      </c>
      <c r="H88" s="42">
        <f t="shared" ca="1" si="73"/>
        <v>0.184940962846042</v>
      </c>
      <c r="I88" s="42">
        <f t="shared" ca="1" si="73"/>
        <v>0.92975220991858654</v>
      </c>
      <c r="J88" s="43">
        <f ca="1">IF(I88&lt;Inputs!$B$54,1+Inputs!$B$55,1)</f>
        <v>1</v>
      </c>
      <c r="K88" s="42">
        <f t="shared" ref="K88:T97" ca="1" si="74">RAND()</f>
        <v>0.3807325986747524</v>
      </c>
      <c r="L88" s="42">
        <f t="shared" ca="1" si="74"/>
        <v>0.52104698343416533</v>
      </c>
      <c r="M88" s="42">
        <f t="shared" ca="1" si="74"/>
        <v>0.34798318735318057</v>
      </c>
      <c r="N88" s="42">
        <f t="shared" ca="1" si="74"/>
        <v>0.41139487046708367</v>
      </c>
      <c r="O88" s="42">
        <f t="shared" ca="1" si="74"/>
        <v>0.8320821446545339</v>
      </c>
      <c r="P88" s="42">
        <f t="shared" ca="1" si="74"/>
        <v>0.7382875408969507</v>
      </c>
      <c r="Q88" s="42">
        <f t="shared" ca="1" si="74"/>
        <v>0.24231284850121981</v>
      </c>
      <c r="R88" s="42">
        <f t="shared" ca="1" si="74"/>
        <v>0.72196365555705511</v>
      </c>
      <c r="S88" s="42">
        <f t="shared" ca="1" si="74"/>
        <v>0.26755571101317344</v>
      </c>
      <c r="T88" s="42">
        <f t="shared" ca="1" si="74"/>
        <v>0.20244895041545918</v>
      </c>
      <c r="U88" s="44">
        <f ca="1">(IF(D88&gt;=Inputs!$E$12,1,IF(K88&lt;=Inputs!$C$46,Inputs!$D$46,IF(K88&lt;=Inputs!$C$47,Inputs!$D$47,Inputs!$D$48))))*((Inputs!$B$28+(P88-0.5)*2*Inputs!$B$53)/Inputs!$B$28)</f>
        <v>1.0024118172155563</v>
      </c>
      <c r="V88" s="44">
        <f ca="1">(IF(E88&gt;=Inputs!$E$13,1,IF(L88&lt;=Inputs!$C$46,Inputs!$D$46,IF(L88&lt;=Inputs!$C$47,Inputs!$D$47,Inputs!$D$48))))*((Inputs!$B$29+(Q88-0.5)*2*Inputs!$B$53)/Inputs!$B$29)</f>
        <v>0.99740234726311716</v>
      </c>
      <c r="W88" s="44">
        <f ca="1">(IF(F88&gt;=Inputs!$E$14,1,IF(M88&lt;=Inputs!$C$46,Inputs!$D$46,IF(M88&lt;=Inputs!$C$47,Inputs!$D$47,Inputs!$D$48))))*((Inputs!$B$30+(R88-0.5)*2*Inputs!$B$53)/Inputs!$B$30)</f>
        <v>1.0022307905081111</v>
      </c>
      <c r="X88" s="44">
        <f ca="1">(IF(G88&gt;=Inputs!$E$15,1,IF(N88&lt;=Inputs!$C$46,Inputs!$D$46,IF(N88&lt;=Inputs!$C$47,Inputs!$D$47,Inputs!$D$48))))*((Inputs!$B$31+(S88-0.5)*2*Inputs!$B$53)/Inputs!$B$31)</f>
        <v>0.99764015950267182</v>
      </c>
      <c r="Y88" s="44">
        <f ca="1">(IF(H88&gt;=Inputs!$E$16,1,IF(O88&lt;=Inputs!$C$46,Inputs!$D$46,IF(O88&lt;=Inputs!$C$47,Inputs!$D$47,Inputs!$D$48))))*((Inputs!$B$32+(T88-0.5)*2*Inputs!$B$53)/Inputs!$B$32)</f>
        <v>0.99700652867621187</v>
      </c>
      <c r="Z88" s="45">
        <f ca="1">ILP_B_Moderate!$C$9*U88+ILP_B_Moderate!$C$10*V88+ILP_B_Moderate!$C$11*W88+ILP_B_Moderate!$C$12*X88+ILP_B_Moderate!$C$13*Y88</f>
        <v>17981.071122808207</v>
      </c>
      <c r="AA88" s="45">
        <f ca="1">ILP_B_Moderate!$D$9*U88+ILP_B_Moderate!$D$10*V88+ILP_B_Moderate!$D$11*W88+ILP_B_Moderate!$D$12*X88+ILP_B_Moderate!$D$13*Y88</f>
        <v>14985.150158839715</v>
      </c>
      <c r="AB88" s="45">
        <f ca="1">ILP_B_Moderate!$E$9*U88+ILP_B_Moderate!$E$10*V88+ILP_B_Moderate!$E$11*W88+ILP_B_Moderate!$E$12*X88+ILP_B_Moderate!$E$13*Y88</f>
        <v>11997.505954915263</v>
      </c>
      <c r="AC88" s="45">
        <f ca="1">Inputs!$B$6*$C88</f>
        <v>18000</v>
      </c>
      <c r="AD88" s="45">
        <f ca="1">Inputs!$B$7*$C88</f>
        <v>15000</v>
      </c>
      <c r="AE88" s="45">
        <f ca="1">Inputs!$B$8*$C88</f>
        <v>12000</v>
      </c>
      <c r="AF88" s="45">
        <f t="shared" ca="1" si="53"/>
        <v>18.928877191792708</v>
      </c>
      <c r="AG88" s="45">
        <f t="shared" ca="1" si="54"/>
        <v>14.849841160284996</v>
      </c>
      <c r="AH88" s="45">
        <f t="shared" ca="1" si="55"/>
        <v>2.4940450847370812</v>
      </c>
      <c r="AI88" s="45">
        <f t="shared" ca="1" si="56"/>
        <v>36.272763436814785</v>
      </c>
      <c r="AJ88" s="45">
        <f ca="1">U88*(Inputs!$B$12-ILP_B_Moderate!$F$9)+V88*(Inputs!$B$13-ILP_B_Moderate!$F$10)+W88*(Inputs!$B$14-ILP_B_Moderate!$F$11)+X88*(Inputs!$B$15-ILP_B_Moderate!$F$12)+Y88*(Inputs!$B$16-ILP_B_Moderate!$F$13)</f>
        <v>24994.274821350038</v>
      </c>
      <c r="AK88" s="45">
        <f t="shared" ca="1" si="57"/>
        <v>36.272763436814785</v>
      </c>
      <c r="AL88" s="45">
        <f t="shared" ca="1" si="58"/>
        <v>0</v>
      </c>
      <c r="AM88" s="45">
        <f t="shared" ca="1" si="59"/>
        <v>0</v>
      </c>
      <c r="AN88" s="45">
        <f t="shared" ca="1" si="60"/>
        <v>0</v>
      </c>
      <c r="AO88" s="45">
        <f ca="1">MIN(AL88,Inputs!$B$36)</f>
        <v>0</v>
      </c>
      <c r="AP88" s="45">
        <f ca="1">MIN(AN88,Inputs!$B$36-AO88)</f>
        <v>0</v>
      </c>
      <c r="AQ88" s="45">
        <f ca="1">MIN(AM88,Inputs!$B$36-AO88-AP88)</f>
        <v>0</v>
      </c>
      <c r="AR88" s="45">
        <f t="shared" ca="1" si="61"/>
        <v>0</v>
      </c>
      <c r="AS88" s="45">
        <f t="shared" ca="1" si="62"/>
        <v>0</v>
      </c>
      <c r="AT88" s="45">
        <f t="shared" ca="1" si="63"/>
        <v>0</v>
      </c>
      <c r="AU88" s="45">
        <f t="shared" ca="1" si="64"/>
        <v>0</v>
      </c>
      <c r="AV88" s="46">
        <f ca="1">AU88*Inputs!$B$35</f>
        <v>0</v>
      </c>
      <c r="AW88" s="46">
        <f ca="1">AR88*Inputs!$C$6+AT88*Inputs!$C$7+AS88*Inputs!$C$8</f>
        <v>0</v>
      </c>
      <c r="AX88" s="46">
        <f t="shared" ca="1" si="65"/>
        <v>47530871.915123001</v>
      </c>
      <c r="AY88" s="46">
        <f ca="1">IF(J88&gt;1,($CD$4)*Inputs!$B$55*((Z88+AA88+AB88)/(SUM(ILP_B_Moderate!$C$9:$E$13))),0)</f>
        <v>0</v>
      </c>
      <c r="AZ88" s="46">
        <f t="shared" ca="1" si="66"/>
        <v>0</v>
      </c>
      <c r="BA88" s="41">
        <f t="shared" ca="1" si="67"/>
        <v>0</v>
      </c>
      <c r="BB88" s="41">
        <f t="shared" ca="1" si="68"/>
        <v>1</v>
      </c>
      <c r="BC88" s="41">
        <f t="shared" ca="1" si="69"/>
        <v>1</v>
      </c>
      <c r="BD88" s="41">
        <f t="shared" ca="1" si="70"/>
        <v>1</v>
      </c>
    </row>
    <row r="89" spans="1:56" ht="15" customHeight="1" x14ac:dyDescent="0.3">
      <c r="A89" s="41">
        <v>82</v>
      </c>
      <c r="B89" s="42">
        <f t="shared" ca="1" si="52"/>
        <v>0.30430288475342571</v>
      </c>
      <c r="C89" s="43">
        <f ca="1">IF(B89&lt;=Inputs!$C$40,Inputs!$D$40,IF(B89&lt;=Inputs!$C$41,Inputs!$D$41,Inputs!$D$42))</f>
        <v>1</v>
      </c>
      <c r="D89" s="42">
        <f t="shared" ca="1" si="73"/>
        <v>0.79792683104083872</v>
      </c>
      <c r="E89" s="42">
        <f t="shared" ca="1" si="73"/>
        <v>0.30265661716507664</v>
      </c>
      <c r="F89" s="42">
        <f t="shared" ca="1" si="73"/>
        <v>0.98153676642695042</v>
      </c>
      <c r="G89" s="42">
        <f t="shared" ca="1" si="73"/>
        <v>5.8863887615750454E-2</v>
      </c>
      <c r="H89" s="42">
        <f t="shared" ca="1" si="73"/>
        <v>0.48342997563127821</v>
      </c>
      <c r="I89" s="42">
        <f t="shared" ca="1" si="73"/>
        <v>0.59348399823659503</v>
      </c>
      <c r="J89" s="43">
        <f ca="1">IF(I89&lt;Inputs!$B$54,1+Inputs!$B$55,1)</f>
        <v>1</v>
      </c>
      <c r="K89" s="42">
        <f t="shared" ca="1" si="74"/>
        <v>0.76301153139209155</v>
      </c>
      <c r="L89" s="42">
        <f t="shared" ca="1" si="74"/>
        <v>0.76132669784191143</v>
      </c>
      <c r="M89" s="42">
        <f t="shared" ca="1" si="74"/>
        <v>0.1851026398070299</v>
      </c>
      <c r="N89" s="42">
        <f t="shared" ca="1" si="74"/>
        <v>0.98555306514417518</v>
      </c>
      <c r="O89" s="42">
        <f t="shared" ca="1" si="74"/>
        <v>0.91113692810061153</v>
      </c>
      <c r="P89" s="42">
        <f t="shared" ca="1" si="74"/>
        <v>0.90399165655134806</v>
      </c>
      <c r="Q89" s="42">
        <f t="shared" ca="1" si="74"/>
        <v>0.90288295911654404</v>
      </c>
      <c r="R89" s="42">
        <f t="shared" ca="1" si="74"/>
        <v>0.44361394683523137</v>
      </c>
      <c r="S89" s="42">
        <f t="shared" ca="1" si="74"/>
        <v>7.2669282993835793E-3</v>
      </c>
      <c r="T89" s="42">
        <f t="shared" ca="1" si="74"/>
        <v>0.13547740033155065</v>
      </c>
      <c r="U89" s="44">
        <f ca="1">(IF(D89&gt;=Inputs!$E$12,1,IF(K89&lt;=Inputs!$C$46,Inputs!$D$46,IF(K89&lt;=Inputs!$C$47,Inputs!$D$47,Inputs!$D$48))))*((Inputs!$B$28+(P89-0.5)*2*Inputs!$B$53)/Inputs!$B$28)</f>
        <v>1.0040889843780501</v>
      </c>
      <c r="V89" s="44">
        <f ca="1">(IF(E89&gt;=Inputs!$E$13,1,IF(L89&lt;=Inputs!$C$46,Inputs!$D$46,IF(L89&lt;=Inputs!$C$47,Inputs!$D$47,Inputs!$D$48))))*((Inputs!$B$29+(Q89-0.5)*2*Inputs!$B$53)/Inputs!$B$29)</f>
        <v>1.0040613201523845</v>
      </c>
      <c r="W89" s="44">
        <f ca="1">(IF(F89&gt;=Inputs!$E$14,1,IF(M89&lt;=Inputs!$C$46,Inputs!$D$46,IF(M89&lt;=Inputs!$C$47,Inputs!$D$47,Inputs!$D$48))))*((Inputs!$B$30+(R89-0.5)*2*Inputs!$B$53)/Inputs!$B$30)</f>
        <v>0.99943330599834401</v>
      </c>
      <c r="X89" s="44">
        <f ca="1">(IF(G89&gt;=Inputs!$E$15,1,IF(N89&lt;=Inputs!$C$46,Inputs!$D$46,IF(N89&lt;=Inputs!$C$47,Inputs!$D$47,Inputs!$D$48))))*((Inputs!$B$31+(S89-0.5)*2*Inputs!$B$53)/Inputs!$B$31)</f>
        <v>0</v>
      </c>
      <c r="Y89" s="44">
        <f ca="1">(IF(H89&gt;=Inputs!$E$16,1,IF(O89&lt;=Inputs!$C$46,Inputs!$D$46,IF(O89&lt;=Inputs!$C$47,Inputs!$D$47,Inputs!$D$48))))*((Inputs!$B$32+(T89-0.5)*2*Inputs!$B$53)/Inputs!$B$32)</f>
        <v>0.99633277062707803</v>
      </c>
      <c r="Z89" s="45">
        <f ca="1">ILP_B_Moderate!$C$9*U89+ILP_B_Moderate!$C$10*V89+ILP_B_Moderate!$C$11*W89+ILP_B_Moderate!$C$12*X89+ILP_B_Moderate!$C$13*Y89</f>
        <v>9036.6937435206728</v>
      </c>
      <c r="AA89" s="45">
        <f ca="1">ILP_B_Moderate!$D$9*U89+ILP_B_Moderate!$D$10*V89+ILP_B_Moderate!$D$11*W89+ILP_B_Moderate!$D$12*X89+ILP_B_Moderate!$D$13*Y89</f>
        <v>12229.596348032159</v>
      </c>
      <c r="AB89" s="45">
        <f ca="1">ILP_B_Moderate!$E$9*U89+ILP_B_Moderate!$E$10*V89+ILP_B_Moderate!$E$11*W89+ILP_B_Moderate!$E$12*X89+ILP_B_Moderate!$E$13*Y89</f>
        <v>12021.975560636442</v>
      </c>
      <c r="AC89" s="45">
        <f ca="1">Inputs!$B$6*$C89</f>
        <v>18000</v>
      </c>
      <c r="AD89" s="45">
        <f ca="1">Inputs!$B$7*$C89</f>
        <v>15000</v>
      </c>
      <c r="AE89" s="45">
        <f ca="1">Inputs!$B$8*$C89</f>
        <v>12000</v>
      </c>
      <c r="AF89" s="45">
        <f t="shared" ca="1" si="53"/>
        <v>8963.3062564793272</v>
      </c>
      <c r="AG89" s="45">
        <f t="shared" ca="1" si="54"/>
        <v>2770.4036519678411</v>
      </c>
      <c r="AH89" s="45">
        <f t="shared" ca="1" si="55"/>
        <v>0</v>
      </c>
      <c r="AI89" s="45">
        <f t="shared" ca="1" si="56"/>
        <v>11733.709908447168</v>
      </c>
      <c r="AJ89" s="45">
        <f ca="1">U89*(Inputs!$B$12-ILP_B_Moderate!$F$9)+V89*(Inputs!$B$13-ILP_B_Moderate!$F$10)+W89*(Inputs!$B$14-ILP_B_Moderate!$F$11)+X89*(Inputs!$B$15-ILP_B_Moderate!$F$12)+Y89*(Inputs!$B$16-ILP_B_Moderate!$F$13)</f>
        <v>24771.641117377556</v>
      </c>
      <c r="AK89" s="45">
        <f t="shared" ca="1" si="57"/>
        <v>11733.709908447168</v>
      </c>
      <c r="AL89" s="45">
        <f t="shared" ca="1" si="58"/>
        <v>0</v>
      </c>
      <c r="AM89" s="45">
        <f t="shared" ca="1" si="59"/>
        <v>0</v>
      </c>
      <c r="AN89" s="45">
        <f t="shared" ca="1" si="60"/>
        <v>0</v>
      </c>
      <c r="AO89" s="45">
        <f ca="1">MIN(AL89,Inputs!$B$36)</f>
        <v>0</v>
      </c>
      <c r="AP89" s="45">
        <f ca="1">MIN(AN89,Inputs!$B$36-AO89)</f>
        <v>0</v>
      </c>
      <c r="AQ89" s="45">
        <f ca="1">MIN(AM89,Inputs!$B$36-AO89-AP89)</f>
        <v>0</v>
      </c>
      <c r="AR89" s="45">
        <f t="shared" ca="1" si="61"/>
        <v>0</v>
      </c>
      <c r="AS89" s="45">
        <f t="shared" ca="1" si="62"/>
        <v>0</v>
      </c>
      <c r="AT89" s="45">
        <f t="shared" ca="1" si="63"/>
        <v>0</v>
      </c>
      <c r="AU89" s="45">
        <f t="shared" ca="1" si="64"/>
        <v>0</v>
      </c>
      <c r="AV89" s="46">
        <f ca="1">AU89*Inputs!$B$35</f>
        <v>0</v>
      </c>
      <c r="AW89" s="46">
        <f ca="1">AR89*Inputs!$C$6+AT89*Inputs!$C$7+AS89*Inputs!$C$8</f>
        <v>0</v>
      </c>
      <c r="AX89" s="46">
        <f t="shared" ca="1" si="65"/>
        <v>35432482.836944461</v>
      </c>
      <c r="AY89" s="46">
        <f ca="1">IF(J89&gt;1,($CD$4)*Inputs!$B$55*((Z89+AA89+AB89)/(SUM(ILP_B_Moderate!$C$9:$E$13))),0)</f>
        <v>0</v>
      </c>
      <c r="AZ89" s="46">
        <f t="shared" ca="1" si="66"/>
        <v>0</v>
      </c>
      <c r="BA89" s="41">
        <f t="shared" ca="1" si="67"/>
        <v>0</v>
      </c>
      <c r="BB89" s="41">
        <f t="shared" ca="1" si="68"/>
        <v>1</v>
      </c>
      <c r="BC89" s="41">
        <f t="shared" ca="1" si="69"/>
        <v>1</v>
      </c>
      <c r="BD89" s="41">
        <f t="shared" ca="1" si="70"/>
        <v>1</v>
      </c>
    </row>
    <row r="90" spans="1:56" ht="15" customHeight="1" x14ac:dyDescent="0.3">
      <c r="A90" s="41">
        <v>83</v>
      </c>
      <c r="B90" s="42">
        <f t="shared" ca="1" si="52"/>
        <v>0.62161196581360401</v>
      </c>
      <c r="C90" s="43">
        <f ca="1">IF(B90&lt;=Inputs!$C$40,Inputs!$D$40,IF(B90&lt;=Inputs!$C$41,Inputs!$D$41,Inputs!$D$42))</f>
        <v>1</v>
      </c>
      <c r="D90" s="42">
        <f t="shared" ca="1" si="73"/>
        <v>0.2128833655488418</v>
      </c>
      <c r="E90" s="42">
        <f t="shared" ca="1" si="73"/>
        <v>0.43486297559713527</v>
      </c>
      <c r="F90" s="42">
        <f t="shared" ca="1" si="73"/>
        <v>0.51928377516961965</v>
      </c>
      <c r="G90" s="42">
        <f t="shared" ca="1" si="73"/>
        <v>0.84546840204080176</v>
      </c>
      <c r="H90" s="42">
        <f t="shared" ca="1" si="73"/>
        <v>0.44323793036160142</v>
      </c>
      <c r="I90" s="42">
        <f t="shared" ca="1" si="73"/>
        <v>0.16557106066070804</v>
      </c>
      <c r="J90" s="43">
        <f ca="1">IF(I90&lt;Inputs!$B$54,1+Inputs!$B$55,1)</f>
        <v>1</v>
      </c>
      <c r="K90" s="42">
        <f t="shared" ca="1" si="74"/>
        <v>0.875752300986539</v>
      </c>
      <c r="L90" s="42">
        <f t="shared" ca="1" si="74"/>
        <v>0.18017630326266632</v>
      </c>
      <c r="M90" s="42">
        <f t="shared" ca="1" si="74"/>
        <v>0.33509394844583951</v>
      </c>
      <c r="N90" s="42">
        <f t="shared" ca="1" si="74"/>
        <v>0.32082489655990487</v>
      </c>
      <c r="O90" s="42">
        <f t="shared" ca="1" si="74"/>
        <v>0.83116451570400607</v>
      </c>
      <c r="P90" s="42">
        <f t="shared" ca="1" si="74"/>
        <v>3.7006153886890436E-2</v>
      </c>
      <c r="Q90" s="42">
        <f t="shared" ca="1" si="74"/>
        <v>0.20194478526126947</v>
      </c>
      <c r="R90" s="42">
        <f t="shared" ca="1" si="74"/>
        <v>7.2358136883701629E-2</v>
      </c>
      <c r="S90" s="42">
        <f t="shared" ca="1" si="74"/>
        <v>0.49696568232991389</v>
      </c>
      <c r="T90" s="42">
        <f t="shared" ca="1" si="74"/>
        <v>0.1833446672741873</v>
      </c>
      <c r="U90" s="44">
        <f ca="1">(IF(D90&gt;=Inputs!$E$12,1,IF(K90&lt;=Inputs!$C$46,Inputs!$D$46,IF(K90&lt;=Inputs!$C$47,Inputs!$D$47,Inputs!$D$48))))*((Inputs!$B$28+(P90-0.5)*2*Inputs!$B$53)/Inputs!$B$28)</f>
        <v>0.99531382746849073</v>
      </c>
      <c r="V90" s="44">
        <f ca="1">(IF(E90&gt;=Inputs!$E$13,1,IF(L90&lt;=Inputs!$C$46,Inputs!$D$46,IF(L90&lt;=Inputs!$C$47,Inputs!$D$47,Inputs!$D$48))))*((Inputs!$B$29+(Q90-0.5)*2*Inputs!$B$53)/Inputs!$B$29)</f>
        <v>0.99699541114174661</v>
      </c>
      <c r="W90" s="44">
        <f ca="1">(IF(F90&gt;=Inputs!$E$14,1,IF(M90&lt;=Inputs!$C$46,Inputs!$D$46,IF(M90&lt;=Inputs!$C$47,Inputs!$D$47,Inputs!$D$48))))*((Inputs!$B$30+(R90-0.5)*2*Inputs!$B$53)/Inputs!$B$30)</f>
        <v>0.99570209182797687</v>
      </c>
      <c r="X90" s="44">
        <f ca="1">(IF(G90&gt;=Inputs!$E$15,1,IF(N90&lt;=Inputs!$C$46,Inputs!$D$46,IF(N90&lt;=Inputs!$C$47,Inputs!$D$47,Inputs!$D$48))))*((Inputs!$B$31+(S90-0.5)*2*Inputs!$B$53)/Inputs!$B$31)</f>
        <v>0.99996919474446622</v>
      </c>
      <c r="Y90" s="44">
        <f ca="1">(IF(H90&gt;=Inputs!$E$16,1,IF(O90&lt;=Inputs!$C$46,Inputs!$D$46,IF(O90&lt;=Inputs!$C$47,Inputs!$D$47,Inputs!$D$48))))*((Inputs!$B$32+(T90-0.5)*2*Inputs!$B$53)/Inputs!$B$32)</f>
        <v>0.99681433266875441</v>
      </c>
      <c r="Z90" s="45">
        <f ca="1">ILP_B_Moderate!$C$9*U90+ILP_B_Moderate!$C$10*V90+ILP_B_Moderate!$C$11*W90+ILP_B_Moderate!$C$12*X90+ILP_B_Moderate!$C$13*Y90</f>
        <v>17964.058291899459</v>
      </c>
      <c r="AA90" s="45">
        <f ca="1">ILP_B_Moderate!$D$9*U90+ILP_B_Moderate!$D$10*V90+ILP_B_Moderate!$D$11*W90+ILP_B_Moderate!$D$12*X90+ILP_B_Moderate!$D$13*Y90</f>
        <v>14955.447425295029</v>
      </c>
      <c r="AB90" s="45">
        <f ca="1">ILP_B_Moderate!$E$9*U90+ILP_B_Moderate!$E$10*V90+ILP_B_Moderate!$E$11*W90+ILP_B_Moderate!$E$12*X90+ILP_B_Moderate!$E$13*Y90</f>
        <v>11953.224554261518</v>
      </c>
      <c r="AC90" s="45">
        <f ca="1">Inputs!$B$6*$C90</f>
        <v>18000</v>
      </c>
      <c r="AD90" s="45">
        <f ca="1">Inputs!$B$7*$C90</f>
        <v>15000</v>
      </c>
      <c r="AE90" s="45">
        <f ca="1">Inputs!$B$8*$C90</f>
        <v>12000</v>
      </c>
      <c r="AF90" s="45">
        <f t="shared" ca="1" si="53"/>
        <v>35.941708100541291</v>
      </c>
      <c r="AG90" s="45">
        <f t="shared" ca="1" si="54"/>
        <v>44.552574704970539</v>
      </c>
      <c r="AH90" s="45">
        <f t="shared" ca="1" si="55"/>
        <v>46.775445738481721</v>
      </c>
      <c r="AI90" s="45">
        <f t="shared" ca="1" si="56"/>
        <v>127.26972854399355</v>
      </c>
      <c r="AJ90" s="45">
        <f ca="1">U90*(Inputs!$B$12-ILP_B_Moderate!$F$9)+V90*(Inputs!$B$13-ILP_B_Moderate!$F$10)+W90*(Inputs!$B$14-ILP_B_Moderate!$F$11)+X90*(Inputs!$B$15-ILP_B_Moderate!$F$12)+Y90*(Inputs!$B$16-ILP_B_Moderate!$F$13)</f>
        <v>24906.199244752905</v>
      </c>
      <c r="AK90" s="45">
        <f t="shared" ca="1" si="57"/>
        <v>127.26972854399355</v>
      </c>
      <c r="AL90" s="45">
        <f t="shared" ca="1" si="58"/>
        <v>0</v>
      </c>
      <c r="AM90" s="45">
        <f t="shared" ca="1" si="59"/>
        <v>0</v>
      </c>
      <c r="AN90" s="45">
        <f t="shared" ca="1" si="60"/>
        <v>0</v>
      </c>
      <c r="AO90" s="45">
        <f ca="1">MIN(AL90,Inputs!$B$36)</f>
        <v>0</v>
      </c>
      <c r="AP90" s="45">
        <f ca="1">MIN(AN90,Inputs!$B$36-AO90)</f>
        <v>0</v>
      </c>
      <c r="AQ90" s="45">
        <f ca="1">MIN(AM90,Inputs!$B$36-AO90-AP90)</f>
        <v>0</v>
      </c>
      <c r="AR90" s="45">
        <f t="shared" ca="1" si="61"/>
        <v>0</v>
      </c>
      <c r="AS90" s="45">
        <f t="shared" ca="1" si="62"/>
        <v>0</v>
      </c>
      <c r="AT90" s="45">
        <f t="shared" ca="1" si="63"/>
        <v>0</v>
      </c>
      <c r="AU90" s="45">
        <f t="shared" ca="1" si="64"/>
        <v>0</v>
      </c>
      <c r="AV90" s="46">
        <f ca="1">AU90*Inputs!$B$35</f>
        <v>0</v>
      </c>
      <c r="AW90" s="46">
        <f ca="1">AR90*Inputs!$C$6+AT90*Inputs!$C$7+AS90*Inputs!$C$8</f>
        <v>0</v>
      </c>
      <c r="AX90" s="46">
        <f t="shared" ca="1" si="65"/>
        <v>47433288.648426943</v>
      </c>
      <c r="AY90" s="46">
        <f ca="1">IF(J90&gt;1,($CD$4)*Inputs!$B$55*((Z90+AA90+AB90)/(SUM(ILP_B_Moderate!$C$9:$E$13))),0)</f>
        <v>0</v>
      </c>
      <c r="AZ90" s="46">
        <f t="shared" ca="1" si="66"/>
        <v>0</v>
      </c>
      <c r="BA90" s="41">
        <f t="shared" ca="1" si="67"/>
        <v>0</v>
      </c>
      <c r="BB90" s="41">
        <f t="shared" ca="1" si="68"/>
        <v>1</v>
      </c>
      <c r="BC90" s="41">
        <f t="shared" ca="1" si="69"/>
        <v>1</v>
      </c>
      <c r="BD90" s="41">
        <f t="shared" ca="1" si="70"/>
        <v>1</v>
      </c>
    </row>
    <row r="91" spans="1:56" ht="15" customHeight="1" x14ac:dyDescent="0.3">
      <c r="A91" s="41">
        <v>84</v>
      </c>
      <c r="B91" s="42">
        <f t="shared" ca="1" si="52"/>
        <v>0.31736068152279917</v>
      </c>
      <c r="C91" s="43">
        <f ca="1">IF(B91&lt;=Inputs!$C$40,Inputs!$D$40,IF(B91&lt;=Inputs!$C$41,Inputs!$D$41,Inputs!$D$42))</f>
        <v>1</v>
      </c>
      <c r="D91" s="42">
        <f t="shared" ca="1" si="73"/>
        <v>4.6194576360830908E-2</v>
      </c>
      <c r="E91" s="42">
        <f t="shared" ca="1" si="73"/>
        <v>0.4677234833395697</v>
      </c>
      <c r="F91" s="42">
        <f t="shared" ca="1" si="73"/>
        <v>0.82767612657410583</v>
      </c>
      <c r="G91" s="42">
        <f t="shared" ca="1" si="73"/>
        <v>6.4987258531912229E-3</v>
      </c>
      <c r="H91" s="42">
        <f t="shared" ca="1" si="73"/>
        <v>0.1790742311935567</v>
      </c>
      <c r="I91" s="42">
        <f t="shared" ca="1" si="73"/>
        <v>0.1093511835849913</v>
      </c>
      <c r="J91" s="43">
        <f ca="1">IF(I91&lt;Inputs!$B$54,1+Inputs!$B$55,1)</f>
        <v>1</v>
      </c>
      <c r="K91" s="42">
        <f t="shared" ca="1" si="74"/>
        <v>0.95983892868102449</v>
      </c>
      <c r="L91" s="42">
        <f t="shared" ca="1" si="74"/>
        <v>0.60411343033284903</v>
      </c>
      <c r="M91" s="42">
        <f t="shared" ca="1" si="74"/>
        <v>0.28328153364668485</v>
      </c>
      <c r="N91" s="42">
        <f t="shared" ca="1" si="74"/>
        <v>0.64343833329138567</v>
      </c>
      <c r="O91" s="42">
        <f t="shared" ca="1" si="74"/>
        <v>0.91627050286439737</v>
      </c>
      <c r="P91" s="42">
        <f t="shared" ca="1" si="74"/>
        <v>0.27851658682309621</v>
      </c>
      <c r="Q91" s="42">
        <f t="shared" ca="1" si="74"/>
        <v>0.12690114760703064</v>
      </c>
      <c r="R91" s="42">
        <f t="shared" ca="1" si="74"/>
        <v>0.96647545366018295</v>
      </c>
      <c r="S91" s="42">
        <f t="shared" ca="1" si="74"/>
        <v>0.50634016069920351</v>
      </c>
      <c r="T91" s="42">
        <f t="shared" ca="1" si="74"/>
        <v>0.89085113508224834</v>
      </c>
      <c r="U91" s="44">
        <f ca="1">(IF(D91&gt;=Inputs!$E$12,1,IF(K91&lt;=Inputs!$C$46,Inputs!$D$46,IF(K91&lt;=Inputs!$C$47,Inputs!$D$47,Inputs!$D$48))))*((Inputs!$B$28+(P91-0.5)*2*Inputs!$B$53)/Inputs!$B$28)</f>
        <v>0</v>
      </c>
      <c r="V91" s="44">
        <f ca="1">(IF(E91&gt;=Inputs!$E$13,1,IF(L91&lt;=Inputs!$C$46,Inputs!$D$46,IF(L91&lt;=Inputs!$C$47,Inputs!$D$47,Inputs!$D$48))))*((Inputs!$B$29+(Q91-0.5)*2*Inputs!$B$53)/Inputs!$B$29)</f>
        <v>0.99623892285894178</v>
      </c>
      <c r="W91" s="44">
        <f ca="1">(IF(F91&gt;=Inputs!$E$14,1,IF(M91&lt;=Inputs!$C$46,Inputs!$D$46,IF(M91&lt;=Inputs!$C$47,Inputs!$D$47,Inputs!$D$48))))*((Inputs!$B$30+(R91-0.5)*2*Inputs!$B$53)/Inputs!$B$30)</f>
        <v>1.0046881955141727</v>
      </c>
      <c r="X91" s="44">
        <f ca="1">(IF(G91&gt;=Inputs!$E$15,1,IF(N91&lt;=Inputs!$C$46,Inputs!$D$46,IF(N91&lt;=Inputs!$C$47,Inputs!$D$47,Inputs!$D$48))))*((Inputs!$B$31+(S91-0.5)*2*Inputs!$B$53)/Inputs!$B$31)</f>
        <v>0.30001931013410926</v>
      </c>
      <c r="Y91" s="44">
        <f ca="1">(IF(H91&gt;=Inputs!$E$16,1,IF(O91&lt;=Inputs!$C$46,Inputs!$D$46,IF(O91&lt;=Inputs!$C$47,Inputs!$D$47,Inputs!$D$48))))*((Inputs!$B$32+(T91-0.5)*2*Inputs!$B$53)/Inputs!$B$32)</f>
        <v>1.0039321039746705</v>
      </c>
      <c r="Z91" s="45">
        <f ca="1">ILP_B_Moderate!$C$9*U91+ILP_B_Moderate!$C$10*V91+ILP_B_Moderate!$C$11*W91+ILP_B_Moderate!$C$12*X91+ILP_B_Moderate!$C$13*Y91</f>
        <v>6557.6109005168055</v>
      </c>
      <c r="AA91" s="45">
        <f ca="1">ILP_B_Moderate!$D$9*U91+ILP_B_Moderate!$D$10*V91+ILP_B_Moderate!$D$11*W91+ILP_B_Moderate!$D$12*X91+ILP_B_Moderate!$D$13*Y91</f>
        <v>8317.8463760202521</v>
      </c>
      <c r="AB91" s="45">
        <f ca="1">ILP_B_Moderate!$E$9*U91+ILP_B_Moderate!$E$10*V91+ILP_B_Moderate!$E$11*W91+ILP_B_Moderate!$E$12*X91+ILP_B_Moderate!$E$13*Y91</f>
        <v>6004.2365801608494</v>
      </c>
      <c r="AC91" s="45">
        <f ca="1">Inputs!$B$6*$C91</f>
        <v>18000</v>
      </c>
      <c r="AD91" s="45">
        <f ca="1">Inputs!$B$7*$C91</f>
        <v>15000</v>
      </c>
      <c r="AE91" s="45">
        <f ca="1">Inputs!$B$8*$C91</f>
        <v>12000</v>
      </c>
      <c r="AF91" s="45">
        <f t="shared" ca="1" si="53"/>
        <v>11442.389099483195</v>
      </c>
      <c r="AG91" s="45">
        <f t="shared" ca="1" si="54"/>
        <v>6682.1536239797479</v>
      </c>
      <c r="AH91" s="45">
        <f t="shared" ca="1" si="55"/>
        <v>5995.7634198391506</v>
      </c>
      <c r="AI91" s="45">
        <f t="shared" ca="1" si="56"/>
        <v>24120.306143302092</v>
      </c>
      <c r="AJ91" s="45">
        <f ca="1">U91*(Inputs!$B$12-ILP_B_Moderate!$F$9)+V91*(Inputs!$B$13-ILP_B_Moderate!$F$10)+W91*(Inputs!$B$14-ILP_B_Moderate!$F$11)+X91*(Inputs!$B$15-ILP_B_Moderate!$F$12)+Y91*(Inputs!$B$16-ILP_B_Moderate!$F$13)</f>
        <v>24787.810886240892</v>
      </c>
      <c r="AK91" s="45">
        <f t="shared" ca="1" si="57"/>
        <v>24120.306143302092</v>
      </c>
      <c r="AL91" s="45">
        <f t="shared" ca="1" si="58"/>
        <v>0</v>
      </c>
      <c r="AM91" s="45">
        <f t="shared" ca="1" si="59"/>
        <v>0</v>
      </c>
      <c r="AN91" s="45">
        <f t="shared" ca="1" si="60"/>
        <v>0</v>
      </c>
      <c r="AO91" s="45">
        <f ca="1">MIN(AL91,Inputs!$B$36)</f>
        <v>0</v>
      </c>
      <c r="AP91" s="45">
        <f ca="1">MIN(AN91,Inputs!$B$36-AO91)</f>
        <v>0</v>
      </c>
      <c r="AQ91" s="45">
        <f ca="1">MIN(AM91,Inputs!$B$36-AO91-AP91)</f>
        <v>0</v>
      </c>
      <c r="AR91" s="45">
        <f t="shared" ca="1" si="61"/>
        <v>0</v>
      </c>
      <c r="AS91" s="45">
        <f t="shared" ca="1" si="62"/>
        <v>0</v>
      </c>
      <c r="AT91" s="45">
        <f t="shared" ca="1" si="63"/>
        <v>0</v>
      </c>
      <c r="AU91" s="45">
        <f t="shared" ca="1" si="64"/>
        <v>0</v>
      </c>
      <c r="AV91" s="46">
        <f ca="1">AU91*Inputs!$B$35</f>
        <v>0</v>
      </c>
      <c r="AW91" s="46">
        <f ca="1">AR91*Inputs!$C$6+AT91*Inputs!$C$7+AS91*Inputs!$C$8</f>
        <v>0</v>
      </c>
      <c r="AX91" s="46">
        <f t="shared" ca="1" si="65"/>
        <v>22130075.321085535</v>
      </c>
      <c r="AY91" s="46">
        <f ca="1">IF(J91&gt;1,($CD$4)*Inputs!$B$55*((Z91+AA91+AB91)/(SUM(ILP_B_Moderate!$C$9:$E$13))),0)</f>
        <v>0</v>
      </c>
      <c r="AZ91" s="46">
        <f t="shared" ca="1" si="66"/>
        <v>0</v>
      </c>
      <c r="BA91" s="41">
        <f t="shared" ca="1" si="67"/>
        <v>0</v>
      </c>
      <c r="BB91" s="41">
        <f t="shared" ca="1" si="68"/>
        <v>1</v>
      </c>
      <c r="BC91" s="41">
        <f t="shared" ca="1" si="69"/>
        <v>1</v>
      </c>
      <c r="BD91" s="41">
        <f t="shared" ca="1" si="70"/>
        <v>1</v>
      </c>
    </row>
    <row r="92" spans="1:56" ht="15" customHeight="1" x14ac:dyDescent="0.3">
      <c r="A92" s="41">
        <v>85</v>
      </c>
      <c r="B92" s="42">
        <f t="shared" ca="1" si="52"/>
        <v>0.85220673016238668</v>
      </c>
      <c r="C92" s="43">
        <f ca="1">IF(B92&lt;=Inputs!$C$40,Inputs!$D$40,IF(B92&lt;=Inputs!$C$41,Inputs!$D$41,Inputs!$D$42))</f>
        <v>1.1499999999999999</v>
      </c>
      <c r="D92" s="42">
        <f t="shared" ca="1" si="73"/>
        <v>0.90841151713640733</v>
      </c>
      <c r="E92" s="42">
        <f t="shared" ca="1" si="73"/>
        <v>0.32389637815480365</v>
      </c>
      <c r="F92" s="42">
        <f t="shared" ca="1" si="73"/>
        <v>0.35152922567563227</v>
      </c>
      <c r="G92" s="42">
        <f t="shared" ca="1" si="73"/>
        <v>0.48094391607117692</v>
      </c>
      <c r="H92" s="42">
        <f t="shared" ca="1" si="73"/>
        <v>0.42442968311000084</v>
      </c>
      <c r="I92" s="42">
        <f t="shared" ca="1" si="73"/>
        <v>0.18724159918956074</v>
      </c>
      <c r="J92" s="43">
        <f ca="1">IF(I92&lt;Inputs!$B$54,1+Inputs!$B$55,1)</f>
        <v>1</v>
      </c>
      <c r="K92" s="42">
        <f t="shared" ca="1" si="74"/>
        <v>0.40793573223751967</v>
      </c>
      <c r="L92" s="42">
        <f t="shared" ca="1" si="74"/>
        <v>0.34847549225203445</v>
      </c>
      <c r="M92" s="42">
        <f t="shared" ca="1" si="74"/>
        <v>0.21563989030589326</v>
      </c>
      <c r="N92" s="42">
        <f t="shared" ca="1" si="74"/>
        <v>0.81636087683926162</v>
      </c>
      <c r="O92" s="42">
        <f t="shared" ca="1" si="74"/>
        <v>0.64758281067147927</v>
      </c>
      <c r="P92" s="42">
        <f t="shared" ca="1" si="74"/>
        <v>1.9638862089577214E-2</v>
      </c>
      <c r="Q92" s="42">
        <f t="shared" ca="1" si="74"/>
        <v>0.70936432143770212</v>
      </c>
      <c r="R92" s="42">
        <f t="shared" ca="1" si="74"/>
        <v>0.95089699439518693</v>
      </c>
      <c r="S92" s="42">
        <f t="shared" ca="1" si="74"/>
        <v>0.71013068813556302</v>
      </c>
      <c r="T92" s="42">
        <f t="shared" ca="1" si="74"/>
        <v>0.4610643480530412</v>
      </c>
      <c r="U92" s="44">
        <f ca="1">(IF(D92&gt;=Inputs!$E$12,1,IF(K92&lt;=Inputs!$C$46,Inputs!$D$46,IF(K92&lt;=Inputs!$C$47,Inputs!$D$47,Inputs!$D$48))))*((Inputs!$B$28+(P92-0.5)*2*Inputs!$B$53)/Inputs!$B$28)</f>
        <v>0.99513804516284998</v>
      </c>
      <c r="V92" s="44">
        <f ca="1">(IF(E92&gt;=Inputs!$E$13,1,IF(L92&lt;=Inputs!$C$46,Inputs!$D$46,IF(L92&lt;=Inputs!$C$47,Inputs!$D$47,Inputs!$D$48))))*((Inputs!$B$29+(Q92-0.5)*2*Inputs!$B$53)/Inputs!$B$29)</f>
        <v>1.0021105274338478</v>
      </c>
      <c r="W92" s="44">
        <f ca="1">(IF(F92&gt;=Inputs!$E$14,1,IF(M92&lt;=Inputs!$C$46,Inputs!$D$46,IF(M92&lt;=Inputs!$C$47,Inputs!$D$47,Inputs!$D$48))))*((Inputs!$B$30+(R92-0.5)*2*Inputs!$B$53)/Inputs!$B$30)</f>
        <v>1.0045316280843737</v>
      </c>
      <c r="X92" s="44">
        <f ca="1">(IF(G92&gt;=Inputs!$E$15,1,IF(N92&lt;=Inputs!$C$46,Inputs!$D$46,IF(N92&lt;=Inputs!$C$47,Inputs!$D$47,Inputs!$D$48))))*((Inputs!$B$31+(S92-0.5)*2*Inputs!$B$53)/Inputs!$B$31)</f>
        <v>1.0021333064785336</v>
      </c>
      <c r="Y92" s="44">
        <f ca="1">(IF(H92&gt;=Inputs!$E$16,1,IF(O92&lt;=Inputs!$C$46,Inputs!$D$46,IF(O92&lt;=Inputs!$C$47,Inputs!$D$47,Inputs!$D$48))))*((Inputs!$B$32+(T92-0.5)*2*Inputs!$B$53)/Inputs!$B$32)</f>
        <v>0.99960829323997025</v>
      </c>
      <c r="Z92" s="45">
        <f ca="1">ILP_B_Moderate!$C$9*U92+ILP_B_Moderate!$C$10*V92+ILP_B_Moderate!$C$11*W92+ILP_B_Moderate!$C$12*X92+ILP_B_Moderate!$C$13*Y92</f>
        <v>18002.439616125754</v>
      </c>
      <c r="AA92" s="45">
        <f ca="1">ILP_B_Moderate!$D$9*U92+ILP_B_Moderate!$D$10*V92+ILP_B_Moderate!$D$11*W92+ILP_B_Moderate!$D$12*X92+ILP_B_Moderate!$D$13*Y92</f>
        <v>14999.090931385461</v>
      </c>
      <c r="AB92" s="45">
        <f ca="1">ILP_B_Moderate!$E$9*U92+ILP_B_Moderate!$E$10*V92+ILP_B_Moderate!$E$11*W92+ILP_B_Moderate!$E$12*X92+ILP_B_Moderate!$E$13*Y92</f>
        <v>11974.773651648717</v>
      </c>
      <c r="AC92" s="45">
        <f ca="1">Inputs!$B$6*$C92</f>
        <v>20700</v>
      </c>
      <c r="AD92" s="45">
        <f ca="1">Inputs!$B$7*$C92</f>
        <v>17250</v>
      </c>
      <c r="AE92" s="45">
        <f ca="1">Inputs!$B$8*$C92</f>
        <v>13799.999999999998</v>
      </c>
      <c r="AF92" s="45">
        <f t="shared" ca="1" si="53"/>
        <v>2697.5603838742463</v>
      </c>
      <c r="AG92" s="45">
        <f t="shared" ca="1" si="54"/>
        <v>2250.9090686145391</v>
      </c>
      <c r="AH92" s="45">
        <f t="shared" ca="1" si="55"/>
        <v>1825.2263483512816</v>
      </c>
      <c r="AI92" s="45">
        <f t="shared" ca="1" si="56"/>
        <v>6773.695800840067</v>
      </c>
      <c r="AJ92" s="45">
        <f ca="1">U92*(Inputs!$B$12-ILP_B_Moderate!$F$9)+V92*(Inputs!$B$13-ILP_B_Moderate!$F$10)+W92*(Inputs!$B$14-ILP_B_Moderate!$F$11)+X92*(Inputs!$B$15-ILP_B_Moderate!$F$12)+Y92*(Inputs!$B$16-ILP_B_Moderate!$F$13)</f>
        <v>25054.087148958348</v>
      </c>
      <c r="AK92" s="45">
        <f t="shared" ca="1" si="57"/>
        <v>6773.695800840067</v>
      </c>
      <c r="AL92" s="45">
        <f t="shared" ca="1" si="58"/>
        <v>0</v>
      </c>
      <c r="AM92" s="45">
        <f t="shared" ca="1" si="59"/>
        <v>0</v>
      </c>
      <c r="AN92" s="45">
        <f t="shared" ca="1" si="60"/>
        <v>0</v>
      </c>
      <c r="AO92" s="45">
        <f ca="1">MIN(AL92,Inputs!$B$36)</f>
        <v>0</v>
      </c>
      <c r="AP92" s="45">
        <f ca="1">MIN(AN92,Inputs!$B$36-AO92)</f>
        <v>0</v>
      </c>
      <c r="AQ92" s="45">
        <f ca="1">MIN(AM92,Inputs!$B$36-AO92-AP92)</f>
        <v>0</v>
      </c>
      <c r="AR92" s="45">
        <f t="shared" ca="1" si="61"/>
        <v>0</v>
      </c>
      <c r="AS92" s="45">
        <f t="shared" ca="1" si="62"/>
        <v>0</v>
      </c>
      <c r="AT92" s="45">
        <f t="shared" ca="1" si="63"/>
        <v>0</v>
      </c>
      <c r="AU92" s="45">
        <f t="shared" ca="1" si="64"/>
        <v>0</v>
      </c>
      <c r="AV92" s="46">
        <f ca="1">AU92*Inputs!$B$35</f>
        <v>0</v>
      </c>
      <c r="AW92" s="46">
        <f ca="1">AR92*Inputs!$C$6+AT92*Inputs!$C$7+AS92*Inputs!$C$8</f>
        <v>0</v>
      </c>
      <c r="AX92" s="46">
        <f t="shared" ca="1" si="65"/>
        <v>47542536.039096497</v>
      </c>
      <c r="AY92" s="46">
        <f ca="1">IF(J92&gt;1,($CD$4)*Inputs!$B$55*((Z92+AA92+AB92)/(SUM(ILP_B_Moderate!$C$9:$E$13))),0)</f>
        <v>0</v>
      </c>
      <c r="AZ92" s="46">
        <f t="shared" ca="1" si="66"/>
        <v>0</v>
      </c>
      <c r="BA92" s="41">
        <f t="shared" ca="1" si="67"/>
        <v>0</v>
      </c>
      <c r="BB92" s="41">
        <f t="shared" ca="1" si="68"/>
        <v>1</v>
      </c>
      <c r="BC92" s="41">
        <f t="shared" ca="1" si="69"/>
        <v>1</v>
      </c>
      <c r="BD92" s="41">
        <f t="shared" ca="1" si="70"/>
        <v>1</v>
      </c>
    </row>
    <row r="93" spans="1:56" ht="15" customHeight="1" x14ac:dyDescent="0.3">
      <c r="A93" s="41">
        <v>86</v>
      </c>
      <c r="B93" s="42">
        <f t="shared" ca="1" si="52"/>
        <v>0.89033850832593153</v>
      </c>
      <c r="C93" s="43">
        <f ca="1">IF(B93&lt;=Inputs!$C$40,Inputs!$D$40,IF(B93&lt;=Inputs!$C$41,Inputs!$D$41,Inputs!$D$42))</f>
        <v>1.1499999999999999</v>
      </c>
      <c r="D93" s="42">
        <f t="shared" ca="1" si="73"/>
        <v>0.35562963889245436</v>
      </c>
      <c r="E93" s="42">
        <f t="shared" ca="1" si="73"/>
        <v>0.24976435808136221</v>
      </c>
      <c r="F93" s="42">
        <f t="shared" ca="1" si="73"/>
        <v>0.24132642099010115</v>
      </c>
      <c r="G93" s="42">
        <f t="shared" ca="1" si="73"/>
        <v>0.82405507013652968</v>
      </c>
      <c r="H93" s="42">
        <f t="shared" ca="1" si="73"/>
        <v>0.14572203558929753</v>
      </c>
      <c r="I93" s="42">
        <f t="shared" ca="1" si="73"/>
        <v>0.49393124256142995</v>
      </c>
      <c r="J93" s="43">
        <f ca="1">IF(I93&lt;Inputs!$B$54,1+Inputs!$B$55,1)</f>
        <v>1</v>
      </c>
      <c r="K93" s="42">
        <f t="shared" ca="1" si="74"/>
        <v>0.22354627604971911</v>
      </c>
      <c r="L93" s="42">
        <f t="shared" ca="1" si="74"/>
        <v>0.76194995692646128</v>
      </c>
      <c r="M93" s="42">
        <f t="shared" ca="1" si="74"/>
        <v>0.78602317825757806</v>
      </c>
      <c r="N93" s="42">
        <f t="shared" ca="1" si="74"/>
        <v>0.77652001449255359</v>
      </c>
      <c r="O93" s="42">
        <f t="shared" ca="1" si="74"/>
        <v>2.1102087515701862E-2</v>
      </c>
      <c r="P93" s="42">
        <f t="shared" ca="1" si="74"/>
        <v>0.52848766759575205</v>
      </c>
      <c r="Q93" s="42">
        <f t="shared" ca="1" si="74"/>
        <v>0.42346612264810957</v>
      </c>
      <c r="R93" s="42">
        <f t="shared" ca="1" si="74"/>
        <v>0.59323833958145333</v>
      </c>
      <c r="S93" s="42">
        <f t="shared" ca="1" si="74"/>
        <v>0.95026480149350601</v>
      </c>
      <c r="T93" s="42">
        <f t="shared" ca="1" si="74"/>
        <v>0.80989735897680559</v>
      </c>
      <c r="U93" s="44">
        <f ca="1">(IF(D93&gt;=Inputs!$E$12,1,IF(K93&lt;=Inputs!$C$46,Inputs!$D$46,IF(K93&lt;=Inputs!$C$47,Inputs!$D$47,Inputs!$D$48))))*((Inputs!$B$28+(P93-0.5)*2*Inputs!$B$53)/Inputs!$B$28)</f>
        <v>1.0002883367165563</v>
      </c>
      <c r="V93" s="44">
        <f ca="1">(IF(E93&gt;=Inputs!$E$13,1,IF(L93&lt;=Inputs!$C$46,Inputs!$D$46,IF(L93&lt;=Inputs!$C$47,Inputs!$D$47,Inputs!$D$48))))*((Inputs!$B$29+(Q93-0.5)*2*Inputs!$B$53)/Inputs!$B$29)</f>
        <v>0.99922848913959783</v>
      </c>
      <c r="W93" s="44">
        <f ca="1">(IF(F93&gt;=Inputs!$E$14,1,IF(M93&lt;=Inputs!$C$46,Inputs!$D$46,IF(M93&lt;=Inputs!$C$47,Inputs!$D$47,Inputs!$D$48))))*((Inputs!$B$30+(R93-0.5)*2*Inputs!$B$53)/Inputs!$B$30)</f>
        <v>1.000937068739512</v>
      </c>
      <c r="X93" s="44">
        <f ca="1">(IF(G93&gt;=Inputs!$E$15,1,IF(N93&lt;=Inputs!$C$46,Inputs!$D$46,IF(N93&lt;=Inputs!$C$47,Inputs!$D$47,Inputs!$D$48))))*((Inputs!$B$31+(S93-0.5)*2*Inputs!$B$53)/Inputs!$B$31)</f>
        <v>1.0045712162588174</v>
      </c>
      <c r="Y93" s="44">
        <f ca="1">(IF(H93&gt;=Inputs!$E$16,1,IF(O93&lt;=Inputs!$C$46,Inputs!$D$46,IF(O93&lt;=Inputs!$C$47,Inputs!$D$47,Inputs!$D$48))))*((Inputs!$B$32+(T93-0.5)*2*Inputs!$B$53)/Inputs!$B$32)</f>
        <v>1.0031176796677748</v>
      </c>
      <c r="Z93" s="45">
        <f ca="1">ILP_B_Moderate!$C$9*U93+ILP_B_Moderate!$C$10*V93+ILP_B_Moderate!$C$11*W93+ILP_B_Moderate!$C$12*X93+ILP_B_Moderate!$C$13*Y93</f>
        <v>18039.63224696038</v>
      </c>
      <c r="AA93" s="45">
        <f ca="1">ILP_B_Moderate!$D$9*U93+ILP_B_Moderate!$D$10*V93+ILP_B_Moderate!$D$11*W93+ILP_B_Moderate!$D$12*X93+ILP_B_Moderate!$D$13*Y93</f>
        <v>15008.453914230333</v>
      </c>
      <c r="AB93" s="45">
        <f ca="1">ILP_B_Moderate!$E$9*U93+ILP_B_Moderate!$E$10*V93+ILP_B_Moderate!$E$11*W93+ILP_B_Moderate!$E$12*X93+ILP_B_Moderate!$E$13*Y93</f>
        <v>12010.650894937093</v>
      </c>
      <c r="AC93" s="45">
        <f ca="1">Inputs!$B$6*$C93</f>
        <v>20700</v>
      </c>
      <c r="AD93" s="45">
        <f ca="1">Inputs!$B$7*$C93</f>
        <v>17250</v>
      </c>
      <c r="AE93" s="45">
        <f ca="1">Inputs!$B$8*$C93</f>
        <v>13799.999999999998</v>
      </c>
      <c r="AF93" s="45">
        <f t="shared" ca="1" si="53"/>
        <v>2660.3677530396199</v>
      </c>
      <c r="AG93" s="45">
        <f t="shared" ca="1" si="54"/>
        <v>2241.5460857696671</v>
      </c>
      <c r="AH93" s="45">
        <f t="shared" ca="1" si="55"/>
        <v>1789.3491050629054</v>
      </c>
      <c r="AI93" s="45">
        <f t="shared" ca="1" si="56"/>
        <v>6691.2629438721924</v>
      </c>
      <c r="AJ93" s="45">
        <f ca="1">U93*(Inputs!$B$12-ILP_B_Moderate!$F$9)+V93*(Inputs!$B$13-ILP_B_Moderate!$F$10)+W93*(Inputs!$B$14-ILP_B_Moderate!$F$11)+X93*(Inputs!$B$15-ILP_B_Moderate!$F$12)+Y93*(Inputs!$B$16-ILP_B_Moderate!$F$13)</f>
        <v>25048.876863027552</v>
      </c>
      <c r="AK93" s="45">
        <f t="shared" ca="1" si="57"/>
        <v>6691.2629438721924</v>
      </c>
      <c r="AL93" s="45">
        <f t="shared" ca="1" si="58"/>
        <v>0</v>
      </c>
      <c r="AM93" s="45">
        <f t="shared" ca="1" si="59"/>
        <v>0</v>
      </c>
      <c r="AN93" s="45">
        <f t="shared" ca="1" si="60"/>
        <v>0</v>
      </c>
      <c r="AO93" s="45">
        <f ca="1">MIN(AL93,Inputs!$B$36)</f>
        <v>0</v>
      </c>
      <c r="AP93" s="45">
        <f ca="1">MIN(AN93,Inputs!$B$36-AO93)</f>
        <v>0</v>
      </c>
      <c r="AQ93" s="45">
        <f ca="1">MIN(AM93,Inputs!$B$36-AO93-AP93)</f>
        <v>0</v>
      </c>
      <c r="AR93" s="45">
        <f t="shared" ca="1" si="61"/>
        <v>0</v>
      </c>
      <c r="AS93" s="45">
        <f t="shared" ca="1" si="62"/>
        <v>0</v>
      </c>
      <c r="AT93" s="45">
        <f t="shared" ca="1" si="63"/>
        <v>0</v>
      </c>
      <c r="AU93" s="45">
        <f t="shared" ca="1" si="64"/>
        <v>0</v>
      </c>
      <c r="AV93" s="46">
        <f ca="1">AU93*Inputs!$B$35</f>
        <v>0</v>
      </c>
      <c r="AW93" s="46">
        <f ca="1">AR93*Inputs!$C$6+AT93*Inputs!$C$7+AS93*Inputs!$C$8</f>
        <v>0</v>
      </c>
      <c r="AX93" s="46">
        <f t="shared" ca="1" si="65"/>
        <v>47630277.941858411</v>
      </c>
      <c r="AY93" s="46">
        <f ca="1">IF(J93&gt;1,($CD$4)*Inputs!$B$55*((Z93+AA93+AB93)/(SUM(ILP_B_Moderate!$C$9:$E$13))),0)</f>
        <v>0</v>
      </c>
      <c r="AZ93" s="46">
        <f t="shared" ca="1" si="66"/>
        <v>0</v>
      </c>
      <c r="BA93" s="41">
        <f t="shared" ca="1" si="67"/>
        <v>0</v>
      </c>
      <c r="BB93" s="41">
        <f t="shared" ca="1" si="68"/>
        <v>1</v>
      </c>
      <c r="BC93" s="41">
        <f t="shared" ca="1" si="69"/>
        <v>1</v>
      </c>
      <c r="BD93" s="41">
        <f t="shared" ca="1" si="70"/>
        <v>1</v>
      </c>
    </row>
    <row r="94" spans="1:56" ht="15" customHeight="1" x14ac:dyDescent="0.3">
      <c r="A94" s="41">
        <v>87</v>
      </c>
      <c r="B94" s="42">
        <f t="shared" ca="1" si="52"/>
        <v>0.67737339137081298</v>
      </c>
      <c r="C94" s="43">
        <f ca="1">IF(B94&lt;=Inputs!$C$40,Inputs!$D$40,IF(B94&lt;=Inputs!$C$41,Inputs!$D$41,Inputs!$D$42))</f>
        <v>1</v>
      </c>
      <c r="D94" s="42">
        <f t="shared" ca="1" si="73"/>
        <v>0.64071663659420297</v>
      </c>
      <c r="E94" s="42">
        <f t="shared" ca="1" si="73"/>
        <v>0.89633531168327918</v>
      </c>
      <c r="F94" s="42">
        <f t="shared" ca="1" si="73"/>
        <v>0.50285217150116768</v>
      </c>
      <c r="G94" s="42">
        <f t="shared" ca="1" si="73"/>
        <v>0.23008633484811691</v>
      </c>
      <c r="H94" s="42">
        <f t="shared" ca="1" si="73"/>
        <v>0.15679483898086166</v>
      </c>
      <c r="I94" s="42">
        <f t="shared" ca="1" si="73"/>
        <v>0.53750828725502764</v>
      </c>
      <c r="J94" s="43">
        <f ca="1">IF(I94&lt;Inputs!$B$54,1+Inputs!$B$55,1)</f>
        <v>1</v>
      </c>
      <c r="K94" s="42">
        <f t="shared" ca="1" si="74"/>
        <v>0.21030058864857371</v>
      </c>
      <c r="L94" s="42">
        <f t="shared" ca="1" si="74"/>
        <v>0.12616697560445866</v>
      </c>
      <c r="M94" s="42">
        <f t="shared" ca="1" si="74"/>
        <v>8.8535832909414136E-2</v>
      </c>
      <c r="N94" s="42">
        <f t="shared" ca="1" si="74"/>
        <v>0.28532628007503202</v>
      </c>
      <c r="O94" s="42">
        <f t="shared" ca="1" si="74"/>
        <v>0.42483128046440144</v>
      </c>
      <c r="P94" s="42">
        <f t="shared" ca="1" si="74"/>
        <v>0.64331294038097231</v>
      </c>
      <c r="Q94" s="42">
        <f t="shared" ca="1" si="74"/>
        <v>0.63516899486336631</v>
      </c>
      <c r="R94" s="42">
        <f t="shared" ca="1" si="74"/>
        <v>0.48615332488919782</v>
      </c>
      <c r="S94" s="42">
        <f t="shared" ca="1" si="74"/>
        <v>0.51880114345564521</v>
      </c>
      <c r="T94" s="42">
        <f t="shared" ca="1" si="74"/>
        <v>0.51338244645055087</v>
      </c>
      <c r="U94" s="44">
        <f ca="1">(IF(D94&gt;=Inputs!$E$12,1,IF(K94&lt;=Inputs!$C$46,Inputs!$D$46,IF(K94&lt;=Inputs!$C$47,Inputs!$D$47,Inputs!$D$48))))*((Inputs!$B$28+(P94-0.5)*2*Inputs!$B$53)/Inputs!$B$28)</f>
        <v>1.0014505358338155</v>
      </c>
      <c r="V94" s="44">
        <f ca="1">(IF(E94&gt;=Inputs!$E$13,1,IF(L94&lt;=Inputs!$C$46,Inputs!$D$46,IF(L94&lt;=Inputs!$C$47,Inputs!$D$47,Inputs!$D$48))))*((Inputs!$B$29+(Q94-0.5)*2*Inputs!$B$53)/Inputs!$B$29)</f>
        <v>1.0013625906740258</v>
      </c>
      <c r="W94" s="44">
        <f ca="1">(IF(F94&gt;=Inputs!$E$14,1,IF(M94&lt;=Inputs!$C$46,Inputs!$D$46,IF(M94&lt;=Inputs!$C$47,Inputs!$D$47,Inputs!$D$48))))*((Inputs!$B$30+(R94-0.5)*2*Inputs!$B$53)/Inputs!$B$30)</f>
        <v>0.99986083743607235</v>
      </c>
      <c r="X94" s="44">
        <f ca="1">(IF(G94&gt;=Inputs!$E$15,1,IF(N94&lt;=Inputs!$C$46,Inputs!$D$46,IF(N94&lt;=Inputs!$C$47,Inputs!$D$47,Inputs!$D$48))))*((Inputs!$B$31+(S94-0.5)*2*Inputs!$B$53)/Inputs!$B$31)</f>
        <v>1.0001908745528492</v>
      </c>
      <c r="Y94" s="44">
        <f ca="1">(IF(H94&gt;=Inputs!$E$16,1,IF(O94&lt;=Inputs!$C$46,Inputs!$D$46,IF(O94&lt;=Inputs!$C$47,Inputs!$D$47,Inputs!$D$48))))*((Inputs!$B$32+(T94-0.5)*2*Inputs!$B$53)/Inputs!$B$32)</f>
        <v>1.0001346322580538</v>
      </c>
      <c r="Z94" s="45">
        <f ca="1">ILP_B_Moderate!$C$9*U94+ILP_B_Moderate!$C$10*V94+ILP_B_Moderate!$C$11*W94+ILP_B_Moderate!$C$12*X94+ILP_B_Moderate!$C$13*Y94</f>
        <v>18014.432169821273</v>
      </c>
      <c r="AA94" s="45">
        <f ca="1">ILP_B_Moderate!$D$9*U94+ILP_B_Moderate!$D$10*V94+ILP_B_Moderate!$D$11*W94+ILP_B_Moderate!$D$12*X94+ILP_B_Moderate!$D$13*Y94</f>
        <v>15017.546203996486</v>
      </c>
      <c r="AB94" s="45">
        <f ca="1">ILP_B_Moderate!$E$9*U94+ILP_B_Moderate!$E$10*V94+ILP_B_Moderate!$E$11*W94+ILP_B_Moderate!$E$12*X94+ILP_B_Moderate!$E$13*Y94</f>
        <v>12012.600551925801</v>
      </c>
      <c r="AC94" s="45">
        <f ca="1">Inputs!$B$6*$C94</f>
        <v>18000</v>
      </c>
      <c r="AD94" s="45">
        <f ca="1">Inputs!$B$7*$C94</f>
        <v>15000</v>
      </c>
      <c r="AE94" s="45">
        <f ca="1">Inputs!$B$8*$C94</f>
        <v>12000</v>
      </c>
      <c r="AF94" s="45">
        <f t="shared" ca="1" si="53"/>
        <v>0</v>
      </c>
      <c r="AG94" s="45">
        <f t="shared" ca="1" si="54"/>
        <v>0</v>
      </c>
      <c r="AH94" s="45">
        <f t="shared" ca="1" si="55"/>
        <v>0</v>
      </c>
      <c r="AI94" s="45">
        <f t="shared" ca="1" si="56"/>
        <v>0</v>
      </c>
      <c r="AJ94" s="45">
        <f ca="1">U94*(Inputs!$B$12-ILP_B_Moderate!$F$9)+V94*(Inputs!$B$13-ILP_B_Moderate!$F$10)+W94*(Inputs!$B$14-ILP_B_Moderate!$F$11)+X94*(Inputs!$B$15-ILP_B_Moderate!$F$12)+Y94*(Inputs!$B$16-ILP_B_Moderate!$F$13)</f>
        <v>25000.206782207784</v>
      </c>
      <c r="AK94" s="45">
        <f t="shared" ca="1" si="57"/>
        <v>0</v>
      </c>
      <c r="AL94" s="45">
        <f t="shared" ca="1" si="58"/>
        <v>0</v>
      </c>
      <c r="AM94" s="45">
        <f t="shared" ca="1" si="59"/>
        <v>0</v>
      </c>
      <c r="AN94" s="45">
        <f t="shared" ca="1" si="60"/>
        <v>0</v>
      </c>
      <c r="AO94" s="45">
        <f ca="1">MIN(AL94,Inputs!$B$36)</f>
        <v>0</v>
      </c>
      <c r="AP94" s="45">
        <f ca="1">MIN(AN94,Inputs!$B$36-AO94)</f>
        <v>0</v>
      </c>
      <c r="AQ94" s="45">
        <f ca="1">MIN(AM94,Inputs!$B$36-AO94-AP94)</f>
        <v>0</v>
      </c>
      <c r="AR94" s="45">
        <f t="shared" ca="1" si="61"/>
        <v>0</v>
      </c>
      <c r="AS94" s="45">
        <f t="shared" ca="1" si="62"/>
        <v>0</v>
      </c>
      <c r="AT94" s="45">
        <f t="shared" ca="1" si="63"/>
        <v>0</v>
      </c>
      <c r="AU94" s="45">
        <f t="shared" ca="1" si="64"/>
        <v>0</v>
      </c>
      <c r="AV94" s="46">
        <f ca="1">AU94*Inputs!$B$35</f>
        <v>0</v>
      </c>
      <c r="AW94" s="46">
        <f ca="1">AR94*Inputs!$C$6+AT94*Inputs!$C$7+AS94*Inputs!$C$8</f>
        <v>0</v>
      </c>
      <c r="AX94" s="46">
        <f t="shared" ca="1" si="65"/>
        <v>47615996.872274652</v>
      </c>
      <c r="AY94" s="46">
        <f ca="1">IF(J94&gt;1,($CD$4)*Inputs!$B$55*((Z94+AA94+AB94)/(SUM(ILP_B_Moderate!$C$9:$E$13))),0)</f>
        <v>0</v>
      </c>
      <c r="AZ94" s="46">
        <f t="shared" ca="1" si="66"/>
        <v>0</v>
      </c>
      <c r="BA94" s="41">
        <f t="shared" ca="1" si="67"/>
        <v>0</v>
      </c>
      <c r="BB94" s="41">
        <f t="shared" ca="1" si="68"/>
        <v>1</v>
      </c>
      <c r="BC94" s="41">
        <f t="shared" ca="1" si="69"/>
        <v>1</v>
      </c>
      <c r="BD94" s="41">
        <f t="shared" ca="1" si="70"/>
        <v>1</v>
      </c>
    </row>
    <row r="95" spans="1:56" ht="15" customHeight="1" x14ac:dyDescent="0.3">
      <c r="A95" s="41">
        <v>88</v>
      </c>
      <c r="B95" s="42">
        <f t="shared" ca="1" si="52"/>
        <v>2.7518678456596724E-2</v>
      </c>
      <c r="C95" s="43">
        <f ca="1">IF(B95&lt;=Inputs!$C$40,Inputs!$D$40,IF(B95&lt;=Inputs!$C$41,Inputs!$D$41,Inputs!$D$42))</f>
        <v>0.9</v>
      </c>
      <c r="D95" s="42">
        <f t="shared" ca="1" si="73"/>
        <v>1.8062545986130663E-2</v>
      </c>
      <c r="E95" s="42">
        <f t="shared" ca="1" si="73"/>
        <v>0.84150937619237254</v>
      </c>
      <c r="F95" s="42">
        <f t="shared" ca="1" si="73"/>
        <v>0.36632250343226624</v>
      </c>
      <c r="G95" s="42">
        <f t="shared" ca="1" si="73"/>
        <v>0.98387794702109721</v>
      </c>
      <c r="H95" s="42">
        <f t="shared" ca="1" si="73"/>
        <v>0.28455792702087424</v>
      </c>
      <c r="I95" s="42">
        <f t="shared" ca="1" si="73"/>
        <v>0.88346626002627748</v>
      </c>
      <c r="J95" s="43">
        <f ca="1">IF(I95&lt;Inputs!$B$54,1+Inputs!$B$55,1)</f>
        <v>1</v>
      </c>
      <c r="K95" s="42">
        <f t="shared" ca="1" si="74"/>
        <v>0.99693516526928649</v>
      </c>
      <c r="L95" s="42">
        <f t="shared" ca="1" si="74"/>
        <v>0.73933151769557859</v>
      </c>
      <c r="M95" s="42">
        <f t="shared" ca="1" si="74"/>
        <v>0.7896613374909347</v>
      </c>
      <c r="N95" s="42">
        <f t="shared" ca="1" si="74"/>
        <v>0.44932683944406171</v>
      </c>
      <c r="O95" s="42">
        <f t="shared" ca="1" si="74"/>
        <v>0.86122205028077226</v>
      </c>
      <c r="P95" s="42">
        <f t="shared" ca="1" si="74"/>
        <v>0.59201183500385601</v>
      </c>
      <c r="Q95" s="42">
        <f t="shared" ca="1" si="74"/>
        <v>0.40298330447261876</v>
      </c>
      <c r="R95" s="42">
        <f t="shared" ca="1" si="74"/>
        <v>0.9163139097254519</v>
      </c>
      <c r="S95" s="42">
        <f t="shared" ca="1" si="74"/>
        <v>7.9482967582169772E-2</v>
      </c>
      <c r="T95" s="42">
        <f t="shared" ca="1" si="74"/>
        <v>0.42774456768208313</v>
      </c>
      <c r="U95" s="44">
        <f ca="1">(IF(D95&gt;=Inputs!$E$12,1,IF(K95&lt;=Inputs!$C$46,Inputs!$D$46,IF(K95&lt;=Inputs!$C$47,Inputs!$D$47,Inputs!$D$48))))*((Inputs!$B$28+(P95-0.5)*2*Inputs!$B$53)/Inputs!$B$28)</f>
        <v>0</v>
      </c>
      <c r="V95" s="44">
        <f ca="1">(IF(E95&gt;=Inputs!$E$13,1,IF(L95&lt;=Inputs!$C$46,Inputs!$D$46,IF(L95&lt;=Inputs!$C$47,Inputs!$D$47,Inputs!$D$48))))*((Inputs!$B$29+(Q95-0.5)*2*Inputs!$B$53)/Inputs!$B$29)</f>
        <v>0.99902200911766748</v>
      </c>
      <c r="W95" s="44">
        <f ca="1">(IF(F95&gt;=Inputs!$E$14,1,IF(M95&lt;=Inputs!$C$46,Inputs!$D$46,IF(M95&lt;=Inputs!$C$47,Inputs!$D$47,Inputs!$D$48))))*((Inputs!$B$30+(R95-0.5)*2*Inputs!$B$53)/Inputs!$B$30)</f>
        <v>1.0041840593942257</v>
      </c>
      <c r="X95" s="44">
        <f ca="1">(IF(G95&gt;=Inputs!$E$15,1,IF(N95&lt;=Inputs!$C$46,Inputs!$D$46,IF(N95&lt;=Inputs!$C$47,Inputs!$D$47,Inputs!$D$48))))*((Inputs!$B$31+(S95-0.5)*2*Inputs!$B$53)/Inputs!$B$31)</f>
        <v>0.99573079154905753</v>
      </c>
      <c r="Y95" s="44">
        <f ca="1">(IF(H95&gt;=Inputs!$E$16,1,IF(O95&lt;=Inputs!$C$46,Inputs!$D$46,IF(O95&lt;=Inputs!$C$47,Inputs!$D$47,Inputs!$D$48))))*((Inputs!$B$32+(T95-0.5)*2*Inputs!$B$53)/Inputs!$B$32)</f>
        <v>0.9992730841819123</v>
      </c>
      <c r="Z95" s="45">
        <f ca="1">ILP_B_Moderate!$C$9*U95+ILP_B_Moderate!$C$10*V95+ILP_B_Moderate!$C$11*W95+ILP_B_Moderate!$C$12*X95+ILP_B_Moderate!$C$13*Y95</f>
        <v>12829.790343245126</v>
      </c>
      <c r="AA95" s="45">
        <f ca="1">ILP_B_Moderate!$D$9*U95+ILP_B_Moderate!$D$10*V95+ILP_B_Moderate!$D$11*W95+ILP_B_Moderate!$D$12*X95+ILP_B_Moderate!$D$13*Y95</f>
        <v>10300.625900550849</v>
      </c>
      <c r="AB95" s="45">
        <f ca="1">ILP_B_Moderate!$E$9*U95+ILP_B_Moderate!$E$10*V95+ILP_B_Moderate!$E$11*W95+ILP_B_Moderate!$E$12*X95+ILP_B_Moderate!$E$13*Y95</f>
        <v>5995.006800229834</v>
      </c>
      <c r="AC95" s="45">
        <f ca="1">Inputs!$B$6*$C95</f>
        <v>16200</v>
      </c>
      <c r="AD95" s="45">
        <f ca="1">Inputs!$B$7*$C95</f>
        <v>13500</v>
      </c>
      <c r="AE95" s="45">
        <f ca="1">Inputs!$B$8*$C95</f>
        <v>10800</v>
      </c>
      <c r="AF95" s="45">
        <f t="shared" ca="1" si="53"/>
        <v>3370.2096567548742</v>
      </c>
      <c r="AG95" s="45">
        <f t="shared" ca="1" si="54"/>
        <v>3199.3740994491509</v>
      </c>
      <c r="AH95" s="45">
        <f t="shared" ca="1" si="55"/>
        <v>4804.993199770166</v>
      </c>
      <c r="AI95" s="45">
        <f t="shared" ca="1" si="56"/>
        <v>11374.576955974191</v>
      </c>
      <c r="AJ95" s="45">
        <f ca="1">U95*(Inputs!$B$12-ILP_B_Moderate!$F$9)+V95*(Inputs!$B$13-ILP_B_Moderate!$F$10)+W95*(Inputs!$B$14-ILP_B_Moderate!$F$11)+X95*(Inputs!$B$15-ILP_B_Moderate!$F$12)+Y95*(Inputs!$B$16-ILP_B_Moderate!$F$13)</f>
        <v>24853.143617063848</v>
      </c>
      <c r="AK95" s="45">
        <f t="shared" ca="1" si="57"/>
        <v>11374.576955974191</v>
      </c>
      <c r="AL95" s="45">
        <f t="shared" ca="1" si="58"/>
        <v>0</v>
      </c>
      <c r="AM95" s="45">
        <f t="shared" ca="1" si="59"/>
        <v>0</v>
      </c>
      <c r="AN95" s="45">
        <f t="shared" ca="1" si="60"/>
        <v>0</v>
      </c>
      <c r="AO95" s="45">
        <f ca="1">MIN(AL95,Inputs!$B$36)</f>
        <v>0</v>
      </c>
      <c r="AP95" s="45">
        <f ca="1">MIN(AN95,Inputs!$B$36-AO95)</f>
        <v>0</v>
      </c>
      <c r="AQ95" s="45">
        <f ca="1">MIN(AM95,Inputs!$B$36-AO95-AP95)</f>
        <v>0</v>
      </c>
      <c r="AR95" s="45">
        <f t="shared" ca="1" si="61"/>
        <v>0</v>
      </c>
      <c r="AS95" s="45">
        <f t="shared" ca="1" si="62"/>
        <v>0</v>
      </c>
      <c r="AT95" s="45">
        <f t="shared" ca="1" si="63"/>
        <v>0</v>
      </c>
      <c r="AU95" s="45">
        <f t="shared" ca="1" si="64"/>
        <v>0</v>
      </c>
      <c r="AV95" s="46">
        <f ca="1">AU95*Inputs!$B$35</f>
        <v>0</v>
      </c>
      <c r="AW95" s="46">
        <f ca="1">AR95*Inputs!$C$6+AT95*Inputs!$C$7+AS95*Inputs!$C$8</f>
        <v>0</v>
      </c>
      <c r="AX95" s="46">
        <f t="shared" ca="1" si="65"/>
        <v>30675812.635900371</v>
      </c>
      <c r="AY95" s="46">
        <f ca="1">IF(J95&gt;1,($CD$4)*Inputs!$B$55*((Z95+AA95+AB95)/(SUM(ILP_B_Moderate!$C$9:$E$13))),0)</f>
        <v>0</v>
      </c>
      <c r="AZ95" s="46">
        <f t="shared" ca="1" si="66"/>
        <v>0</v>
      </c>
      <c r="BA95" s="41">
        <f t="shared" ca="1" si="67"/>
        <v>0</v>
      </c>
      <c r="BB95" s="41">
        <f t="shared" ca="1" si="68"/>
        <v>1</v>
      </c>
      <c r="BC95" s="41">
        <f t="shared" ca="1" si="69"/>
        <v>1</v>
      </c>
      <c r="BD95" s="41">
        <f t="shared" ca="1" si="70"/>
        <v>1</v>
      </c>
    </row>
    <row r="96" spans="1:56" ht="15" customHeight="1" x14ac:dyDescent="0.3">
      <c r="A96" s="41">
        <v>89</v>
      </c>
      <c r="B96" s="42">
        <f t="shared" ca="1" si="52"/>
        <v>0.17688731457926976</v>
      </c>
      <c r="C96" s="43">
        <f ca="1">IF(B96&lt;=Inputs!$C$40,Inputs!$D$40,IF(B96&lt;=Inputs!$C$41,Inputs!$D$41,Inputs!$D$42))</f>
        <v>0.9</v>
      </c>
      <c r="D96" s="42">
        <f t="shared" ca="1" si="73"/>
        <v>0.51894628076022165</v>
      </c>
      <c r="E96" s="42">
        <f t="shared" ca="1" si="73"/>
        <v>0.20964944685858911</v>
      </c>
      <c r="F96" s="42">
        <f t="shared" ca="1" si="73"/>
        <v>9.1756231817018641E-2</v>
      </c>
      <c r="G96" s="42">
        <f t="shared" ca="1" si="73"/>
        <v>0.55732703062430056</v>
      </c>
      <c r="H96" s="42">
        <f t="shared" ca="1" si="73"/>
        <v>1.5604782519263449E-2</v>
      </c>
      <c r="I96" s="42">
        <f t="shared" ca="1" si="73"/>
        <v>0.37107293859722568</v>
      </c>
      <c r="J96" s="43">
        <f ca="1">IF(I96&lt;Inputs!$B$54,1+Inputs!$B$55,1)</f>
        <v>1</v>
      </c>
      <c r="K96" s="42">
        <f t="shared" ca="1" si="74"/>
        <v>0.55014335300867079</v>
      </c>
      <c r="L96" s="42">
        <f t="shared" ca="1" si="74"/>
        <v>0.70437361963712553</v>
      </c>
      <c r="M96" s="42">
        <f t="shared" ca="1" si="74"/>
        <v>0.31521073419879309</v>
      </c>
      <c r="N96" s="42">
        <f t="shared" ca="1" si="74"/>
        <v>0.69253787117018628</v>
      </c>
      <c r="O96" s="42">
        <f t="shared" ca="1" si="74"/>
        <v>0.90170726099166743</v>
      </c>
      <c r="P96" s="42">
        <f t="shared" ca="1" si="74"/>
        <v>0.2298063862682963</v>
      </c>
      <c r="Q96" s="42">
        <f t="shared" ca="1" si="74"/>
        <v>0.42004627571128006</v>
      </c>
      <c r="R96" s="42">
        <f t="shared" ca="1" si="74"/>
        <v>0.61129816804830839</v>
      </c>
      <c r="S96" s="42">
        <f t="shared" ca="1" si="74"/>
        <v>0.78073718163551653</v>
      </c>
      <c r="T96" s="42">
        <f t="shared" ca="1" si="74"/>
        <v>0.47167529752685589</v>
      </c>
      <c r="U96" s="44">
        <f ca="1">(IF(D96&gt;=Inputs!$E$12,1,IF(K96&lt;=Inputs!$C$46,Inputs!$D$46,IF(K96&lt;=Inputs!$C$47,Inputs!$D$47,Inputs!$D$48))))*((Inputs!$B$28+(P96-0.5)*2*Inputs!$B$53)/Inputs!$B$28)</f>
        <v>0.99726524682457784</v>
      </c>
      <c r="V96" s="44">
        <f ca="1">(IF(E96&gt;=Inputs!$E$13,1,IF(L96&lt;=Inputs!$C$46,Inputs!$D$46,IF(L96&lt;=Inputs!$C$47,Inputs!$D$47,Inputs!$D$48))))*((Inputs!$B$29+(Q96-0.5)*2*Inputs!$B$53)/Inputs!$B$29)</f>
        <v>0.99919401487612181</v>
      </c>
      <c r="W96" s="44">
        <f ca="1">(IF(F96&gt;=Inputs!$E$14,1,IF(M96&lt;=Inputs!$C$46,Inputs!$D$46,IF(M96&lt;=Inputs!$C$47,Inputs!$D$47,Inputs!$D$48))))*((Inputs!$B$30+(R96-0.5)*2*Inputs!$B$53)/Inputs!$B$30)</f>
        <v>1.0011185745532494</v>
      </c>
      <c r="X96" s="44">
        <f ca="1">(IF(G96&gt;=Inputs!$E$15,1,IF(N96&lt;=Inputs!$C$46,Inputs!$D$46,IF(N96&lt;=Inputs!$C$47,Inputs!$D$47,Inputs!$D$48))))*((Inputs!$B$31+(S96-0.5)*2*Inputs!$B$53)/Inputs!$B$31)</f>
        <v>1.0028501236714265</v>
      </c>
      <c r="Y96" s="44">
        <f ca="1">(IF(H96&gt;=Inputs!$E$16,1,IF(O96&lt;=Inputs!$C$46,Inputs!$D$46,IF(O96&lt;=Inputs!$C$47,Inputs!$D$47,Inputs!$D$48))))*((Inputs!$B$32+(T96-0.5)*2*Inputs!$B$53)/Inputs!$B$32)</f>
        <v>0</v>
      </c>
      <c r="Z96" s="45">
        <f ca="1">ILP_B_Moderate!$C$9*U96+ILP_B_Moderate!$C$10*V96+ILP_B_Moderate!$C$11*W96+ILP_B_Moderate!$C$12*X96+ILP_B_Moderate!$C$13*Y96</f>
        <v>18008.506524359618</v>
      </c>
      <c r="AA96" s="45">
        <f ca="1">ILP_B_Moderate!$D$9*U96+ILP_B_Moderate!$D$10*V96+ILP_B_Moderate!$D$11*W96+ILP_B_Moderate!$D$12*X96+ILP_B_Moderate!$D$13*Y96</f>
        <v>14989.193815463361</v>
      </c>
      <c r="AB96" s="45">
        <f ca="1">ILP_B_Moderate!$E$9*U96+ILP_B_Moderate!$E$10*V96+ILP_B_Moderate!$E$11*W96+ILP_B_Moderate!$E$12*X96+ILP_B_Moderate!$E$13*Y96</f>
        <v>8497.5636223757901</v>
      </c>
      <c r="AC96" s="45">
        <f ca="1">Inputs!$B$6*$C96</f>
        <v>16200</v>
      </c>
      <c r="AD96" s="45">
        <f ca="1">Inputs!$B$7*$C96</f>
        <v>13500</v>
      </c>
      <c r="AE96" s="45">
        <f ca="1">Inputs!$B$8*$C96</f>
        <v>10800</v>
      </c>
      <c r="AF96" s="45">
        <f t="shared" ca="1" si="53"/>
        <v>0</v>
      </c>
      <c r="AG96" s="45">
        <f t="shared" ca="1" si="54"/>
        <v>0</v>
      </c>
      <c r="AH96" s="45">
        <f t="shared" ca="1" si="55"/>
        <v>2302.4363776242099</v>
      </c>
      <c r="AI96" s="45">
        <f t="shared" ca="1" si="56"/>
        <v>2302.4363776242099</v>
      </c>
      <c r="AJ96" s="45">
        <f ca="1">U96*(Inputs!$B$12-ILP_B_Moderate!$F$9)+V96*(Inputs!$B$13-ILP_B_Moderate!$F$10)+W96*(Inputs!$B$14-ILP_B_Moderate!$F$11)+X96*(Inputs!$B$15-ILP_B_Moderate!$F$12)+Y96*(Inputs!$B$16-ILP_B_Moderate!$F$13)</f>
        <v>13498.439148509542</v>
      </c>
      <c r="AK96" s="45">
        <f t="shared" ca="1" si="57"/>
        <v>2302.4363776242099</v>
      </c>
      <c r="AL96" s="45">
        <f t="shared" ca="1" si="58"/>
        <v>0</v>
      </c>
      <c r="AM96" s="45">
        <f t="shared" ca="1" si="59"/>
        <v>0</v>
      </c>
      <c r="AN96" s="45">
        <f t="shared" ca="1" si="60"/>
        <v>0</v>
      </c>
      <c r="AO96" s="45">
        <f ca="1">MIN(AL96,Inputs!$B$36)</f>
        <v>0</v>
      </c>
      <c r="AP96" s="45">
        <f ca="1">MIN(AN96,Inputs!$B$36-AO96)</f>
        <v>0</v>
      </c>
      <c r="AQ96" s="45">
        <f ca="1">MIN(AM96,Inputs!$B$36-AO96-AP96)</f>
        <v>0</v>
      </c>
      <c r="AR96" s="45">
        <f t="shared" ca="1" si="61"/>
        <v>0</v>
      </c>
      <c r="AS96" s="45">
        <f t="shared" ca="1" si="62"/>
        <v>0</v>
      </c>
      <c r="AT96" s="45">
        <f t="shared" ca="1" si="63"/>
        <v>0</v>
      </c>
      <c r="AU96" s="45">
        <f t="shared" ca="1" si="64"/>
        <v>0</v>
      </c>
      <c r="AV96" s="46">
        <f ca="1">AU96*Inputs!$B$35</f>
        <v>0</v>
      </c>
      <c r="AW96" s="46">
        <f ca="1">AR96*Inputs!$C$6+AT96*Inputs!$C$7+AS96*Inputs!$C$8</f>
        <v>0</v>
      </c>
      <c r="AX96" s="46">
        <f t="shared" ca="1" si="65"/>
        <v>43707499.7610268</v>
      </c>
      <c r="AY96" s="46">
        <f ca="1">IF(J96&gt;1,($CD$4)*Inputs!$B$55*((Z96+AA96+AB96)/(SUM(ILP_B_Moderate!$C$9:$E$13))),0)</f>
        <v>0</v>
      </c>
      <c r="AZ96" s="46">
        <f t="shared" ca="1" si="66"/>
        <v>0</v>
      </c>
      <c r="BA96" s="41">
        <f t="shared" ca="1" si="67"/>
        <v>0</v>
      </c>
      <c r="BB96" s="41">
        <f t="shared" ca="1" si="68"/>
        <v>1</v>
      </c>
      <c r="BC96" s="41">
        <f t="shared" ca="1" si="69"/>
        <v>1</v>
      </c>
      <c r="BD96" s="41">
        <f t="shared" ca="1" si="70"/>
        <v>1</v>
      </c>
    </row>
    <row r="97" spans="1:56" ht="15" customHeight="1" x14ac:dyDescent="0.3">
      <c r="A97" s="41">
        <v>90</v>
      </c>
      <c r="B97" s="42">
        <f t="shared" ca="1" si="52"/>
        <v>7.2438275417841758E-2</v>
      </c>
      <c r="C97" s="43">
        <f ca="1">IF(B97&lt;=Inputs!$C$40,Inputs!$D$40,IF(B97&lt;=Inputs!$C$41,Inputs!$D$41,Inputs!$D$42))</f>
        <v>0.9</v>
      </c>
      <c r="D97" s="42">
        <f t="shared" ca="1" si="73"/>
        <v>0.9157450090535727</v>
      </c>
      <c r="E97" s="42">
        <f t="shared" ca="1" si="73"/>
        <v>0.11856807519506862</v>
      </c>
      <c r="F97" s="42">
        <f t="shared" ca="1" si="73"/>
        <v>0.60640365179110878</v>
      </c>
      <c r="G97" s="42">
        <f t="shared" ca="1" si="73"/>
        <v>0.34822906822837185</v>
      </c>
      <c r="H97" s="42">
        <f t="shared" ca="1" si="73"/>
        <v>0.65474308180762519</v>
      </c>
      <c r="I97" s="42">
        <f t="shared" ca="1" si="73"/>
        <v>0.95445444234369203</v>
      </c>
      <c r="J97" s="43">
        <f ca="1">IF(I97&lt;Inputs!$B$54,1+Inputs!$B$55,1)</f>
        <v>1</v>
      </c>
      <c r="K97" s="42">
        <f t="shared" ca="1" si="74"/>
        <v>0.20383175782016261</v>
      </c>
      <c r="L97" s="42">
        <f t="shared" ca="1" si="74"/>
        <v>0.6244472009280021</v>
      </c>
      <c r="M97" s="42">
        <f t="shared" ca="1" si="74"/>
        <v>0.56110032164241019</v>
      </c>
      <c r="N97" s="42">
        <f t="shared" ca="1" si="74"/>
        <v>0.98616218568935121</v>
      </c>
      <c r="O97" s="42">
        <f t="shared" ca="1" si="74"/>
        <v>0.36298719029316306</v>
      </c>
      <c r="P97" s="42">
        <f t="shared" ca="1" si="74"/>
        <v>0.7633813954144264</v>
      </c>
      <c r="Q97" s="42">
        <f t="shared" ca="1" si="74"/>
        <v>0.30640725374218825</v>
      </c>
      <c r="R97" s="42">
        <f t="shared" ca="1" si="74"/>
        <v>0.79607771021072227</v>
      </c>
      <c r="S97" s="42">
        <f t="shared" ca="1" si="74"/>
        <v>6.3784657285102964E-2</v>
      </c>
      <c r="T97" s="42">
        <f t="shared" ca="1" si="74"/>
        <v>0.71224720222151627</v>
      </c>
      <c r="U97" s="44">
        <f ca="1">(IF(D97&gt;=Inputs!$E$12,1,IF(K97&lt;=Inputs!$C$46,Inputs!$D$46,IF(K97&lt;=Inputs!$C$47,Inputs!$D$47,Inputs!$D$48))))*((Inputs!$B$28+(P97-0.5)*2*Inputs!$B$53)/Inputs!$B$28)</f>
        <v>1.0026658035973119</v>
      </c>
      <c r="V97" s="44">
        <f ca="1">(IF(E97&gt;=Inputs!$E$13,1,IF(L97&lt;=Inputs!$C$46,Inputs!$D$46,IF(L97&lt;=Inputs!$C$47,Inputs!$D$47,Inputs!$D$48))))*((Inputs!$B$29+(Q97-0.5)*2*Inputs!$B$53)/Inputs!$B$29)</f>
        <v>0.29941453806575258</v>
      </c>
      <c r="W97" s="44">
        <f ca="1">(IF(F97&gt;=Inputs!$E$14,1,IF(M97&lt;=Inputs!$C$46,Inputs!$D$46,IF(M97&lt;=Inputs!$C$47,Inputs!$D$47,Inputs!$D$48))))*((Inputs!$B$30+(R97-0.5)*2*Inputs!$B$53)/Inputs!$B$30)</f>
        <v>1.0029756553790021</v>
      </c>
      <c r="X97" s="44">
        <f ca="1">(IF(G97&gt;=Inputs!$E$15,1,IF(N97&lt;=Inputs!$C$46,Inputs!$D$46,IF(N97&lt;=Inputs!$C$47,Inputs!$D$47,Inputs!$D$48))))*((Inputs!$B$31+(S97-0.5)*2*Inputs!$B$53)/Inputs!$B$31)</f>
        <v>0.99557141784045788</v>
      </c>
      <c r="Y97" s="44">
        <f ca="1">(IF(H97&gt;=Inputs!$E$16,1,IF(O97&lt;=Inputs!$C$46,Inputs!$D$46,IF(O97&lt;=Inputs!$C$47,Inputs!$D$47,Inputs!$D$48))))*((Inputs!$B$32+(T97-0.5)*2*Inputs!$B$53)/Inputs!$B$32)</f>
        <v>1.0021352837245625</v>
      </c>
      <c r="Z97" s="45">
        <f ca="1">ILP_B_Moderate!$C$9*U97+ILP_B_Moderate!$C$10*V97+ILP_B_Moderate!$C$11*W97+ILP_B_Moderate!$C$12*X97+ILP_B_Moderate!$C$13*Y97</f>
        <v>15261.14609280173</v>
      </c>
      <c r="AA97" s="45">
        <f ca="1">ILP_B_Moderate!$D$9*U97+ILP_B_Moderate!$D$10*V97+ILP_B_Moderate!$D$11*W97+ILP_B_Moderate!$D$12*X97+ILP_B_Moderate!$D$13*Y97</f>
        <v>9745.5963946386546</v>
      </c>
      <c r="AB97" s="45">
        <f ca="1">ILP_B_Moderate!$E$9*U97+ILP_B_Moderate!$E$10*V97+ILP_B_Moderate!$E$11*W97+ILP_B_Moderate!$E$12*X97+ILP_B_Moderate!$E$13*Y97</f>
        <v>10260.761127853681</v>
      </c>
      <c r="AC97" s="45">
        <f ca="1">Inputs!$B$6*$C97</f>
        <v>16200</v>
      </c>
      <c r="AD97" s="45">
        <f ca="1">Inputs!$B$7*$C97</f>
        <v>13500</v>
      </c>
      <c r="AE97" s="45">
        <f ca="1">Inputs!$B$8*$C97</f>
        <v>10800</v>
      </c>
      <c r="AF97" s="45">
        <f t="shared" ca="1" si="53"/>
        <v>938.85390719827046</v>
      </c>
      <c r="AG97" s="45">
        <f t="shared" ca="1" si="54"/>
        <v>3754.4036053613454</v>
      </c>
      <c r="AH97" s="45">
        <f t="shared" ca="1" si="55"/>
        <v>539.23887214631941</v>
      </c>
      <c r="AI97" s="45">
        <f t="shared" ca="1" si="56"/>
        <v>5232.4963847059353</v>
      </c>
      <c r="AJ97" s="45">
        <f ca="1">U97*(Inputs!$B$12-ILP_B_Moderate!$F$9)+V97*(Inputs!$B$13-ILP_B_Moderate!$F$10)+W97*(Inputs!$B$14-ILP_B_Moderate!$F$11)+X97*(Inputs!$B$15-ILP_B_Moderate!$F$12)+Y97*(Inputs!$B$16-ILP_B_Moderate!$F$13)</f>
        <v>24984.522565064421</v>
      </c>
      <c r="AK97" s="45">
        <f t="shared" ca="1" si="57"/>
        <v>5232.4963847059353</v>
      </c>
      <c r="AL97" s="45">
        <f t="shared" ca="1" si="58"/>
        <v>0</v>
      </c>
      <c r="AM97" s="45">
        <f t="shared" ca="1" si="59"/>
        <v>0</v>
      </c>
      <c r="AN97" s="45">
        <f t="shared" ca="1" si="60"/>
        <v>0</v>
      </c>
      <c r="AO97" s="45">
        <f ca="1">MIN(AL97,Inputs!$B$36)</f>
        <v>0</v>
      </c>
      <c r="AP97" s="45">
        <f ca="1">MIN(AN97,Inputs!$B$36-AO97)</f>
        <v>0</v>
      </c>
      <c r="AQ97" s="45">
        <f ca="1">MIN(AM97,Inputs!$B$36-AO97-AP97)</f>
        <v>0</v>
      </c>
      <c r="AR97" s="45">
        <f t="shared" ca="1" si="61"/>
        <v>0</v>
      </c>
      <c r="AS97" s="45">
        <f t="shared" ca="1" si="62"/>
        <v>0</v>
      </c>
      <c r="AT97" s="45">
        <f t="shared" ca="1" si="63"/>
        <v>0</v>
      </c>
      <c r="AU97" s="45">
        <f t="shared" ca="1" si="64"/>
        <v>0</v>
      </c>
      <c r="AV97" s="46">
        <f ca="1">AU97*Inputs!$B$35</f>
        <v>0</v>
      </c>
      <c r="AW97" s="46">
        <f ca="1">AR97*Inputs!$C$6+AT97*Inputs!$C$7+AS97*Inputs!$C$8</f>
        <v>0</v>
      </c>
      <c r="AX97" s="46">
        <f t="shared" ca="1" si="65"/>
        <v>37299534.447804794</v>
      </c>
      <c r="AY97" s="46">
        <f ca="1">IF(J97&gt;1,($CD$4)*Inputs!$B$55*((Z97+AA97+AB97)/(SUM(ILP_B_Moderate!$C$9:$E$13))),0)</f>
        <v>0</v>
      </c>
      <c r="AZ97" s="46">
        <f t="shared" ca="1" si="66"/>
        <v>0</v>
      </c>
      <c r="BA97" s="41">
        <f t="shared" ca="1" si="67"/>
        <v>0</v>
      </c>
      <c r="BB97" s="41">
        <f t="shared" ca="1" si="68"/>
        <v>1</v>
      </c>
      <c r="BC97" s="41">
        <f t="shared" ca="1" si="69"/>
        <v>1</v>
      </c>
      <c r="BD97" s="41">
        <f t="shared" ca="1" si="70"/>
        <v>1</v>
      </c>
    </row>
    <row r="98" spans="1:56" ht="15" customHeight="1" x14ac:dyDescent="0.3">
      <c r="A98" s="41">
        <v>91</v>
      </c>
      <c r="B98" s="42">
        <f t="shared" ca="1" si="52"/>
        <v>0.72710022618047498</v>
      </c>
      <c r="C98" s="43">
        <f ca="1">IF(B98&lt;=Inputs!$C$40,Inputs!$D$40,IF(B98&lt;=Inputs!$C$41,Inputs!$D$41,Inputs!$D$42))</f>
        <v>1</v>
      </c>
      <c r="D98" s="42">
        <f t="shared" ref="D98:I107" ca="1" si="75">RAND()</f>
        <v>0.30388655948253485</v>
      </c>
      <c r="E98" s="42">
        <f t="shared" ca="1" si="75"/>
        <v>0.14228198318131768</v>
      </c>
      <c r="F98" s="42">
        <f t="shared" ca="1" si="75"/>
        <v>0.29696005097449252</v>
      </c>
      <c r="G98" s="42">
        <f t="shared" ca="1" si="75"/>
        <v>0.39592251972825898</v>
      </c>
      <c r="H98" s="42">
        <f t="shared" ca="1" si="75"/>
        <v>0.19791373029246606</v>
      </c>
      <c r="I98" s="42">
        <f t="shared" ca="1" si="75"/>
        <v>0.6338637748138507</v>
      </c>
      <c r="J98" s="43">
        <f ca="1">IF(I98&lt;Inputs!$B$54,1+Inputs!$B$55,1)</f>
        <v>1</v>
      </c>
      <c r="K98" s="42">
        <f t="shared" ref="K98:T107" ca="1" si="76">RAND()</f>
        <v>0.56126280215895608</v>
      </c>
      <c r="L98" s="42">
        <f t="shared" ca="1" si="76"/>
        <v>0.84568345851770887</v>
      </c>
      <c r="M98" s="42">
        <f t="shared" ca="1" si="76"/>
        <v>0.84298652165022947</v>
      </c>
      <c r="N98" s="42">
        <f t="shared" ca="1" si="76"/>
        <v>0.39236790445157532</v>
      </c>
      <c r="O98" s="42">
        <f t="shared" ca="1" si="76"/>
        <v>0.20002657277623903</v>
      </c>
      <c r="P98" s="42">
        <f t="shared" ca="1" si="76"/>
        <v>0.55422803619434269</v>
      </c>
      <c r="Q98" s="42">
        <f t="shared" ca="1" si="76"/>
        <v>0.47436064150386159</v>
      </c>
      <c r="R98" s="42">
        <f t="shared" ca="1" si="76"/>
        <v>0.80297538995557061</v>
      </c>
      <c r="S98" s="42">
        <f t="shared" ca="1" si="76"/>
        <v>0.70346493190672699</v>
      </c>
      <c r="T98" s="42">
        <f t="shared" ca="1" si="76"/>
        <v>0.31468793795173677</v>
      </c>
      <c r="U98" s="44">
        <f ca="1">(IF(D98&gt;=Inputs!$E$12,1,IF(K98&lt;=Inputs!$C$46,Inputs!$D$46,IF(K98&lt;=Inputs!$C$47,Inputs!$D$47,Inputs!$D$48))))*((Inputs!$B$28+(P98-0.5)*2*Inputs!$B$53)/Inputs!$B$28)</f>
        <v>1.0005488667631006</v>
      </c>
      <c r="V98" s="44">
        <f ca="1">(IF(E98&gt;=Inputs!$E$13,1,IF(L98&lt;=Inputs!$C$46,Inputs!$D$46,IF(L98&lt;=Inputs!$C$47,Inputs!$D$47,Inputs!$D$48))))*((Inputs!$B$29+(Q98-0.5)*2*Inputs!$B$53)/Inputs!$B$29)</f>
        <v>0.99974153872483729</v>
      </c>
      <c r="W98" s="44">
        <f ca="1">(IF(F98&gt;=Inputs!$E$14,1,IF(M98&lt;=Inputs!$C$46,Inputs!$D$46,IF(M98&lt;=Inputs!$C$47,Inputs!$D$47,Inputs!$D$48))))*((Inputs!$B$30+(R98-0.5)*2*Inputs!$B$53)/Inputs!$B$30)</f>
        <v>1.0030449787935234</v>
      </c>
      <c r="X98" s="44">
        <f ca="1">(IF(G98&gt;=Inputs!$E$15,1,IF(N98&lt;=Inputs!$C$46,Inputs!$D$46,IF(N98&lt;=Inputs!$C$47,Inputs!$D$47,Inputs!$D$48))))*((Inputs!$B$31+(S98-0.5)*2*Inputs!$B$53)/Inputs!$B$31)</f>
        <v>1.0020656338264642</v>
      </c>
      <c r="Y98" s="44">
        <f ca="1">(IF(H98&gt;=Inputs!$E$16,1,IF(O98&lt;=Inputs!$C$46,Inputs!$D$46,IF(O98&lt;=Inputs!$C$47,Inputs!$D$47,Inputs!$D$48))))*((Inputs!$B$32+(T98-0.5)*2*Inputs!$B$53)/Inputs!$B$32)</f>
        <v>0.99813569354076193</v>
      </c>
      <c r="Z98" s="45">
        <f ca="1">ILP_B_Moderate!$C$9*U98+ILP_B_Moderate!$C$10*V98+ILP_B_Moderate!$C$11*W98+ILP_B_Moderate!$C$12*X98+ILP_B_Moderate!$C$13*Y98</f>
        <v>18020.404531141929</v>
      </c>
      <c r="AA98" s="45">
        <f ca="1">ILP_B_Moderate!$D$9*U98+ILP_B_Moderate!$D$10*V98+ILP_B_Moderate!$D$11*W98+ILP_B_Moderate!$D$12*X98+ILP_B_Moderate!$D$13*Y98</f>
        <v>15006.45532427822</v>
      </c>
      <c r="AB98" s="45">
        <f ca="1">ILP_B_Moderate!$E$9*U98+ILP_B_Moderate!$E$10*V98+ILP_B_Moderate!$E$11*W98+ILP_B_Moderate!$E$12*X98+ILP_B_Moderate!$E$13*Y98</f>
        <v>11996.147668306308</v>
      </c>
      <c r="AC98" s="45">
        <f ca="1">Inputs!$B$6*$C98</f>
        <v>18000</v>
      </c>
      <c r="AD98" s="45">
        <f ca="1">Inputs!$B$7*$C98</f>
        <v>15000</v>
      </c>
      <c r="AE98" s="45">
        <f ca="1">Inputs!$B$8*$C98</f>
        <v>12000</v>
      </c>
      <c r="AF98" s="45">
        <f t="shared" ca="1" si="53"/>
        <v>0</v>
      </c>
      <c r="AG98" s="45">
        <f t="shared" ca="1" si="54"/>
        <v>0</v>
      </c>
      <c r="AH98" s="45">
        <f t="shared" ca="1" si="55"/>
        <v>3.8523316936916672</v>
      </c>
      <c r="AI98" s="45">
        <f t="shared" ca="1" si="56"/>
        <v>3.8523316936916672</v>
      </c>
      <c r="AJ98" s="45">
        <f ca="1">U98*(Inputs!$B$12-ILP_B_Moderate!$F$9)+V98*(Inputs!$B$13-ILP_B_Moderate!$F$10)+W98*(Inputs!$B$14-ILP_B_Moderate!$F$11)+X98*(Inputs!$B$15-ILP_B_Moderate!$F$12)+Y98*(Inputs!$B$16-ILP_B_Moderate!$F$13)</f>
        <v>25018.563619975677</v>
      </c>
      <c r="AK98" s="45">
        <f t="shared" ca="1" si="57"/>
        <v>3.8523316936916672</v>
      </c>
      <c r="AL98" s="45">
        <f t="shared" ca="1" si="58"/>
        <v>0</v>
      </c>
      <c r="AM98" s="45">
        <f t="shared" ca="1" si="59"/>
        <v>0</v>
      </c>
      <c r="AN98" s="45">
        <f t="shared" ca="1" si="60"/>
        <v>0</v>
      </c>
      <c r="AO98" s="45">
        <f ca="1">MIN(AL98,Inputs!$B$36)</f>
        <v>0</v>
      </c>
      <c r="AP98" s="45">
        <f ca="1">MIN(AN98,Inputs!$B$36-AO98)</f>
        <v>0</v>
      </c>
      <c r="AQ98" s="45">
        <f ca="1">MIN(AM98,Inputs!$B$36-AO98-AP98)</f>
        <v>0</v>
      </c>
      <c r="AR98" s="45">
        <f t="shared" ca="1" si="61"/>
        <v>0</v>
      </c>
      <c r="AS98" s="45">
        <f t="shared" ca="1" si="62"/>
        <v>0</v>
      </c>
      <c r="AT98" s="45">
        <f t="shared" ca="1" si="63"/>
        <v>0</v>
      </c>
      <c r="AU98" s="45">
        <f t="shared" ca="1" si="64"/>
        <v>0</v>
      </c>
      <c r="AV98" s="46">
        <f ca="1">AU98*Inputs!$B$35</f>
        <v>0</v>
      </c>
      <c r="AW98" s="46">
        <f ca="1">AR98*Inputs!$C$6+AT98*Inputs!$C$7+AS98*Inputs!$C$8</f>
        <v>0</v>
      </c>
      <c r="AX98" s="46">
        <f t="shared" ca="1" si="65"/>
        <v>47592363.042540878</v>
      </c>
      <c r="AY98" s="46">
        <f ca="1">IF(J98&gt;1,($CD$4)*Inputs!$B$55*((Z98+AA98+AB98)/(SUM(ILP_B_Moderate!$C$9:$E$13))),0)</f>
        <v>0</v>
      </c>
      <c r="AZ98" s="46">
        <f t="shared" ca="1" si="66"/>
        <v>0</v>
      </c>
      <c r="BA98" s="41">
        <f t="shared" ca="1" si="67"/>
        <v>0</v>
      </c>
      <c r="BB98" s="41">
        <f t="shared" ca="1" si="68"/>
        <v>1</v>
      </c>
      <c r="BC98" s="41">
        <f t="shared" ca="1" si="69"/>
        <v>1</v>
      </c>
      <c r="BD98" s="41">
        <f t="shared" ca="1" si="70"/>
        <v>1</v>
      </c>
    </row>
    <row r="99" spans="1:56" ht="15" customHeight="1" x14ac:dyDescent="0.3">
      <c r="A99" s="41">
        <v>92</v>
      </c>
      <c r="B99" s="42">
        <f t="shared" ca="1" si="52"/>
        <v>0.62927665317919101</v>
      </c>
      <c r="C99" s="43">
        <f ca="1">IF(B99&lt;=Inputs!$C$40,Inputs!$D$40,IF(B99&lt;=Inputs!$C$41,Inputs!$D$41,Inputs!$D$42))</f>
        <v>1</v>
      </c>
      <c r="D99" s="42">
        <f t="shared" ca="1" si="75"/>
        <v>4.7092819711176293E-2</v>
      </c>
      <c r="E99" s="42">
        <f t="shared" ca="1" si="75"/>
        <v>0.24151158791763605</v>
      </c>
      <c r="F99" s="42">
        <f t="shared" ca="1" si="75"/>
        <v>0.34253020254844757</v>
      </c>
      <c r="G99" s="42">
        <f t="shared" ca="1" si="75"/>
        <v>0.23809390114313977</v>
      </c>
      <c r="H99" s="42">
        <f t="shared" ca="1" si="75"/>
        <v>0.21677496684026498</v>
      </c>
      <c r="I99" s="42">
        <f t="shared" ca="1" si="75"/>
        <v>0.49874715124257984</v>
      </c>
      <c r="J99" s="43">
        <f ca="1">IF(I99&lt;Inputs!$B$54,1+Inputs!$B$55,1)</f>
        <v>1</v>
      </c>
      <c r="K99" s="42">
        <f t="shared" ca="1" si="76"/>
        <v>0.44053589432997908</v>
      </c>
      <c r="L99" s="42">
        <f t="shared" ca="1" si="76"/>
        <v>0.95534650446193004</v>
      </c>
      <c r="M99" s="42">
        <f t="shared" ca="1" si="76"/>
        <v>0.93947796274843054</v>
      </c>
      <c r="N99" s="42">
        <f t="shared" ca="1" si="76"/>
        <v>0.58301029100673196</v>
      </c>
      <c r="O99" s="42">
        <f t="shared" ca="1" si="76"/>
        <v>0.75260662778700138</v>
      </c>
      <c r="P99" s="42">
        <f t="shared" ca="1" si="76"/>
        <v>0.55671510267432489</v>
      </c>
      <c r="Q99" s="42">
        <f t="shared" ca="1" si="76"/>
        <v>0.41478183060008256</v>
      </c>
      <c r="R99" s="42">
        <f t="shared" ca="1" si="76"/>
        <v>0.31377425781397128</v>
      </c>
      <c r="S99" s="42">
        <f t="shared" ca="1" si="76"/>
        <v>0.8686056912133765</v>
      </c>
      <c r="T99" s="42">
        <f t="shared" ca="1" si="76"/>
        <v>0.21743365733158548</v>
      </c>
      <c r="U99" s="44">
        <f ca="1">(IF(D99&gt;=Inputs!$E$12,1,IF(K99&lt;=Inputs!$C$46,Inputs!$D$46,IF(K99&lt;=Inputs!$C$47,Inputs!$D$47,Inputs!$D$48))))*((Inputs!$B$28+(P99-0.5)*2*Inputs!$B$53)/Inputs!$B$28)</f>
        <v>0.30017221185022569</v>
      </c>
      <c r="V99" s="44">
        <f ca="1">(IF(E99&gt;=Inputs!$E$13,1,IF(L99&lt;=Inputs!$C$46,Inputs!$D$46,IF(L99&lt;=Inputs!$C$47,Inputs!$D$47,Inputs!$D$48))))*((Inputs!$B$29+(Q99-0.5)*2*Inputs!$B$53)/Inputs!$B$29)</f>
        <v>0.99914094587298474</v>
      </c>
      <c r="W99" s="44">
        <f ca="1">(IF(F99&gt;=Inputs!$E$14,1,IF(M99&lt;=Inputs!$C$46,Inputs!$D$46,IF(M99&lt;=Inputs!$C$47,Inputs!$D$47,Inputs!$D$48))))*((Inputs!$B$30+(R99-0.5)*2*Inputs!$B$53)/Inputs!$B$30)</f>
        <v>0.9981283845006429</v>
      </c>
      <c r="X99" s="44">
        <f ca="1">(IF(G99&gt;=Inputs!$E$15,1,IF(N99&lt;=Inputs!$C$46,Inputs!$D$46,IF(N99&lt;=Inputs!$C$47,Inputs!$D$47,Inputs!$D$48))))*((Inputs!$B$31+(S99-0.5)*2*Inputs!$B$53)/Inputs!$B$31)</f>
        <v>1.0037421897585115</v>
      </c>
      <c r="Y99" s="44">
        <f ca="1">(IF(H99&gt;=Inputs!$E$16,1,IF(O99&lt;=Inputs!$C$46,Inputs!$D$46,IF(O99&lt;=Inputs!$C$47,Inputs!$D$47,Inputs!$D$48))))*((Inputs!$B$32+(T99-0.5)*2*Inputs!$B$53)/Inputs!$B$32)</f>
        <v>0.99715728025484496</v>
      </c>
      <c r="Z99" s="45">
        <f ca="1">ILP_B_Moderate!$C$9*U99+ILP_B_Moderate!$C$10*V99+ILP_B_Moderate!$C$11*W99+ILP_B_Moderate!$C$12*X99+ILP_B_Moderate!$C$13*Y99</f>
        <v>14441.636552614757</v>
      </c>
      <c r="AA99" s="45">
        <f ca="1">ILP_B_Moderate!$D$9*U99+ILP_B_Moderate!$D$10*V99+ILP_B_Moderate!$D$11*W99+ILP_B_Moderate!$D$12*X99+ILP_B_Moderate!$D$13*Y99</f>
        <v>11728.916020625444</v>
      </c>
      <c r="AB99" s="45">
        <f ca="1">ILP_B_Moderate!$E$9*U99+ILP_B_Moderate!$E$10*V99+ILP_B_Moderate!$E$11*W99+ILP_B_Moderate!$E$12*X99+ILP_B_Moderate!$E$13*Y99</f>
        <v>7788.9678553256635</v>
      </c>
      <c r="AC99" s="45">
        <f ca="1">Inputs!$B$6*$C99</f>
        <v>18000</v>
      </c>
      <c r="AD99" s="45">
        <f ca="1">Inputs!$B$7*$C99</f>
        <v>15000</v>
      </c>
      <c r="AE99" s="45">
        <f ca="1">Inputs!$B$8*$C99</f>
        <v>12000</v>
      </c>
      <c r="AF99" s="45">
        <f t="shared" ca="1" si="53"/>
        <v>3558.3634473852435</v>
      </c>
      <c r="AG99" s="45">
        <f t="shared" ca="1" si="54"/>
        <v>3271.0839793745563</v>
      </c>
      <c r="AH99" s="45">
        <f t="shared" ca="1" si="55"/>
        <v>4211.0321446743365</v>
      </c>
      <c r="AI99" s="45">
        <f t="shared" ca="1" si="56"/>
        <v>11040.479571434136</v>
      </c>
      <c r="AJ99" s="45">
        <f ca="1">U99*(Inputs!$B$12-ILP_B_Moderate!$F$9)+V99*(Inputs!$B$13-ILP_B_Moderate!$F$10)+W99*(Inputs!$B$14-ILP_B_Moderate!$F$11)+X99*(Inputs!$B$15-ILP_B_Moderate!$F$12)+Y99*(Inputs!$B$16-ILP_B_Moderate!$F$13)</f>
        <v>24809.142682692702</v>
      </c>
      <c r="AK99" s="45">
        <f t="shared" ca="1" si="57"/>
        <v>11040.479571434136</v>
      </c>
      <c r="AL99" s="45">
        <f t="shared" ca="1" si="58"/>
        <v>0</v>
      </c>
      <c r="AM99" s="45">
        <f t="shared" ca="1" si="59"/>
        <v>0</v>
      </c>
      <c r="AN99" s="45">
        <f t="shared" ca="1" si="60"/>
        <v>0</v>
      </c>
      <c r="AO99" s="45">
        <f ca="1">MIN(AL99,Inputs!$B$36)</f>
        <v>0</v>
      </c>
      <c r="AP99" s="45">
        <f ca="1">MIN(AN99,Inputs!$B$36-AO99)</f>
        <v>0</v>
      </c>
      <c r="AQ99" s="45">
        <f ca="1">MIN(AM99,Inputs!$B$36-AO99-AP99)</f>
        <v>0</v>
      </c>
      <c r="AR99" s="45">
        <f t="shared" ca="1" si="61"/>
        <v>0</v>
      </c>
      <c r="AS99" s="45">
        <f t="shared" ca="1" si="62"/>
        <v>0</v>
      </c>
      <c r="AT99" s="45">
        <f t="shared" ca="1" si="63"/>
        <v>0</v>
      </c>
      <c r="AU99" s="45">
        <f t="shared" ca="1" si="64"/>
        <v>0</v>
      </c>
      <c r="AV99" s="46">
        <f ca="1">AU99*Inputs!$B$35</f>
        <v>0</v>
      </c>
      <c r="AW99" s="46">
        <f ca="1">AR99*Inputs!$C$6+AT99*Inputs!$C$7+AS99*Inputs!$C$8</f>
        <v>0</v>
      </c>
      <c r="AX99" s="46">
        <f t="shared" ca="1" si="65"/>
        <v>35817535.060857363</v>
      </c>
      <c r="AY99" s="46">
        <f ca="1">IF(J99&gt;1,($CD$4)*Inputs!$B$55*((Z99+AA99+AB99)/(SUM(ILP_B_Moderate!$C$9:$E$13))),0)</f>
        <v>0</v>
      </c>
      <c r="AZ99" s="46">
        <f t="shared" ca="1" si="66"/>
        <v>0</v>
      </c>
      <c r="BA99" s="41">
        <f t="shared" ca="1" si="67"/>
        <v>0</v>
      </c>
      <c r="BB99" s="41">
        <f t="shared" ca="1" si="68"/>
        <v>1</v>
      </c>
      <c r="BC99" s="41">
        <f t="shared" ca="1" si="69"/>
        <v>1</v>
      </c>
      <c r="BD99" s="41">
        <f t="shared" ca="1" si="70"/>
        <v>1</v>
      </c>
    </row>
    <row r="100" spans="1:56" ht="15" customHeight="1" x14ac:dyDescent="0.3">
      <c r="A100" s="41">
        <v>93</v>
      </c>
      <c r="B100" s="42">
        <f t="shared" ca="1" si="52"/>
        <v>0.48500418956630709</v>
      </c>
      <c r="C100" s="43">
        <f ca="1">IF(B100&lt;=Inputs!$C$40,Inputs!$D$40,IF(B100&lt;=Inputs!$C$41,Inputs!$D$41,Inputs!$D$42))</f>
        <v>1</v>
      </c>
      <c r="D100" s="42">
        <f t="shared" ca="1" si="75"/>
        <v>0.89427715260758112</v>
      </c>
      <c r="E100" s="42">
        <f t="shared" ca="1" si="75"/>
        <v>0.98608255080774498</v>
      </c>
      <c r="F100" s="42">
        <f t="shared" ca="1" si="75"/>
        <v>0.63187817244884648</v>
      </c>
      <c r="G100" s="42">
        <f t="shared" ca="1" si="75"/>
        <v>5.2671120371063918E-2</v>
      </c>
      <c r="H100" s="42">
        <f t="shared" ca="1" si="75"/>
        <v>0.88859864380078635</v>
      </c>
      <c r="I100" s="42">
        <f t="shared" ca="1" si="75"/>
        <v>0.43670476306001782</v>
      </c>
      <c r="J100" s="43">
        <f ca="1">IF(I100&lt;Inputs!$B$54,1+Inputs!$B$55,1)</f>
        <v>1</v>
      </c>
      <c r="K100" s="42">
        <f t="shared" ca="1" si="76"/>
        <v>0.82286915975606256</v>
      </c>
      <c r="L100" s="42">
        <f t="shared" ca="1" si="76"/>
        <v>0.66262925157280161</v>
      </c>
      <c r="M100" s="42">
        <f t="shared" ca="1" si="76"/>
        <v>0.12989675905498166</v>
      </c>
      <c r="N100" s="42">
        <f t="shared" ca="1" si="76"/>
        <v>0.82281558668475907</v>
      </c>
      <c r="O100" s="42">
        <f t="shared" ca="1" si="76"/>
        <v>0.44090279091816942</v>
      </c>
      <c r="P100" s="42">
        <f t="shared" ca="1" si="76"/>
        <v>0.2456692033871225</v>
      </c>
      <c r="Q100" s="42">
        <f t="shared" ca="1" si="76"/>
        <v>2.8976713010712696E-2</v>
      </c>
      <c r="R100" s="42">
        <f t="shared" ca="1" si="76"/>
        <v>0.46737758318431066</v>
      </c>
      <c r="S100" s="42">
        <f t="shared" ca="1" si="76"/>
        <v>0.24802105523969364</v>
      </c>
      <c r="T100" s="42">
        <f t="shared" ca="1" si="76"/>
        <v>0.54154112398335941</v>
      </c>
      <c r="U100" s="44">
        <f ca="1">(IF(D100&gt;=Inputs!$E$12,1,IF(K100&lt;=Inputs!$C$46,Inputs!$D$46,IF(K100&lt;=Inputs!$C$47,Inputs!$D$47,Inputs!$D$48))))*((Inputs!$B$28+(P100-0.5)*2*Inputs!$B$53)/Inputs!$B$28)</f>
        <v>0.99742580165371586</v>
      </c>
      <c r="V100" s="44">
        <f ca="1">(IF(E100&gt;=Inputs!$E$13,1,IF(L100&lt;=Inputs!$C$46,Inputs!$D$46,IF(L100&lt;=Inputs!$C$47,Inputs!$D$47,Inputs!$D$48))))*((Inputs!$B$29+(Q100-0.5)*2*Inputs!$B$53)/Inputs!$B$29)</f>
        <v>0.99525178138115633</v>
      </c>
      <c r="W100" s="44">
        <f ca="1">(IF(F100&gt;=Inputs!$E$14,1,IF(M100&lt;=Inputs!$C$46,Inputs!$D$46,IF(M100&lt;=Inputs!$C$47,Inputs!$D$47,Inputs!$D$48))))*((Inputs!$B$30+(R100-0.5)*2*Inputs!$B$53)/Inputs!$B$30)</f>
        <v>0.99967213651441522</v>
      </c>
      <c r="X100" s="44">
        <f ca="1">(IF(G100&gt;=Inputs!$E$15,1,IF(N100&lt;=Inputs!$C$46,Inputs!$D$46,IF(N100&lt;=Inputs!$C$47,Inputs!$D$47,Inputs!$D$48))))*((Inputs!$B$31+(S100-0.5)*2*Inputs!$B$53)/Inputs!$B$31)</f>
        <v>0</v>
      </c>
      <c r="Y100" s="44">
        <f ca="1">(IF(H100&gt;=Inputs!$E$16,1,IF(O100&lt;=Inputs!$C$46,Inputs!$D$46,IF(O100&lt;=Inputs!$C$47,Inputs!$D$47,Inputs!$D$48))))*((Inputs!$B$32+(T100-0.5)*2*Inputs!$B$53)/Inputs!$B$32)</f>
        <v>1.0004179187523476</v>
      </c>
      <c r="Z100" s="45">
        <f ca="1">ILP_B_Moderate!$C$9*U100+ILP_B_Moderate!$C$10*V100+ILP_B_Moderate!$C$11*W100+ILP_B_Moderate!$C$12*X100+ILP_B_Moderate!$C$13*Y100</f>
        <v>8968.4144083880929</v>
      </c>
      <c r="AA100" s="45">
        <f ca="1">ILP_B_Moderate!$D$9*U100+ILP_B_Moderate!$D$10*V100+ILP_B_Moderate!$D$11*W100+ILP_B_Moderate!$D$12*X100+ILP_B_Moderate!$D$13*Y100</f>
        <v>12132.341112098064</v>
      </c>
      <c r="AB100" s="45">
        <f ca="1">ILP_B_Moderate!$E$9*U100+ILP_B_Moderate!$E$10*V100+ILP_B_Moderate!$E$11*W100+ILP_B_Moderate!$E$12*X100+ILP_B_Moderate!$E$13*Y100</f>
        <v>11974.064320810463</v>
      </c>
      <c r="AC100" s="45">
        <f ca="1">Inputs!$B$6*$C100</f>
        <v>18000</v>
      </c>
      <c r="AD100" s="45">
        <f ca="1">Inputs!$B$7*$C100</f>
        <v>15000</v>
      </c>
      <c r="AE100" s="45">
        <f ca="1">Inputs!$B$8*$C100</f>
        <v>12000</v>
      </c>
      <c r="AF100" s="45">
        <f t="shared" ca="1" si="53"/>
        <v>9031.5855916119071</v>
      </c>
      <c r="AG100" s="45">
        <f t="shared" ca="1" si="54"/>
        <v>2867.6588879019364</v>
      </c>
      <c r="AH100" s="45">
        <f t="shared" ca="1" si="55"/>
        <v>25.935679189537041</v>
      </c>
      <c r="AI100" s="45">
        <f t="shared" ca="1" si="56"/>
        <v>11925.180158703381</v>
      </c>
      <c r="AJ100" s="45">
        <f ca="1">U100*(Inputs!$B$12-ILP_B_Moderate!$F$9)+V100*(Inputs!$B$13-ILP_B_Moderate!$F$10)+W100*(Inputs!$B$14-ILP_B_Moderate!$F$11)+X100*(Inputs!$B$15-ILP_B_Moderate!$F$12)+Y100*(Inputs!$B$16-ILP_B_Moderate!$F$13)</f>
        <v>24819.524480471635</v>
      </c>
      <c r="AK100" s="45">
        <f t="shared" ca="1" si="57"/>
        <v>11925.180158703381</v>
      </c>
      <c r="AL100" s="45">
        <f t="shared" ca="1" si="58"/>
        <v>0</v>
      </c>
      <c r="AM100" s="45">
        <f t="shared" ca="1" si="59"/>
        <v>0</v>
      </c>
      <c r="AN100" s="45">
        <f t="shared" ca="1" si="60"/>
        <v>0</v>
      </c>
      <c r="AO100" s="45">
        <f ca="1">MIN(AL100,Inputs!$B$36)</f>
        <v>0</v>
      </c>
      <c r="AP100" s="45">
        <f ca="1">MIN(AN100,Inputs!$B$36-AO100)</f>
        <v>0</v>
      </c>
      <c r="AQ100" s="45">
        <f ca="1">MIN(AM100,Inputs!$B$36-AO100-AP100)</f>
        <v>0</v>
      </c>
      <c r="AR100" s="45">
        <f t="shared" ca="1" si="61"/>
        <v>0</v>
      </c>
      <c r="AS100" s="45">
        <f t="shared" ca="1" si="62"/>
        <v>0</v>
      </c>
      <c r="AT100" s="45">
        <f t="shared" ca="1" si="63"/>
        <v>0</v>
      </c>
      <c r="AU100" s="45">
        <f t="shared" ca="1" si="64"/>
        <v>0</v>
      </c>
      <c r="AV100" s="46">
        <f ca="1">AU100*Inputs!$B$35</f>
        <v>0</v>
      </c>
      <c r="AW100" s="46">
        <f ca="1">AR100*Inputs!$C$6+AT100*Inputs!$C$7+AS100*Inputs!$C$8</f>
        <v>0</v>
      </c>
      <c r="AX100" s="46">
        <f t="shared" ca="1" si="65"/>
        <v>35206949.174496435</v>
      </c>
      <c r="AY100" s="46">
        <f ca="1">IF(J100&gt;1,($CD$4)*Inputs!$B$55*((Z100+AA100+AB100)/(SUM(ILP_B_Moderate!$C$9:$E$13))),0)</f>
        <v>0</v>
      </c>
      <c r="AZ100" s="46">
        <f t="shared" ca="1" si="66"/>
        <v>0</v>
      </c>
      <c r="BA100" s="41">
        <f t="shared" ca="1" si="67"/>
        <v>0</v>
      </c>
      <c r="BB100" s="41">
        <f t="shared" ca="1" si="68"/>
        <v>1</v>
      </c>
      <c r="BC100" s="41">
        <f t="shared" ca="1" si="69"/>
        <v>1</v>
      </c>
      <c r="BD100" s="41">
        <f t="shared" ca="1" si="70"/>
        <v>1</v>
      </c>
    </row>
    <row r="101" spans="1:56" ht="15" customHeight="1" x14ac:dyDescent="0.3">
      <c r="A101" s="41">
        <v>94</v>
      </c>
      <c r="B101" s="42">
        <f t="shared" ca="1" si="52"/>
        <v>0.29309732196048566</v>
      </c>
      <c r="C101" s="43">
        <f ca="1">IF(B101&lt;=Inputs!$C$40,Inputs!$D$40,IF(B101&lt;=Inputs!$C$41,Inputs!$D$41,Inputs!$D$42))</f>
        <v>1</v>
      </c>
      <c r="D101" s="42">
        <f t="shared" ca="1" si="75"/>
        <v>0.30814243827889531</v>
      </c>
      <c r="E101" s="42">
        <f t="shared" ca="1" si="75"/>
        <v>0.2058200885475312</v>
      </c>
      <c r="F101" s="42">
        <f t="shared" ca="1" si="75"/>
        <v>0.64805681178499153</v>
      </c>
      <c r="G101" s="42">
        <f t="shared" ca="1" si="75"/>
        <v>0.80786032368315885</v>
      </c>
      <c r="H101" s="42">
        <f t="shared" ca="1" si="75"/>
        <v>0.34685314533601119</v>
      </c>
      <c r="I101" s="42">
        <f t="shared" ca="1" si="75"/>
        <v>0.61562717284241031</v>
      </c>
      <c r="J101" s="43">
        <f ca="1">IF(I101&lt;Inputs!$B$54,1+Inputs!$B$55,1)</f>
        <v>1</v>
      </c>
      <c r="K101" s="42">
        <f t="shared" ca="1" si="76"/>
        <v>0.4672256506623883</v>
      </c>
      <c r="L101" s="42">
        <f t="shared" ca="1" si="76"/>
        <v>0.49552684403933922</v>
      </c>
      <c r="M101" s="42">
        <f t="shared" ca="1" si="76"/>
        <v>0.61134147529837835</v>
      </c>
      <c r="N101" s="42">
        <f t="shared" ca="1" si="76"/>
        <v>3.1241649325803977E-2</v>
      </c>
      <c r="O101" s="42">
        <f t="shared" ca="1" si="76"/>
        <v>0.14082182424395773</v>
      </c>
      <c r="P101" s="42">
        <f t="shared" ca="1" si="76"/>
        <v>0.44407845974777704</v>
      </c>
      <c r="Q101" s="42">
        <f t="shared" ca="1" si="76"/>
        <v>0.86962315604637419</v>
      </c>
      <c r="R101" s="42">
        <f t="shared" ca="1" si="76"/>
        <v>0.80417739238175456</v>
      </c>
      <c r="S101" s="42">
        <f t="shared" ca="1" si="76"/>
        <v>0.29851934835368754</v>
      </c>
      <c r="T101" s="42">
        <f t="shared" ca="1" si="76"/>
        <v>0.47438147033214784</v>
      </c>
      <c r="U101" s="44">
        <f ca="1">(IF(D101&gt;=Inputs!$E$12,1,IF(K101&lt;=Inputs!$C$46,Inputs!$D$46,IF(K101&lt;=Inputs!$C$47,Inputs!$D$47,Inputs!$D$48))))*((Inputs!$B$28+(P101-0.5)*2*Inputs!$B$53)/Inputs!$B$28)</f>
        <v>0.99943399250756859</v>
      </c>
      <c r="V101" s="44">
        <f ca="1">(IF(E101&gt;=Inputs!$E$13,1,IF(L101&lt;=Inputs!$C$46,Inputs!$D$46,IF(L101&lt;=Inputs!$C$47,Inputs!$D$47,Inputs!$D$48))))*((Inputs!$B$29+(Q101-0.5)*2*Inputs!$B$53)/Inputs!$B$29)</f>
        <v>1.0037260398794998</v>
      </c>
      <c r="W101" s="44">
        <f ca="1">(IF(F101&gt;=Inputs!$E$14,1,IF(M101&lt;=Inputs!$C$46,Inputs!$D$46,IF(M101&lt;=Inputs!$C$47,Inputs!$D$47,Inputs!$D$48))))*((Inputs!$B$30+(R101-0.5)*2*Inputs!$B$53)/Inputs!$B$30)</f>
        <v>1.0030570592199171</v>
      </c>
      <c r="X101" s="44">
        <f ca="1">(IF(G101&gt;=Inputs!$E$15,1,IF(N101&lt;=Inputs!$C$46,Inputs!$D$46,IF(N101&lt;=Inputs!$C$47,Inputs!$D$47,Inputs!$D$48))))*((Inputs!$B$31+(S101-0.5)*2*Inputs!$B$53)/Inputs!$B$31)</f>
        <v>0.99795451115079881</v>
      </c>
      <c r="Y101" s="44">
        <f ca="1">(IF(H101&gt;=Inputs!$E$16,1,IF(O101&lt;=Inputs!$C$46,Inputs!$D$46,IF(O101&lt;=Inputs!$C$47,Inputs!$D$47,Inputs!$D$48))))*((Inputs!$B$32+(T101-0.5)*2*Inputs!$B$53)/Inputs!$B$32)</f>
        <v>0.99974226831320068</v>
      </c>
      <c r="Z101" s="45">
        <f ca="1">ILP_B_Moderate!$C$9*U101+ILP_B_Moderate!$C$10*V101+ILP_B_Moderate!$C$11*W101+ILP_B_Moderate!$C$12*X101+ILP_B_Moderate!$C$13*Y101</f>
        <v>17993.115340349425</v>
      </c>
      <c r="AA101" s="45">
        <f ca="1">ILP_B_Moderate!$D$9*U101+ILP_B_Moderate!$D$10*V101+ILP_B_Moderate!$D$11*W101+ILP_B_Moderate!$D$12*X101+ILP_B_Moderate!$D$13*Y101</f>
        <v>15019.528105476922</v>
      </c>
      <c r="AB101" s="45">
        <f ca="1">ILP_B_Moderate!$E$9*U101+ILP_B_Moderate!$E$10*V101+ILP_B_Moderate!$E$11*W101+ILP_B_Moderate!$E$12*X101+ILP_B_Moderate!$E$13*Y101</f>
        <v>12005.080734185423</v>
      </c>
      <c r="AC101" s="45">
        <f ca="1">Inputs!$B$6*$C101</f>
        <v>18000</v>
      </c>
      <c r="AD101" s="45">
        <f ca="1">Inputs!$B$7*$C101</f>
        <v>15000</v>
      </c>
      <c r="AE101" s="45">
        <f ca="1">Inputs!$B$8*$C101</f>
        <v>12000</v>
      </c>
      <c r="AF101" s="45">
        <f t="shared" ca="1" si="53"/>
        <v>6.884659650575486</v>
      </c>
      <c r="AG101" s="45">
        <f t="shared" ca="1" si="54"/>
        <v>0</v>
      </c>
      <c r="AH101" s="45">
        <f t="shared" ca="1" si="55"/>
        <v>0</v>
      </c>
      <c r="AI101" s="45">
        <f t="shared" ca="1" si="56"/>
        <v>6.884659650575486</v>
      </c>
      <c r="AJ101" s="45">
        <f ca="1">U101*(Inputs!$B$12-ILP_B_Moderate!$F$9)+V101*(Inputs!$B$13-ILP_B_Moderate!$F$10)+W101*(Inputs!$B$14-ILP_B_Moderate!$F$11)+X101*(Inputs!$B$15-ILP_B_Moderate!$F$12)+Y101*(Inputs!$B$16-ILP_B_Moderate!$F$13)</f>
        <v>25036.714186788842</v>
      </c>
      <c r="AK101" s="45">
        <f t="shared" ca="1" si="57"/>
        <v>6.884659650575486</v>
      </c>
      <c r="AL101" s="45">
        <f t="shared" ca="1" si="58"/>
        <v>0</v>
      </c>
      <c r="AM101" s="45">
        <f t="shared" ca="1" si="59"/>
        <v>0</v>
      </c>
      <c r="AN101" s="45">
        <f t="shared" ca="1" si="60"/>
        <v>0</v>
      </c>
      <c r="AO101" s="45">
        <f ca="1">MIN(AL101,Inputs!$B$36)</f>
        <v>0</v>
      </c>
      <c r="AP101" s="45">
        <f ca="1">MIN(AN101,Inputs!$B$36-AO101)</f>
        <v>0</v>
      </c>
      <c r="AQ101" s="45">
        <f ca="1">MIN(AM101,Inputs!$B$36-AO101-AP101)</f>
        <v>0</v>
      </c>
      <c r="AR101" s="45">
        <f t="shared" ca="1" si="61"/>
        <v>0</v>
      </c>
      <c r="AS101" s="45">
        <f t="shared" ca="1" si="62"/>
        <v>0</v>
      </c>
      <c r="AT101" s="45">
        <f t="shared" ca="1" si="63"/>
        <v>0</v>
      </c>
      <c r="AU101" s="45">
        <f t="shared" ca="1" si="64"/>
        <v>0</v>
      </c>
      <c r="AV101" s="46">
        <f ca="1">AU101*Inputs!$B$35</f>
        <v>0</v>
      </c>
      <c r="AW101" s="46">
        <f ca="1">AR101*Inputs!$C$6+AT101*Inputs!$C$7+AS101*Inputs!$C$8</f>
        <v>0</v>
      </c>
      <c r="AX101" s="46">
        <f t="shared" ca="1" si="65"/>
        <v>47587808.370327234</v>
      </c>
      <c r="AY101" s="46">
        <f ca="1">IF(J101&gt;1,($CD$4)*Inputs!$B$55*((Z101+AA101+AB101)/(SUM(ILP_B_Moderate!$C$9:$E$13))),0)</f>
        <v>0</v>
      </c>
      <c r="AZ101" s="46">
        <f t="shared" ca="1" si="66"/>
        <v>0</v>
      </c>
      <c r="BA101" s="41">
        <f t="shared" ca="1" si="67"/>
        <v>0</v>
      </c>
      <c r="BB101" s="41">
        <f t="shared" ca="1" si="68"/>
        <v>1</v>
      </c>
      <c r="BC101" s="41">
        <f t="shared" ca="1" si="69"/>
        <v>1</v>
      </c>
      <c r="BD101" s="41">
        <f t="shared" ca="1" si="70"/>
        <v>1</v>
      </c>
    </row>
    <row r="102" spans="1:56" ht="15" customHeight="1" x14ac:dyDescent="0.3">
      <c r="A102" s="41">
        <v>95</v>
      </c>
      <c r="B102" s="42">
        <f t="shared" ca="1" si="52"/>
        <v>0.23567405305795364</v>
      </c>
      <c r="C102" s="43">
        <f ca="1">IF(B102&lt;=Inputs!$C$40,Inputs!$D$40,IF(B102&lt;=Inputs!$C$41,Inputs!$D$41,Inputs!$D$42))</f>
        <v>1</v>
      </c>
      <c r="D102" s="42">
        <f t="shared" ca="1" si="75"/>
        <v>0.96098919396733906</v>
      </c>
      <c r="E102" s="42">
        <f t="shared" ca="1" si="75"/>
        <v>0.19851415148279106</v>
      </c>
      <c r="F102" s="42">
        <f t="shared" ca="1" si="75"/>
        <v>0.51995727341375908</v>
      </c>
      <c r="G102" s="42">
        <f t="shared" ca="1" si="75"/>
        <v>6.4099649754241761E-2</v>
      </c>
      <c r="H102" s="42">
        <f t="shared" ca="1" si="75"/>
        <v>0.49510084990811642</v>
      </c>
      <c r="I102" s="42">
        <f t="shared" ca="1" si="75"/>
        <v>1.9811919799191946E-3</v>
      </c>
      <c r="J102" s="43">
        <f ca="1">IF(I102&lt;Inputs!$B$54,1+Inputs!$B$55,1)</f>
        <v>1.25</v>
      </c>
      <c r="K102" s="42">
        <f t="shared" ca="1" si="76"/>
        <v>0.45796138541629938</v>
      </c>
      <c r="L102" s="42">
        <f t="shared" ca="1" si="76"/>
        <v>0.876916079780792</v>
      </c>
      <c r="M102" s="42">
        <f t="shared" ca="1" si="76"/>
        <v>1.4183731072602734E-2</v>
      </c>
      <c r="N102" s="42">
        <f t="shared" ca="1" si="76"/>
        <v>0.744000664437933</v>
      </c>
      <c r="O102" s="42">
        <f t="shared" ca="1" si="76"/>
        <v>0.69975542234395605</v>
      </c>
      <c r="P102" s="42">
        <f t="shared" ca="1" si="76"/>
        <v>0.36310321067711904</v>
      </c>
      <c r="Q102" s="42">
        <f t="shared" ca="1" si="76"/>
        <v>0.15893189266752961</v>
      </c>
      <c r="R102" s="42">
        <f t="shared" ca="1" si="76"/>
        <v>0.14490973765536852</v>
      </c>
      <c r="S102" s="42">
        <f t="shared" ca="1" si="76"/>
        <v>0.79646311441293782</v>
      </c>
      <c r="T102" s="42">
        <f t="shared" ca="1" si="76"/>
        <v>0.68107362311516884</v>
      </c>
      <c r="U102" s="44">
        <f ca="1">(IF(D102&gt;=Inputs!$E$12,1,IF(K102&lt;=Inputs!$C$46,Inputs!$D$46,IF(K102&lt;=Inputs!$C$47,Inputs!$D$47,Inputs!$D$48))))*((Inputs!$B$28+(P102-0.5)*2*Inputs!$B$53)/Inputs!$B$28)</f>
        <v>0.99861440496636755</v>
      </c>
      <c r="V102" s="44">
        <f ca="1">(IF(E102&gt;=Inputs!$E$13,1,IF(L102&lt;=Inputs!$C$46,Inputs!$D$46,IF(L102&lt;=Inputs!$C$47,Inputs!$D$47,Inputs!$D$48))))*((Inputs!$B$29+(Q102-0.5)*2*Inputs!$B$53)/Inputs!$B$29)</f>
        <v>0.99656181343414851</v>
      </c>
      <c r="W102" s="44">
        <f ca="1">(IF(F102&gt;=Inputs!$E$14,1,IF(M102&lt;=Inputs!$C$46,Inputs!$D$46,IF(M102&lt;=Inputs!$C$47,Inputs!$D$47,Inputs!$D$48))))*((Inputs!$B$30+(R102-0.5)*2*Inputs!$B$53)/Inputs!$B$30)</f>
        <v>0.99643125364477758</v>
      </c>
      <c r="X102" s="44">
        <f ca="1">(IF(G102&gt;=Inputs!$E$15,1,IF(N102&lt;=Inputs!$C$46,Inputs!$D$46,IF(N102&lt;=Inputs!$C$47,Inputs!$D$47,Inputs!$D$48))))*((Inputs!$B$31+(S102-0.5)*2*Inputs!$B$53)/Inputs!$B$31)</f>
        <v>0.30090293334338969</v>
      </c>
      <c r="Y102" s="44">
        <f ca="1">(IF(H102&gt;=Inputs!$E$16,1,IF(O102&lt;=Inputs!$C$46,Inputs!$D$46,IF(O102&lt;=Inputs!$C$47,Inputs!$D$47,Inputs!$D$48))))*((Inputs!$B$32+(T102-0.5)*2*Inputs!$B$53)/Inputs!$B$32)</f>
        <v>1.0018216662285229</v>
      </c>
      <c r="Z102" s="45">
        <f ca="1">ILP_B_Moderate!$C$9*U102+ILP_B_Moderate!$C$10*V102+ILP_B_Moderate!$C$11*W102+ILP_B_Moderate!$C$12*X102+ILP_B_Moderate!$C$13*Y102</f>
        <v>11687.708410375062</v>
      </c>
      <c r="AA102" s="45">
        <f ca="1">ILP_B_Moderate!$D$9*U102+ILP_B_Moderate!$D$10*V102+ILP_B_Moderate!$D$11*W102+ILP_B_Moderate!$D$12*X102+ILP_B_Moderate!$D$13*Y102</f>
        <v>12996.275288027073</v>
      </c>
      <c r="AB102" s="45">
        <f ca="1">ILP_B_Moderate!$E$9*U102+ILP_B_Moderate!$E$10*V102+ILP_B_Moderate!$E$11*W102+ILP_B_Moderate!$E$12*X102+ILP_B_Moderate!$E$13*Y102</f>
        <v>11989.382637538698</v>
      </c>
      <c r="AC102" s="45">
        <f ca="1">Inputs!$B$6*$C102</f>
        <v>18000</v>
      </c>
      <c r="AD102" s="45">
        <f ca="1">Inputs!$B$7*$C102</f>
        <v>15000</v>
      </c>
      <c r="AE102" s="45">
        <f ca="1">Inputs!$B$8*$C102</f>
        <v>12000</v>
      </c>
      <c r="AF102" s="45">
        <f t="shared" ca="1" si="53"/>
        <v>6312.2915896249378</v>
      </c>
      <c r="AG102" s="45">
        <f t="shared" ca="1" si="54"/>
        <v>2003.7247119729273</v>
      </c>
      <c r="AH102" s="45">
        <f t="shared" ca="1" si="55"/>
        <v>10.617362461302037</v>
      </c>
      <c r="AI102" s="45">
        <f t="shared" ca="1" si="56"/>
        <v>8326.6336640591671</v>
      </c>
      <c r="AJ102" s="45">
        <f ca="1">U102*(Inputs!$B$12-ILP_B_Moderate!$F$9)+V102*(Inputs!$B$13-ILP_B_Moderate!$F$10)+W102*(Inputs!$B$14-ILP_B_Moderate!$F$11)+X102*(Inputs!$B$15-ILP_B_Moderate!$F$12)+Y102*(Inputs!$B$16-ILP_B_Moderate!$F$13)</f>
        <v>24848.096022529753</v>
      </c>
      <c r="AK102" s="45">
        <f t="shared" ca="1" si="57"/>
        <v>8326.6336640591671</v>
      </c>
      <c r="AL102" s="45">
        <f t="shared" ca="1" si="58"/>
        <v>0</v>
      </c>
      <c r="AM102" s="45">
        <f t="shared" ca="1" si="59"/>
        <v>0</v>
      </c>
      <c r="AN102" s="45">
        <f t="shared" ca="1" si="60"/>
        <v>0</v>
      </c>
      <c r="AO102" s="45">
        <f ca="1">MIN(AL102,Inputs!$B$36)</f>
        <v>0</v>
      </c>
      <c r="AP102" s="45">
        <f ca="1">MIN(AN102,Inputs!$B$36-AO102)</f>
        <v>0</v>
      </c>
      <c r="AQ102" s="45">
        <f ca="1">MIN(AM102,Inputs!$B$36-AO102-AP102)</f>
        <v>0</v>
      </c>
      <c r="AR102" s="45">
        <f t="shared" ca="1" si="61"/>
        <v>0</v>
      </c>
      <c r="AS102" s="45">
        <f t="shared" ca="1" si="62"/>
        <v>0</v>
      </c>
      <c r="AT102" s="45">
        <f t="shared" ca="1" si="63"/>
        <v>0</v>
      </c>
      <c r="AU102" s="45">
        <f t="shared" ca="1" si="64"/>
        <v>0</v>
      </c>
      <c r="AV102" s="46">
        <f ca="1">AU102*Inputs!$B$35</f>
        <v>0</v>
      </c>
      <c r="AW102" s="46">
        <f ca="1">AR102*Inputs!$C$6+AT102*Inputs!$C$7+AS102*Inputs!$C$8</f>
        <v>0</v>
      </c>
      <c r="AX102" s="46">
        <f t="shared" ca="1" si="65"/>
        <v>38937752.768923029</v>
      </c>
      <c r="AY102" s="46">
        <f ca="1">IF(J102&gt;1,($CD$4)*Inputs!$B$55*((Z102+AA102+AB102)/(SUM(ILP_B_Moderate!$C$9:$E$13))),0)</f>
        <v>465107.93114632869</v>
      </c>
      <c r="AZ102" s="46">
        <f t="shared" ca="1" si="66"/>
        <v>0</v>
      </c>
      <c r="BA102" s="41">
        <f t="shared" ca="1" si="67"/>
        <v>0</v>
      </c>
      <c r="BB102" s="41">
        <f t="shared" ca="1" si="68"/>
        <v>1</v>
      </c>
      <c r="BC102" s="41">
        <f t="shared" ca="1" si="69"/>
        <v>1</v>
      </c>
      <c r="BD102" s="41">
        <f t="shared" ca="1" si="70"/>
        <v>1</v>
      </c>
    </row>
    <row r="103" spans="1:56" ht="15" customHeight="1" x14ac:dyDescent="0.3">
      <c r="A103" s="41">
        <v>96</v>
      </c>
      <c r="B103" s="42">
        <f t="shared" ca="1" si="52"/>
        <v>0.56373916224088616</v>
      </c>
      <c r="C103" s="43">
        <f ca="1">IF(B103&lt;=Inputs!$C$40,Inputs!$D$40,IF(B103&lt;=Inputs!$C$41,Inputs!$D$41,Inputs!$D$42))</f>
        <v>1</v>
      </c>
      <c r="D103" s="42">
        <f t="shared" ca="1" si="75"/>
        <v>0.51367471019084221</v>
      </c>
      <c r="E103" s="42">
        <f t="shared" ca="1" si="75"/>
        <v>0.3930055095016789</v>
      </c>
      <c r="F103" s="42">
        <f t="shared" ca="1" si="75"/>
        <v>0.15944160503119353</v>
      </c>
      <c r="G103" s="42">
        <f t="shared" ca="1" si="75"/>
        <v>0.71686799428712422</v>
      </c>
      <c r="H103" s="42">
        <f t="shared" ca="1" si="75"/>
        <v>0.59785537539564304</v>
      </c>
      <c r="I103" s="42">
        <f t="shared" ca="1" si="75"/>
        <v>0.93995261369336958</v>
      </c>
      <c r="J103" s="43">
        <f ca="1">IF(I103&lt;Inputs!$B$54,1+Inputs!$B$55,1)</f>
        <v>1</v>
      </c>
      <c r="K103" s="42">
        <f t="shared" ca="1" si="76"/>
        <v>0.26402573548125241</v>
      </c>
      <c r="L103" s="42">
        <f t="shared" ca="1" si="76"/>
        <v>0.89857430699543861</v>
      </c>
      <c r="M103" s="42">
        <f t="shared" ca="1" si="76"/>
        <v>0.91747392035222186</v>
      </c>
      <c r="N103" s="42">
        <f t="shared" ca="1" si="76"/>
        <v>0.35084712144621921</v>
      </c>
      <c r="O103" s="42">
        <f t="shared" ca="1" si="76"/>
        <v>0.28698362549051548</v>
      </c>
      <c r="P103" s="42">
        <f t="shared" ca="1" si="76"/>
        <v>0.10489993648659968</v>
      </c>
      <c r="Q103" s="42">
        <f t="shared" ca="1" si="76"/>
        <v>6.046711306475383E-2</v>
      </c>
      <c r="R103" s="42">
        <f t="shared" ca="1" si="76"/>
        <v>0.66457347321151583</v>
      </c>
      <c r="S103" s="42">
        <f t="shared" ca="1" si="76"/>
        <v>0.66942887875292822</v>
      </c>
      <c r="T103" s="42">
        <f t="shared" ca="1" si="76"/>
        <v>0.51097277838290178</v>
      </c>
      <c r="U103" s="44">
        <f ca="1">(IF(D103&gt;=Inputs!$E$12,1,IF(K103&lt;=Inputs!$C$46,Inputs!$D$46,IF(K103&lt;=Inputs!$C$47,Inputs!$D$47,Inputs!$D$48))))*((Inputs!$B$28+(P103-0.5)*2*Inputs!$B$53)/Inputs!$B$28)</f>
        <v>0.99600101150290088</v>
      </c>
      <c r="V103" s="44">
        <f ca="1">(IF(E103&gt;=Inputs!$E$13,1,IF(L103&lt;=Inputs!$C$46,Inputs!$D$46,IF(L103&lt;=Inputs!$C$47,Inputs!$D$47,Inputs!$D$48))))*((Inputs!$B$29+(Q103-0.5)*2*Inputs!$B$53)/Inputs!$B$29)</f>
        <v>0.99556922493008826</v>
      </c>
      <c r="W103" s="44">
        <f ca="1">(IF(F103&gt;=Inputs!$E$14,1,IF(M103&lt;=Inputs!$C$46,Inputs!$D$46,IF(M103&lt;=Inputs!$C$47,Inputs!$D$47,Inputs!$D$48))))*((Inputs!$B$30+(R103-0.5)*2*Inputs!$B$53)/Inputs!$B$30)</f>
        <v>1.0016540047558946</v>
      </c>
      <c r="X103" s="44">
        <f ca="1">(IF(G103&gt;=Inputs!$E$15,1,IF(N103&lt;=Inputs!$C$46,Inputs!$D$46,IF(N103&lt;=Inputs!$C$47,Inputs!$D$47,Inputs!$D$48))))*((Inputs!$B$31+(S103-0.5)*2*Inputs!$B$53)/Inputs!$B$31)</f>
        <v>1.0017200901396237</v>
      </c>
      <c r="Y103" s="44">
        <f ca="1">(IF(H103&gt;=Inputs!$E$16,1,IF(O103&lt;=Inputs!$C$46,Inputs!$D$46,IF(O103&lt;=Inputs!$C$47,Inputs!$D$47,Inputs!$D$48))))*((Inputs!$B$32+(T103-0.5)*2*Inputs!$B$53)/Inputs!$B$32)</f>
        <v>1.0001103901245765</v>
      </c>
      <c r="Z103" s="45">
        <f ca="1">ILP_B_Moderate!$C$9*U103+ILP_B_Moderate!$C$10*V103+ILP_B_Moderate!$C$11*W103+ILP_B_Moderate!$C$12*X103+ILP_B_Moderate!$C$13*Y103</f>
        <v>17977.81803717279</v>
      </c>
      <c r="AA103" s="45">
        <f ca="1">ILP_B_Moderate!$D$9*U103+ILP_B_Moderate!$D$10*V103+ILP_B_Moderate!$D$11*W103+ILP_B_Moderate!$D$12*X103+ILP_B_Moderate!$D$13*Y103</f>
        <v>14952.904575002976</v>
      </c>
      <c r="AB103" s="45">
        <f ca="1">ILP_B_Moderate!$E$9*U103+ILP_B_Moderate!$E$10*V103+ILP_B_Moderate!$E$11*W103+ILP_B_Moderate!$E$12*X103+ILP_B_Moderate!$E$13*Y103</f>
        <v>11965.242838135531</v>
      </c>
      <c r="AC103" s="45">
        <f ca="1">Inputs!$B$6*$C103</f>
        <v>18000</v>
      </c>
      <c r="AD103" s="45">
        <f ca="1">Inputs!$B$7*$C103</f>
        <v>15000</v>
      </c>
      <c r="AE103" s="45">
        <f ca="1">Inputs!$B$8*$C103</f>
        <v>12000</v>
      </c>
      <c r="AF103" s="45">
        <f t="shared" ca="1" si="53"/>
        <v>22.181962827209645</v>
      </c>
      <c r="AG103" s="45">
        <f t="shared" ca="1" si="54"/>
        <v>47.095424997023656</v>
      </c>
      <c r="AH103" s="45">
        <f t="shared" ca="1" si="55"/>
        <v>34.757161864468799</v>
      </c>
      <c r="AI103" s="45">
        <f t="shared" ca="1" si="56"/>
        <v>104.0345496887021</v>
      </c>
      <c r="AJ103" s="45">
        <f ca="1">U103*(Inputs!$B$12-ILP_B_Moderate!$F$9)+V103*(Inputs!$B$13-ILP_B_Moderate!$F$10)+W103*(Inputs!$B$14-ILP_B_Moderate!$F$11)+X103*(Inputs!$B$15-ILP_B_Moderate!$F$12)+Y103*(Inputs!$B$16-ILP_B_Moderate!$F$13)</f>
        <v>25021.818878127109</v>
      </c>
      <c r="AK103" s="45">
        <f t="shared" ca="1" si="57"/>
        <v>104.0345496887021</v>
      </c>
      <c r="AL103" s="45">
        <f t="shared" ca="1" si="58"/>
        <v>0</v>
      </c>
      <c r="AM103" s="45">
        <f t="shared" ca="1" si="59"/>
        <v>0</v>
      </c>
      <c r="AN103" s="45">
        <f t="shared" ca="1" si="60"/>
        <v>0</v>
      </c>
      <c r="AO103" s="45">
        <f ca="1">MIN(AL103,Inputs!$B$36)</f>
        <v>0</v>
      </c>
      <c r="AP103" s="45">
        <f ca="1">MIN(AN103,Inputs!$B$36-AO103)</f>
        <v>0</v>
      </c>
      <c r="AQ103" s="45">
        <f ca="1">MIN(AM103,Inputs!$B$36-AO103-AP103)</f>
        <v>0</v>
      </c>
      <c r="AR103" s="45">
        <f t="shared" ca="1" si="61"/>
        <v>0</v>
      </c>
      <c r="AS103" s="45">
        <f t="shared" ca="1" si="62"/>
        <v>0</v>
      </c>
      <c r="AT103" s="45">
        <f t="shared" ca="1" si="63"/>
        <v>0</v>
      </c>
      <c r="AU103" s="45">
        <f t="shared" ca="1" si="64"/>
        <v>0</v>
      </c>
      <c r="AV103" s="46">
        <f ca="1">AU103*Inputs!$B$35</f>
        <v>0</v>
      </c>
      <c r="AW103" s="46">
        <f ca="1">AR103*Inputs!$C$6+AT103*Inputs!$C$7+AS103*Inputs!$C$8</f>
        <v>0</v>
      </c>
      <c r="AX103" s="46">
        <f t="shared" ca="1" si="65"/>
        <v>47458047.678043857</v>
      </c>
      <c r="AY103" s="46">
        <f ca="1">IF(J103&gt;1,($CD$4)*Inputs!$B$55*((Z103+AA103+AB103)/(SUM(ILP_B_Moderate!$C$9:$E$13))),0)</f>
        <v>0</v>
      </c>
      <c r="AZ103" s="46">
        <f t="shared" ca="1" si="66"/>
        <v>0</v>
      </c>
      <c r="BA103" s="41">
        <f t="shared" ca="1" si="67"/>
        <v>0</v>
      </c>
      <c r="BB103" s="41">
        <f t="shared" ca="1" si="68"/>
        <v>1</v>
      </c>
      <c r="BC103" s="41">
        <f t="shared" ca="1" si="69"/>
        <v>1</v>
      </c>
      <c r="BD103" s="41">
        <f t="shared" ca="1" si="70"/>
        <v>1</v>
      </c>
    </row>
    <row r="104" spans="1:56" ht="15" customHeight="1" x14ac:dyDescent="0.3">
      <c r="A104" s="41">
        <v>97</v>
      </c>
      <c r="B104" s="42">
        <f t="shared" ref="B104:B135" ca="1" si="77">RAND()</f>
        <v>0.62103692860210669</v>
      </c>
      <c r="C104" s="43">
        <f ca="1">IF(B104&lt;=Inputs!$C$40,Inputs!$D$40,IF(B104&lt;=Inputs!$C$41,Inputs!$D$41,Inputs!$D$42))</f>
        <v>1</v>
      </c>
      <c r="D104" s="42">
        <f t="shared" ca="1" si="75"/>
        <v>0.91599161326467871</v>
      </c>
      <c r="E104" s="42">
        <f t="shared" ca="1" si="75"/>
        <v>0.39026493826886766</v>
      </c>
      <c r="F104" s="42">
        <f t="shared" ca="1" si="75"/>
        <v>0.93147959490705934</v>
      </c>
      <c r="G104" s="42">
        <f t="shared" ca="1" si="75"/>
        <v>0.81091207181418967</v>
      </c>
      <c r="H104" s="42">
        <f t="shared" ca="1" si="75"/>
        <v>9.3605591812166322E-2</v>
      </c>
      <c r="I104" s="42">
        <f t="shared" ca="1" si="75"/>
        <v>0.17220594333680539</v>
      </c>
      <c r="J104" s="43">
        <f ca="1">IF(I104&lt;Inputs!$B$54,1+Inputs!$B$55,1)</f>
        <v>1</v>
      </c>
      <c r="K104" s="42">
        <f t="shared" ca="1" si="76"/>
        <v>0.36495354026344329</v>
      </c>
      <c r="L104" s="42">
        <f t="shared" ca="1" si="76"/>
        <v>0.58252848970636795</v>
      </c>
      <c r="M104" s="42">
        <f t="shared" ca="1" si="76"/>
        <v>5.3145829671767286E-2</v>
      </c>
      <c r="N104" s="42">
        <f t="shared" ca="1" si="76"/>
        <v>0.96528819035414948</v>
      </c>
      <c r="O104" s="42">
        <f t="shared" ca="1" si="76"/>
        <v>0.60726165866706405</v>
      </c>
      <c r="P104" s="42">
        <f t="shared" ca="1" si="76"/>
        <v>0.54257130509364371</v>
      </c>
      <c r="Q104" s="42">
        <f t="shared" ca="1" si="76"/>
        <v>0.19102630481048199</v>
      </c>
      <c r="R104" s="42">
        <f t="shared" ca="1" si="76"/>
        <v>0.93488176853678062</v>
      </c>
      <c r="S104" s="42">
        <f t="shared" ca="1" si="76"/>
        <v>0.3860821802370441</v>
      </c>
      <c r="T104" s="42">
        <f t="shared" ca="1" si="76"/>
        <v>0.85213707203307187</v>
      </c>
      <c r="U104" s="44">
        <f ca="1">(IF(D104&gt;=Inputs!$E$12,1,IF(K104&lt;=Inputs!$C$46,Inputs!$D$46,IF(K104&lt;=Inputs!$C$47,Inputs!$D$47,Inputs!$D$48))))*((Inputs!$B$28+(P104-0.5)*2*Inputs!$B$53)/Inputs!$B$28)</f>
        <v>1.0004308836547939</v>
      </c>
      <c r="V104" s="44">
        <f ca="1">(IF(E104&gt;=Inputs!$E$13,1,IF(L104&lt;=Inputs!$C$46,Inputs!$D$46,IF(L104&lt;=Inputs!$C$47,Inputs!$D$47,Inputs!$D$48))))*((Inputs!$B$29+(Q104-0.5)*2*Inputs!$B$53)/Inputs!$B$29)</f>
        <v>0.99688534581462174</v>
      </c>
      <c r="W104" s="44">
        <f ca="1">(IF(F104&gt;=Inputs!$E$14,1,IF(M104&lt;=Inputs!$C$46,Inputs!$D$46,IF(M104&lt;=Inputs!$C$47,Inputs!$D$47,Inputs!$D$48))))*((Inputs!$B$30+(R104-0.5)*2*Inputs!$B$53)/Inputs!$B$30)</f>
        <v>1.0043706710405707</v>
      </c>
      <c r="X104" s="44">
        <f ca="1">(IF(G104&gt;=Inputs!$E$15,1,IF(N104&lt;=Inputs!$C$46,Inputs!$D$46,IF(N104&lt;=Inputs!$C$47,Inputs!$D$47,Inputs!$D$48))))*((Inputs!$B$31+(S104-0.5)*2*Inputs!$B$53)/Inputs!$B$31)</f>
        <v>0.99884347391103601</v>
      </c>
      <c r="Y104" s="44">
        <f ca="1">(IF(H104&gt;=Inputs!$E$16,1,IF(O104&lt;=Inputs!$C$46,Inputs!$D$46,IF(O104&lt;=Inputs!$C$47,Inputs!$D$47,Inputs!$D$48))))*((Inputs!$B$32+(T104-0.5)*2*Inputs!$B$53)/Inputs!$B$32)</f>
        <v>1.003542626479206</v>
      </c>
      <c r="Z104" s="45">
        <f ca="1">ILP_B_Moderate!$C$9*U104+ILP_B_Moderate!$C$10*V104+ILP_B_Moderate!$C$11*W104+ILP_B_Moderate!$C$12*X104+ILP_B_Moderate!$C$13*Y104</f>
        <v>17979.740895575324</v>
      </c>
      <c r="AA104" s="45">
        <f ca="1">ILP_B_Moderate!$D$9*U104+ILP_B_Moderate!$D$10*V104+ILP_B_Moderate!$D$11*W104+ILP_B_Moderate!$D$12*X104+ILP_B_Moderate!$D$13*Y104</f>
        <v>14975.39522554322</v>
      </c>
      <c r="AB104" s="45">
        <f ca="1">ILP_B_Moderate!$E$9*U104+ILP_B_Moderate!$E$10*V104+ILP_B_Moderate!$E$11*W104+ILP_B_Moderate!$E$12*X104+ILP_B_Moderate!$E$13*Y104</f>
        <v>12007.091342651906</v>
      </c>
      <c r="AC104" s="45">
        <f ca="1">Inputs!$B$6*$C104</f>
        <v>18000</v>
      </c>
      <c r="AD104" s="45">
        <f ca="1">Inputs!$B$7*$C104</f>
        <v>15000</v>
      </c>
      <c r="AE104" s="45">
        <f ca="1">Inputs!$B$8*$C104</f>
        <v>12000</v>
      </c>
      <c r="AF104" s="45">
        <f t="shared" ref="AF104:AF135" ca="1" si="78">MAX(0,AC104-Z104)</f>
        <v>20.25910442467648</v>
      </c>
      <c r="AG104" s="45">
        <f t="shared" ref="AG104:AG135" ca="1" si="79">MAX(0,AD104-AA104)</f>
        <v>24.604774456780433</v>
      </c>
      <c r="AH104" s="45">
        <f t="shared" ref="AH104:AH135" ca="1" si="80">MAX(0,AE104-AB104)</f>
        <v>0</v>
      </c>
      <c r="AI104" s="45">
        <f t="shared" ref="AI104:AI135" ca="1" si="81">SUM(AF104:AH104)</f>
        <v>44.863878881456912</v>
      </c>
      <c r="AJ104" s="45">
        <f ca="1">U104*(Inputs!$B$12-ILP_B_Moderate!$F$9)+V104*(Inputs!$B$13-ILP_B_Moderate!$F$10)+W104*(Inputs!$B$14-ILP_B_Moderate!$F$11)+X104*(Inputs!$B$15-ILP_B_Moderate!$F$12)+Y104*(Inputs!$B$16-ILP_B_Moderate!$F$13)</f>
        <v>25097.1413237589</v>
      </c>
      <c r="AK104" s="45">
        <f t="shared" ref="AK104:AK135" ca="1" si="82">MIN(AI104,MAX(0,AJ104))</f>
        <v>44.863878881456912</v>
      </c>
      <c r="AL104" s="45">
        <f t="shared" ref="AL104:AL135" ca="1" si="83">AF104*(1-(IF(AI104&gt;0,AK104/AI104,0)))</f>
        <v>0</v>
      </c>
      <c r="AM104" s="45">
        <f t="shared" ref="AM104:AM135" ca="1" si="84">AG104*(1-(IF(AI104&gt;0,AK104/AI104,0)))</f>
        <v>0</v>
      </c>
      <c r="AN104" s="45">
        <f t="shared" ref="AN104:AN135" ca="1" si="85">AH104*(1-(IF(AI104&gt;0,AK104/AI104,0)))</f>
        <v>0</v>
      </c>
      <c r="AO104" s="45">
        <f ca="1">MIN(AL104,Inputs!$B$36)</f>
        <v>0</v>
      </c>
      <c r="AP104" s="45">
        <f ca="1">MIN(AN104,Inputs!$B$36-AO104)</f>
        <v>0</v>
      </c>
      <c r="AQ104" s="45">
        <f ca="1">MIN(AM104,Inputs!$B$36-AO104-AP104)</f>
        <v>0</v>
      </c>
      <c r="AR104" s="45">
        <f t="shared" ref="AR104:AR135" ca="1" si="86">AL104-AO104</f>
        <v>0</v>
      </c>
      <c r="AS104" s="45">
        <f t="shared" ref="AS104:AS135" ca="1" si="87">AN104-AP104</f>
        <v>0</v>
      </c>
      <c r="AT104" s="45">
        <f t="shared" ref="AT104:AT135" ca="1" si="88">AM104-AQ104</f>
        <v>0</v>
      </c>
      <c r="AU104" s="45">
        <f t="shared" ref="AU104:AU135" ca="1" si="89">AO104+AP104+AQ104</f>
        <v>0</v>
      </c>
      <c r="AV104" s="46">
        <f ca="1">AU104*Inputs!$B$35</f>
        <v>0</v>
      </c>
      <c r="AW104" s="46">
        <f ca="1">AR104*Inputs!$C$6+AT104*Inputs!$C$7+AS104*Inputs!$C$8</f>
        <v>0</v>
      </c>
      <c r="AX104" s="46">
        <f t="shared" ref="AX104:AX135" ca="1" si="90">Z104*$CA$4+AA104*$CB$4+AB104*$CC$4</f>
        <v>47529797.410263866</v>
      </c>
      <c r="AY104" s="46">
        <f ca="1">IF(J104&gt;1,($CD$4)*Inputs!$B$55*((Z104+AA104+AB104)/(SUM(ILP_B_Moderate!$C$9:$E$13))),0)</f>
        <v>0</v>
      </c>
      <c r="AZ104" s="46">
        <f t="shared" ref="AZ104:AZ135" ca="1" si="91">AV104+AW104</f>
        <v>0</v>
      </c>
      <c r="BA104" s="41">
        <f t="shared" ref="BA104:BA135" ca="1" si="92">IF(AR104+AT104+AS104&gt;0,1,0)</f>
        <v>0</v>
      </c>
      <c r="BB104" s="41">
        <f t="shared" ref="BB104:BB135" ca="1" si="93">IF(AR104=0,1,0)</f>
        <v>1</v>
      </c>
      <c r="BC104" s="41">
        <f t="shared" ref="BC104:BC135" ca="1" si="94">IF(AT104=0,1,0)</f>
        <v>1</v>
      </c>
      <c r="BD104" s="41">
        <f t="shared" ref="BD104:BD135" ca="1" si="95">IF(AS104=0,1,0)</f>
        <v>1</v>
      </c>
    </row>
    <row r="105" spans="1:56" ht="15" customHeight="1" x14ac:dyDescent="0.3">
      <c r="A105" s="41">
        <v>98</v>
      </c>
      <c r="B105" s="42">
        <f t="shared" ca="1" si="77"/>
        <v>0.95088935046428291</v>
      </c>
      <c r="C105" s="43">
        <f ca="1">IF(B105&lt;=Inputs!$C$40,Inputs!$D$40,IF(B105&lt;=Inputs!$C$41,Inputs!$D$41,Inputs!$D$42))</f>
        <v>1.1499999999999999</v>
      </c>
      <c r="D105" s="42">
        <f t="shared" ca="1" si="75"/>
        <v>0.99676028988603038</v>
      </c>
      <c r="E105" s="42">
        <f t="shared" ca="1" si="75"/>
        <v>0.48044189922891889</v>
      </c>
      <c r="F105" s="42">
        <f t="shared" ca="1" si="75"/>
        <v>0.80940316455607242</v>
      </c>
      <c r="G105" s="42">
        <f t="shared" ca="1" si="75"/>
        <v>0.83485540547328951</v>
      </c>
      <c r="H105" s="42">
        <f t="shared" ca="1" si="75"/>
        <v>0.96429096736157882</v>
      </c>
      <c r="I105" s="42">
        <f t="shared" ca="1" si="75"/>
        <v>0.8771450159564006</v>
      </c>
      <c r="J105" s="43">
        <f ca="1">IF(I105&lt;Inputs!$B$54,1+Inputs!$B$55,1)</f>
        <v>1</v>
      </c>
      <c r="K105" s="42">
        <f t="shared" ca="1" si="76"/>
        <v>0.23757888240568537</v>
      </c>
      <c r="L105" s="42">
        <f t="shared" ca="1" si="76"/>
        <v>0.47564152757860334</v>
      </c>
      <c r="M105" s="42">
        <f t="shared" ca="1" si="76"/>
        <v>9.7480017318175793E-2</v>
      </c>
      <c r="N105" s="42">
        <f t="shared" ca="1" si="76"/>
        <v>0.95033467218949808</v>
      </c>
      <c r="O105" s="42">
        <f t="shared" ca="1" si="76"/>
        <v>0.51903516942287597</v>
      </c>
      <c r="P105" s="42">
        <f t="shared" ca="1" si="76"/>
        <v>0.82118927906826422</v>
      </c>
      <c r="Q105" s="42">
        <f t="shared" ca="1" si="76"/>
        <v>0.10262804746528675</v>
      </c>
      <c r="R105" s="42">
        <f t="shared" ca="1" si="76"/>
        <v>0.72252302159521165</v>
      </c>
      <c r="S105" s="42">
        <f t="shared" ca="1" si="76"/>
        <v>0.56627592267407745</v>
      </c>
      <c r="T105" s="42">
        <f t="shared" ca="1" si="76"/>
        <v>0.68782712066325868</v>
      </c>
      <c r="U105" s="44">
        <f ca="1">(IF(D105&gt;=Inputs!$E$12,1,IF(K105&lt;=Inputs!$C$46,Inputs!$D$46,IF(K105&lt;=Inputs!$C$47,Inputs!$D$47,Inputs!$D$48))))*((Inputs!$B$28+(P105-0.5)*2*Inputs!$B$53)/Inputs!$B$28)</f>
        <v>1.0032509036342943</v>
      </c>
      <c r="V105" s="44">
        <f ca="1">(IF(E105&gt;=Inputs!$E$13,1,IF(L105&lt;=Inputs!$C$46,Inputs!$D$46,IF(L105&lt;=Inputs!$C$47,Inputs!$D$47,Inputs!$D$48))))*((Inputs!$B$29+(Q105-0.5)*2*Inputs!$B$53)/Inputs!$B$29)</f>
        <v>0.99599423434944845</v>
      </c>
      <c r="W105" s="44">
        <f ca="1">(IF(F105&gt;=Inputs!$E$14,1,IF(M105&lt;=Inputs!$C$46,Inputs!$D$46,IF(M105&lt;=Inputs!$C$47,Inputs!$D$47,Inputs!$D$48))))*((Inputs!$B$30+(R105-0.5)*2*Inputs!$B$53)/Inputs!$B$30)</f>
        <v>1.0022364122773388</v>
      </c>
      <c r="X105" s="44">
        <f ca="1">(IF(G105&gt;=Inputs!$E$15,1,IF(N105&lt;=Inputs!$C$46,Inputs!$D$46,IF(N105&lt;=Inputs!$C$47,Inputs!$D$47,Inputs!$D$48))))*((Inputs!$B$31+(S105-0.5)*2*Inputs!$B$53)/Inputs!$B$31)</f>
        <v>1.0006728520068433</v>
      </c>
      <c r="Y105" s="44">
        <f ca="1">(IF(H105&gt;=Inputs!$E$16,1,IF(O105&lt;=Inputs!$C$46,Inputs!$D$46,IF(O105&lt;=Inputs!$C$47,Inputs!$D$47,Inputs!$D$48))))*((Inputs!$B$32+(T105-0.5)*2*Inputs!$B$53)/Inputs!$B$32)</f>
        <v>1.0018896088597913</v>
      </c>
      <c r="Z105" s="45">
        <f ca="1">ILP_B_Moderate!$C$9*U105+ILP_B_Moderate!$C$10*V105+ILP_B_Moderate!$C$11*W105+ILP_B_Moderate!$C$12*X105+ILP_B_Moderate!$C$13*Y105</f>
        <v>18007.215977299318</v>
      </c>
      <c r="AA105" s="45">
        <f ca="1">ILP_B_Moderate!$D$9*U105+ILP_B_Moderate!$D$10*V105+ILP_B_Moderate!$D$11*W105+ILP_B_Moderate!$D$12*X105+ILP_B_Moderate!$D$13*Y105</f>
        <v>14987.068429288658</v>
      </c>
      <c r="AB105" s="45">
        <f ca="1">ILP_B_Moderate!$E$9*U105+ILP_B_Moderate!$E$10*V105+ILP_B_Moderate!$E$11*W105+ILP_B_Moderate!$E$12*X105+ILP_B_Moderate!$E$13*Y105</f>
        <v>12016.01031269649</v>
      </c>
      <c r="AC105" s="45">
        <f ca="1">Inputs!$B$6*$C105</f>
        <v>20700</v>
      </c>
      <c r="AD105" s="45">
        <f ca="1">Inputs!$B$7*$C105</f>
        <v>17250</v>
      </c>
      <c r="AE105" s="45">
        <f ca="1">Inputs!$B$8*$C105</f>
        <v>13799.999999999998</v>
      </c>
      <c r="AF105" s="45">
        <f t="shared" ca="1" si="78"/>
        <v>2692.7840227006818</v>
      </c>
      <c r="AG105" s="45">
        <f t="shared" ca="1" si="79"/>
        <v>2262.9315707113419</v>
      </c>
      <c r="AH105" s="45">
        <f t="shared" ca="1" si="80"/>
        <v>1783.9896873035086</v>
      </c>
      <c r="AI105" s="45">
        <f t="shared" ca="1" si="81"/>
        <v>6739.7052807155324</v>
      </c>
      <c r="AJ105" s="45">
        <f ca="1">U105*(Inputs!$B$12-ILP_B_Moderate!$F$9)+V105*(Inputs!$B$13-ILP_B_Moderate!$F$10)+W105*(Inputs!$B$14-ILP_B_Moderate!$F$11)+X105*(Inputs!$B$15-ILP_B_Moderate!$F$12)+Y105*(Inputs!$B$16-ILP_B_Moderate!$F$13)</f>
        <v>25051.130736340914</v>
      </c>
      <c r="AK105" s="45">
        <f t="shared" ca="1" si="82"/>
        <v>6739.7052807155324</v>
      </c>
      <c r="AL105" s="45">
        <f t="shared" ca="1" si="83"/>
        <v>0</v>
      </c>
      <c r="AM105" s="45">
        <f t="shared" ca="1" si="84"/>
        <v>0</v>
      </c>
      <c r="AN105" s="45">
        <f t="shared" ca="1" si="85"/>
        <v>0</v>
      </c>
      <c r="AO105" s="45">
        <f ca="1">MIN(AL105,Inputs!$B$36)</f>
        <v>0</v>
      </c>
      <c r="AP105" s="45">
        <f ca="1">MIN(AN105,Inputs!$B$36-AO105)</f>
        <v>0</v>
      </c>
      <c r="AQ105" s="45">
        <f ca="1">MIN(AM105,Inputs!$B$36-AO105-AP105)</f>
        <v>0</v>
      </c>
      <c r="AR105" s="45">
        <f t="shared" ca="1" si="86"/>
        <v>0</v>
      </c>
      <c r="AS105" s="45">
        <f t="shared" ca="1" si="87"/>
        <v>0</v>
      </c>
      <c r="AT105" s="45">
        <f t="shared" ca="1" si="88"/>
        <v>0</v>
      </c>
      <c r="AU105" s="45">
        <f t="shared" ca="1" si="89"/>
        <v>0</v>
      </c>
      <c r="AV105" s="46">
        <f ca="1">AU105*Inputs!$B$35</f>
        <v>0</v>
      </c>
      <c r="AW105" s="46">
        <f ca="1">AR105*Inputs!$C$6+AT105*Inputs!$C$7+AS105*Inputs!$C$8</f>
        <v>0</v>
      </c>
      <c r="AX105" s="46">
        <f t="shared" ca="1" si="90"/>
        <v>47580245.623525649</v>
      </c>
      <c r="AY105" s="46">
        <f ca="1">IF(J105&gt;1,($CD$4)*Inputs!$B$55*((Z105+AA105+AB105)/(SUM(ILP_B_Moderate!$C$9:$E$13))),0)</f>
        <v>0</v>
      </c>
      <c r="AZ105" s="46">
        <f t="shared" ca="1" si="91"/>
        <v>0</v>
      </c>
      <c r="BA105" s="41">
        <f t="shared" ca="1" si="92"/>
        <v>0</v>
      </c>
      <c r="BB105" s="41">
        <f t="shared" ca="1" si="93"/>
        <v>1</v>
      </c>
      <c r="BC105" s="41">
        <f t="shared" ca="1" si="94"/>
        <v>1</v>
      </c>
      <c r="BD105" s="41">
        <f t="shared" ca="1" si="95"/>
        <v>1</v>
      </c>
    </row>
    <row r="106" spans="1:56" ht="15" customHeight="1" x14ac:dyDescent="0.3">
      <c r="A106" s="41">
        <v>99</v>
      </c>
      <c r="B106" s="42">
        <f t="shared" ca="1" si="77"/>
        <v>0.70138563189022718</v>
      </c>
      <c r="C106" s="43">
        <f ca="1">IF(B106&lt;=Inputs!$C$40,Inputs!$D$40,IF(B106&lt;=Inputs!$C$41,Inputs!$D$41,Inputs!$D$42))</f>
        <v>1</v>
      </c>
      <c r="D106" s="42">
        <f t="shared" ca="1" si="75"/>
        <v>0.58475353999286883</v>
      </c>
      <c r="E106" s="42">
        <f t="shared" ca="1" si="75"/>
        <v>0.38406232592697065</v>
      </c>
      <c r="F106" s="42">
        <f t="shared" ca="1" si="75"/>
        <v>0.67485660593098229</v>
      </c>
      <c r="G106" s="42">
        <f t="shared" ca="1" si="75"/>
        <v>0.17174721516544711</v>
      </c>
      <c r="H106" s="42">
        <f t="shared" ca="1" si="75"/>
        <v>0.44434544629484363</v>
      </c>
      <c r="I106" s="42">
        <f t="shared" ca="1" si="75"/>
        <v>0.87241694884974563</v>
      </c>
      <c r="J106" s="43">
        <f ca="1">IF(I106&lt;Inputs!$B$54,1+Inputs!$B$55,1)</f>
        <v>1</v>
      </c>
      <c r="K106" s="42">
        <f t="shared" ca="1" si="76"/>
        <v>7.0329810724246711E-2</v>
      </c>
      <c r="L106" s="42">
        <f t="shared" ca="1" si="76"/>
        <v>0.70652549954169752</v>
      </c>
      <c r="M106" s="42">
        <f t="shared" ca="1" si="76"/>
        <v>6.2298249765008196E-3</v>
      </c>
      <c r="N106" s="42">
        <f t="shared" ca="1" si="76"/>
        <v>0.3162341839384003</v>
      </c>
      <c r="O106" s="42">
        <f t="shared" ca="1" si="76"/>
        <v>0.59613490606609909</v>
      </c>
      <c r="P106" s="42">
        <f t="shared" ca="1" si="76"/>
        <v>0.17180028348423071</v>
      </c>
      <c r="Q106" s="42">
        <f t="shared" ca="1" si="76"/>
        <v>0.72254713120118164</v>
      </c>
      <c r="R106" s="42">
        <f t="shared" ca="1" si="76"/>
        <v>0.8780943057266507</v>
      </c>
      <c r="S106" s="42">
        <f t="shared" ca="1" si="76"/>
        <v>0.40452436072969988</v>
      </c>
      <c r="T106" s="42">
        <f t="shared" ca="1" si="76"/>
        <v>0.62598974654906292</v>
      </c>
      <c r="U106" s="44">
        <f ca="1">(IF(D106&gt;=Inputs!$E$12,1,IF(K106&lt;=Inputs!$C$46,Inputs!$D$46,IF(K106&lt;=Inputs!$C$47,Inputs!$D$47,Inputs!$D$48))))*((Inputs!$B$28+(P106-0.5)*2*Inputs!$B$53)/Inputs!$B$28)</f>
        <v>0.99667814052109549</v>
      </c>
      <c r="V106" s="44">
        <f ca="1">(IF(E106&gt;=Inputs!$E$13,1,IF(L106&lt;=Inputs!$C$46,Inputs!$D$46,IF(L106&lt;=Inputs!$C$47,Inputs!$D$47,Inputs!$D$48))))*((Inputs!$B$29+(Q106-0.5)*2*Inputs!$B$53)/Inputs!$B$29)</f>
        <v>1.0022434186613023</v>
      </c>
      <c r="W106" s="44">
        <f ca="1">(IF(F106&gt;=Inputs!$E$14,1,IF(M106&lt;=Inputs!$C$46,Inputs!$D$46,IF(M106&lt;=Inputs!$C$47,Inputs!$D$47,Inputs!$D$48))))*((Inputs!$B$30+(R106-0.5)*2*Inputs!$B$53)/Inputs!$B$30)</f>
        <v>1.0037999427711222</v>
      </c>
      <c r="X106" s="44">
        <f ca="1">(IF(G106&gt;=Inputs!$E$15,1,IF(N106&lt;=Inputs!$C$46,Inputs!$D$46,IF(N106&lt;=Inputs!$C$47,Inputs!$D$47,Inputs!$D$48))))*((Inputs!$B$31+(S106-0.5)*2*Inputs!$B$53)/Inputs!$B$31)</f>
        <v>0.5994184225019068</v>
      </c>
      <c r="Y106" s="44">
        <f ca="1">(IF(H106&gt;=Inputs!$E$16,1,IF(O106&lt;=Inputs!$C$46,Inputs!$D$46,IF(O106&lt;=Inputs!$C$47,Inputs!$D$47,Inputs!$D$48))))*((Inputs!$B$32+(T106-0.5)*2*Inputs!$B$53)/Inputs!$B$32)</f>
        <v>1.0012675024803728</v>
      </c>
      <c r="Z106" s="45">
        <f ca="1">ILP_B_Moderate!$C$9*U106+ILP_B_Moderate!$C$10*V106+ILP_B_Moderate!$C$11*W106+ILP_B_Moderate!$C$12*X106+ILP_B_Moderate!$C$13*Y106</f>
        <v>14386.417824165903</v>
      </c>
      <c r="AA106" s="45">
        <f ca="1">ILP_B_Moderate!$D$9*U106+ILP_B_Moderate!$D$10*V106+ILP_B_Moderate!$D$11*W106+ILP_B_Moderate!$D$12*X106+ILP_B_Moderate!$D$13*Y106</f>
        <v>13871.639289053872</v>
      </c>
      <c r="AB106" s="45">
        <f ca="1">ILP_B_Moderate!$E$9*U106+ILP_B_Moderate!$E$10*V106+ILP_B_Moderate!$E$11*W106+ILP_B_Moderate!$E$12*X106+ILP_B_Moderate!$E$13*Y106</f>
        <v>11990.129263120029</v>
      </c>
      <c r="AC106" s="45">
        <f ca="1">Inputs!$B$6*$C106</f>
        <v>18000</v>
      </c>
      <c r="AD106" s="45">
        <f ca="1">Inputs!$B$7*$C106</f>
        <v>15000</v>
      </c>
      <c r="AE106" s="45">
        <f ca="1">Inputs!$B$8*$C106</f>
        <v>12000</v>
      </c>
      <c r="AF106" s="45">
        <f t="shared" ca="1" si="78"/>
        <v>3613.5821758340971</v>
      </c>
      <c r="AG106" s="45">
        <f t="shared" ca="1" si="79"/>
        <v>1128.3607109461282</v>
      </c>
      <c r="AH106" s="45">
        <f t="shared" ca="1" si="80"/>
        <v>9.8707368799714459</v>
      </c>
      <c r="AI106" s="45">
        <f t="shared" ca="1" si="81"/>
        <v>4751.8136236601968</v>
      </c>
      <c r="AJ106" s="45">
        <f ca="1">U106*(Inputs!$B$12-ILP_B_Moderate!$F$9)+V106*(Inputs!$B$13-ILP_B_Moderate!$F$10)+W106*(Inputs!$B$14-ILP_B_Moderate!$F$11)+X106*(Inputs!$B$15-ILP_B_Moderate!$F$12)+Y106*(Inputs!$B$16-ILP_B_Moderate!$F$13)</f>
        <v>24991.504596509018</v>
      </c>
      <c r="AK106" s="45">
        <f t="shared" ca="1" si="82"/>
        <v>4751.8136236601968</v>
      </c>
      <c r="AL106" s="45">
        <f t="shared" ca="1" si="83"/>
        <v>0</v>
      </c>
      <c r="AM106" s="45">
        <f t="shared" ca="1" si="84"/>
        <v>0</v>
      </c>
      <c r="AN106" s="45">
        <f t="shared" ca="1" si="85"/>
        <v>0</v>
      </c>
      <c r="AO106" s="45">
        <f ca="1">MIN(AL106,Inputs!$B$36)</f>
        <v>0</v>
      </c>
      <c r="AP106" s="45">
        <f ca="1">MIN(AN106,Inputs!$B$36-AO106)</f>
        <v>0</v>
      </c>
      <c r="AQ106" s="45">
        <f ca="1">MIN(AM106,Inputs!$B$36-AO106-AP106)</f>
        <v>0</v>
      </c>
      <c r="AR106" s="45">
        <f t="shared" ca="1" si="86"/>
        <v>0</v>
      </c>
      <c r="AS106" s="45">
        <f t="shared" ca="1" si="87"/>
        <v>0</v>
      </c>
      <c r="AT106" s="45">
        <f t="shared" ca="1" si="88"/>
        <v>0</v>
      </c>
      <c r="AU106" s="45">
        <f t="shared" ca="1" si="89"/>
        <v>0</v>
      </c>
      <c r="AV106" s="46">
        <f ca="1">AU106*Inputs!$B$35</f>
        <v>0</v>
      </c>
      <c r="AW106" s="46">
        <f ca="1">AR106*Inputs!$C$6+AT106*Inputs!$C$7+AS106*Inputs!$C$8</f>
        <v>0</v>
      </c>
      <c r="AX106" s="46">
        <f t="shared" ca="1" si="90"/>
        <v>42643293.739947319</v>
      </c>
      <c r="AY106" s="46">
        <f ca="1">IF(J106&gt;1,($CD$4)*Inputs!$B$55*((Z106+AA106+AB106)/(SUM(ILP_B_Moderate!$C$9:$E$13))),0)</f>
        <v>0</v>
      </c>
      <c r="AZ106" s="46">
        <f t="shared" ca="1" si="91"/>
        <v>0</v>
      </c>
      <c r="BA106" s="41">
        <f t="shared" ca="1" si="92"/>
        <v>0</v>
      </c>
      <c r="BB106" s="41">
        <f t="shared" ca="1" si="93"/>
        <v>1</v>
      </c>
      <c r="BC106" s="41">
        <f t="shared" ca="1" si="94"/>
        <v>1</v>
      </c>
      <c r="BD106" s="41">
        <f t="shared" ca="1" si="95"/>
        <v>1</v>
      </c>
    </row>
    <row r="107" spans="1:56" ht="15" customHeight="1" x14ac:dyDescent="0.3">
      <c r="A107" s="41">
        <v>100</v>
      </c>
      <c r="B107" s="42">
        <f t="shared" ca="1" si="77"/>
        <v>0.16943474890386268</v>
      </c>
      <c r="C107" s="43">
        <f ca="1">IF(B107&lt;=Inputs!$C$40,Inputs!$D$40,IF(B107&lt;=Inputs!$C$41,Inputs!$D$41,Inputs!$D$42))</f>
        <v>0.9</v>
      </c>
      <c r="D107" s="42">
        <f t="shared" ca="1" si="75"/>
        <v>0.70646736081578287</v>
      </c>
      <c r="E107" s="42">
        <f t="shared" ca="1" si="75"/>
        <v>4.3465122436791459E-2</v>
      </c>
      <c r="F107" s="42">
        <f t="shared" ca="1" si="75"/>
        <v>0.3443050782883228</v>
      </c>
      <c r="G107" s="42">
        <f t="shared" ca="1" si="75"/>
        <v>0.10840639454235046</v>
      </c>
      <c r="H107" s="42">
        <f t="shared" ca="1" si="75"/>
        <v>8.1823340974634173E-2</v>
      </c>
      <c r="I107" s="42">
        <f t="shared" ca="1" si="75"/>
        <v>0.52714861605970731</v>
      </c>
      <c r="J107" s="43">
        <f ca="1">IF(I107&lt;Inputs!$B$54,1+Inputs!$B$55,1)</f>
        <v>1</v>
      </c>
      <c r="K107" s="42">
        <f t="shared" ca="1" si="76"/>
        <v>0.66153594836894847</v>
      </c>
      <c r="L107" s="42">
        <f t="shared" ca="1" si="76"/>
        <v>0.34840038167394771</v>
      </c>
      <c r="M107" s="42">
        <f t="shared" ca="1" si="76"/>
        <v>0.50894596879367937</v>
      </c>
      <c r="N107" s="42">
        <f t="shared" ca="1" si="76"/>
        <v>0.7997245011903038</v>
      </c>
      <c r="O107" s="42">
        <f t="shared" ca="1" si="76"/>
        <v>0.45091523816490009</v>
      </c>
      <c r="P107" s="42">
        <f t="shared" ca="1" si="76"/>
        <v>0.63575531420542897</v>
      </c>
      <c r="Q107" s="42">
        <f t="shared" ca="1" si="76"/>
        <v>0.59594597387073267</v>
      </c>
      <c r="R107" s="42">
        <f t="shared" ca="1" si="76"/>
        <v>0.82836917282514022</v>
      </c>
      <c r="S107" s="42">
        <f t="shared" ca="1" si="76"/>
        <v>0.40944317979258582</v>
      </c>
      <c r="T107" s="42">
        <f t="shared" ca="1" si="76"/>
        <v>0.61000716718852266</v>
      </c>
      <c r="U107" s="44">
        <f ca="1">(IF(D107&gt;=Inputs!$E$12,1,IF(K107&lt;=Inputs!$C$46,Inputs!$D$46,IF(K107&lt;=Inputs!$C$47,Inputs!$D$47,Inputs!$D$48))))*((Inputs!$B$28+(P107-0.5)*2*Inputs!$B$53)/Inputs!$B$28)</f>
        <v>1.0013740416417554</v>
      </c>
      <c r="V107" s="44">
        <f ca="1">(IF(E107&gt;=Inputs!$E$13,1,IF(L107&lt;=Inputs!$C$46,Inputs!$D$46,IF(L107&lt;=Inputs!$C$47,Inputs!$D$47,Inputs!$D$48))))*((Inputs!$B$29+(Q107-0.5)*2*Inputs!$B$53)/Inputs!$B$29)</f>
        <v>0.6005803183903472</v>
      </c>
      <c r="W107" s="44">
        <f ca="1">(IF(F107&gt;=Inputs!$E$14,1,IF(M107&lt;=Inputs!$C$46,Inputs!$D$46,IF(M107&lt;=Inputs!$C$47,Inputs!$D$47,Inputs!$D$48))))*((Inputs!$B$30+(R107-0.5)*2*Inputs!$B$53)/Inputs!$B$30)</f>
        <v>1.00330019269171</v>
      </c>
      <c r="X107" s="44">
        <f ca="1">(IF(G107&gt;=Inputs!$E$15,1,IF(N107&lt;=Inputs!$C$46,Inputs!$D$46,IF(N107&lt;=Inputs!$C$47,Inputs!$D$47,Inputs!$D$48))))*((Inputs!$B$31+(S107-0.5)*2*Inputs!$B$53)/Inputs!$B$31)</f>
        <v>0.29972419242576426</v>
      </c>
      <c r="Y107" s="44">
        <f ca="1">(IF(H107&gt;=Inputs!$E$16,1,IF(O107&lt;=Inputs!$C$46,Inputs!$D$46,IF(O107&lt;=Inputs!$C$47,Inputs!$D$47,Inputs!$D$48))))*((Inputs!$B$32+(T107-0.5)*2*Inputs!$B$53)/Inputs!$B$32)</f>
        <v>1.0011067119435464</v>
      </c>
      <c r="Z107" s="45">
        <f ca="1">ILP_B_Moderate!$C$9*U107+ILP_B_Moderate!$C$10*V107+ILP_B_Moderate!$C$11*W107+ILP_B_Moderate!$C$12*X107+ILP_B_Moderate!$C$13*Y107</f>
        <v>10158.010810178224</v>
      </c>
      <c r="AA107" s="45">
        <f ca="1">ILP_B_Moderate!$D$9*U107+ILP_B_Moderate!$D$10*V107+ILP_B_Moderate!$D$11*W107+ILP_B_Moderate!$D$12*X107+ILP_B_Moderate!$D$13*Y107</f>
        <v>10036.005125451675</v>
      </c>
      <c r="AB107" s="45">
        <f ca="1">ILP_B_Moderate!$E$9*U107+ILP_B_Moderate!$E$10*V107+ILP_B_Moderate!$E$11*W107+ILP_B_Moderate!$E$12*X107+ILP_B_Moderate!$E$13*Y107</f>
        <v>11007.160115331961</v>
      </c>
      <c r="AC107" s="45">
        <f ca="1">Inputs!$B$6*$C107</f>
        <v>16200</v>
      </c>
      <c r="AD107" s="45">
        <f ca="1">Inputs!$B$7*$C107</f>
        <v>13500</v>
      </c>
      <c r="AE107" s="45">
        <f ca="1">Inputs!$B$8*$C107</f>
        <v>10800</v>
      </c>
      <c r="AF107" s="45">
        <f t="shared" ca="1" si="78"/>
        <v>6041.9891898217757</v>
      </c>
      <c r="AG107" s="45">
        <f t="shared" ca="1" si="79"/>
        <v>3463.9948745483252</v>
      </c>
      <c r="AH107" s="45">
        <f t="shared" ca="1" si="80"/>
        <v>0</v>
      </c>
      <c r="AI107" s="45">
        <f t="shared" ca="1" si="81"/>
        <v>9505.9840643701009</v>
      </c>
      <c r="AJ107" s="45">
        <f ca="1">U107*(Inputs!$B$12-ILP_B_Moderate!$F$9)+V107*(Inputs!$B$13-ILP_B_Moderate!$F$10)+W107*(Inputs!$B$14-ILP_B_Moderate!$F$11)+X107*(Inputs!$B$15-ILP_B_Moderate!$F$12)+Y107*(Inputs!$B$16-ILP_B_Moderate!$F$13)</f>
        <v>24885.126566025683</v>
      </c>
      <c r="AK107" s="45">
        <f t="shared" ca="1" si="82"/>
        <v>9505.9840643701009</v>
      </c>
      <c r="AL107" s="45">
        <f t="shared" ca="1" si="83"/>
        <v>0</v>
      </c>
      <c r="AM107" s="45">
        <f t="shared" ca="1" si="84"/>
        <v>0</v>
      </c>
      <c r="AN107" s="45">
        <f t="shared" ca="1" si="85"/>
        <v>0</v>
      </c>
      <c r="AO107" s="45">
        <f ca="1">MIN(AL107,Inputs!$B$36)</f>
        <v>0</v>
      </c>
      <c r="AP107" s="45">
        <f ca="1">MIN(AN107,Inputs!$B$36-AO107)</f>
        <v>0</v>
      </c>
      <c r="AQ107" s="45">
        <f ca="1">MIN(AM107,Inputs!$B$36-AO107-AP107)</f>
        <v>0</v>
      </c>
      <c r="AR107" s="45">
        <f t="shared" ca="1" si="86"/>
        <v>0</v>
      </c>
      <c r="AS107" s="45">
        <f t="shared" ca="1" si="87"/>
        <v>0</v>
      </c>
      <c r="AT107" s="45">
        <f t="shared" ca="1" si="88"/>
        <v>0</v>
      </c>
      <c r="AU107" s="45">
        <f t="shared" ca="1" si="89"/>
        <v>0</v>
      </c>
      <c r="AV107" s="46">
        <f ca="1">AU107*Inputs!$B$35</f>
        <v>0</v>
      </c>
      <c r="AW107" s="46">
        <f ca="1">AR107*Inputs!$C$6+AT107*Inputs!$C$7+AS107*Inputs!$C$8</f>
        <v>0</v>
      </c>
      <c r="AX107" s="46">
        <f t="shared" ca="1" si="90"/>
        <v>33163351.974198539</v>
      </c>
      <c r="AY107" s="46">
        <f ca="1">IF(J107&gt;1,($CD$4)*Inputs!$B$55*((Z107+AA107+AB107)/(SUM(ILP_B_Moderate!$C$9:$E$13))),0)</f>
        <v>0</v>
      </c>
      <c r="AZ107" s="46">
        <f t="shared" ca="1" si="91"/>
        <v>0</v>
      </c>
      <c r="BA107" s="41">
        <f t="shared" ca="1" si="92"/>
        <v>0</v>
      </c>
      <c r="BB107" s="41">
        <f t="shared" ca="1" si="93"/>
        <v>1</v>
      </c>
      <c r="BC107" s="41">
        <f t="shared" ca="1" si="94"/>
        <v>1</v>
      </c>
      <c r="BD107" s="41">
        <f t="shared" ca="1" si="95"/>
        <v>1</v>
      </c>
    </row>
    <row r="108" spans="1:56" ht="15" customHeight="1" x14ac:dyDescent="0.3">
      <c r="A108" s="41">
        <v>101</v>
      </c>
      <c r="B108" s="42">
        <f t="shared" ca="1" si="77"/>
        <v>0.82896537821924188</v>
      </c>
      <c r="C108" s="43">
        <f ca="1">IF(B108&lt;=Inputs!$C$40,Inputs!$D$40,IF(B108&lt;=Inputs!$C$41,Inputs!$D$41,Inputs!$D$42))</f>
        <v>1.1499999999999999</v>
      </c>
      <c r="D108" s="42">
        <f t="shared" ref="D108:I117" ca="1" si="96">RAND()</f>
        <v>0.7057339243944929</v>
      </c>
      <c r="E108" s="42">
        <f t="shared" ca="1" si="96"/>
        <v>0.86058516386979378</v>
      </c>
      <c r="F108" s="42">
        <f t="shared" ca="1" si="96"/>
        <v>0.32618988646021152</v>
      </c>
      <c r="G108" s="42">
        <f t="shared" ca="1" si="96"/>
        <v>0.49758866461828821</v>
      </c>
      <c r="H108" s="42">
        <f t="shared" ca="1" si="96"/>
        <v>0.39201453567699107</v>
      </c>
      <c r="I108" s="42">
        <f t="shared" ca="1" si="96"/>
        <v>0.86195121104002537</v>
      </c>
      <c r="J108" s="43">
        <f ca="1">IF(I108&lt;Inputs!$B$54,1+Inputs!$B$55,1)</f>
        <v>1</v>
      </c>
      <c r="K108" s="42">
        <f t="shared" ref="K108:T117" ca="1" si="97">RAND()</f>
        <v>0.37583660641292949</v>
      </c>
      <c r="L108" s="42">
        <f t="shared" ca="1" si="97"/>
        <v>0.13786827167263149</v>
      </c>
      <c r="M108" s="42">
        <f t="shared" ca="1" si="97"/>
        <v>0.6754776419934917</v>
      </c>
      <c r="N108" s="42">
        <f t="shared" ca="1" si="97"/>
        <v>0.49015401565863648</v>
      </c>
      <c r="O108" s="42">
        <f t="shared" ca="1" si="97"/>
        <v>6.2013928902099447E-2</v>
      </c>
      <c r="P108" s="42">
        <f t="shared" ca="1" si="97"/>
        <v>0.32338111734872788</v>
      </c>
      <c r="Q108" s="42">
        <f t="shared" ca="1" si="97"/>
        <v>0.24762669178528596</v>
      </c>
      <c r="R108" s="42">
        <f t="shared" ca="1" si="97"/>
        <v>0.1256973982843762</v>
      </c>
      <c r="S108" s="42">
        <f t="shared" ca="1" si="97"/>
        <v>0.43706974411814081</v>
      </c>
      <c r="T108" s="42">
        <f t="shared" ca="1" si="97"/>
        <v>0.88632125848495613</v>
      </c>
      <c r="U108" s="44">
        <f ca="1">(IF(D108&gt;=Inputs!$E$12,1,IF(K108&lt;=Inputs!$C$46,Inputs!$D$46,IF(K108&lt;=Inputs!$C$47,Inputs!$D$47,Inputs!$D$48))))*((Inputs!$B$28+(P108-0.5)*2*Inputs!$B$53)/Inputs!$B$28)</f>
        <v>0.99821235948733533</v>
      </c>
      <c r="V108" s="44">
        <f ca="1">(IF(E108&gt;=Inputs!$E$13,1,IF(L108&lt;=Inputs!$C$46,Inputs!$D$46,IF(L108&lt;=Inputs!$C$47,Inputs!$D$47,Inputs!$D$48))))*((Inputs!$B$29+(Q108-0.5)*2*Inputs!$B$53)/Inputs!$B$29)</f>
        <v>0.99745591423170654</v>
      </c>
      <c r="W108" s="44">
        <f ca="1">(IF(F108&gt;=Inputs!$E$14,1,IF(M108&lt;=Inputs!$C$46,Inputs!$D$46,IF(M108&lt;=Inputs!$C$47,Inputs!$D$47,Inputs!$D$48))))*((Inputs!$B$30+(R108-0.5)*2*Inputs!$B$53)/Inputs!$B$30)</f>
        <v>0.9962381648068781</v>
      </c>
      <c r="X108" s="44">
        <f ca="1">(IF(G108&gt;=Inputs!$E$15,1,IF(N108&lt;=Inputs!$C$46,Inputs!$D$46,IF(N108&lt;=Inputs!$C$47,Inputs!$D$47,Inputs!$D$48))))*((Inputs!$B$31+(S108-0.5)*2*Inputs!$B$53)/Inputs!$B$31)</f>
        <v>0.99936111415348372</v>
      </c>
      <c r="Y108" s="44">
        <f ca="1">(IF(H108&gt;=Inputs!$E$16,1,IF(O108&lt;=Inputs!$C$46,Inputs!$D$46,IF(O108&lt;=Inputs!$C$47,Inputs!$D$47,Inputs!$D$48))))*((Inputs!$B$32+(T108-0.5)*2*Inputs!$B$53)/Inputs!$B$32)</f>
        <v>1.0038865317755026</v>
      </c>
      <c r="Z108" s="45">
        <f ca="1">ILP_B_Moderate!$C$9*U108+ILP_B_Moderate!$C$10*V108+ILP_B_Moderate!$C$11*W108+ILP_B_Moderate!$C$12*X108+ILP_B_Moderate!$C$13*Y108</f>
        <v>17975.232306737576</v>
      </c>
      <c r="AA108" s="45">
        <f ca="1">ILP_B_Moderate!$D$9*U108+ILP_B_Moderate!$D$10*V108+ILP_B_Moderate!$D$11*W108+ILP_B_Moderate!$D$12*X108+ILP_B_Moderate!$D$13*Y108</f>
        <v>14970.751541051353</v>
      </c>
      <c r="AB108" s="45">
        <f ca="1">ILP_B_Moderate!$E$9*U108+ILP_B_Moderate!$E$10*V108+ILP_B_Moderate!$E$11*W108+ILP_B_Moderate!$E$12*X108+ILP_B_Moderate!$E$13*Y108</f>
        <v>11996.413913836837</v>
      </c>
      <c r="AC108" s="45">
        <f ca="1">Inputs!$B$6*$C108</f>
        <v>20700</v>
      </c>
      <c r="AD108" s="45">
        <f ca="1">Inputs!$B$7*$C108</f>
        <v>17250</v>
      </c>
      <c r="AE108" s="45">
        <f ca="1">Inputs!$B$8*$C108</f>
        <v>13799.999999999998</v>
      </c>
      <c r="AF108" s="45">
        <f t="shared" ca="1" si="78"/>
        <v>2724.7676932624236</v>
      </c>
      <c r="AG108" s="45">
        <f t="shared" ca="1" si="79"/>
        <v>2279.2484589486467</v>
      </c>
      <c r="AH108" s="45">
        <f t="shared" ca="1" si="80"/>
        <v>1803.5860861631609</v>
      </c>
      <c r="AI108" s="45">
        <f t="shared" ca="1" si="81"/>
        <v>6807.6022383742311</v>
      </c>
      <c r="AJ108" s="45">
        <f ca="1">U108*(Inputs!$B$12-ILP_B_Moderate!$F$9)+V108*(Inputs!$B$13-ILP_B_Moderate!$F$10)+W108*(Inputs!$B$14-ILP_B_Moderate!$F$11)+X108*(Inputs!$B$15-ILP_B_Moderate!$F$12)+Y108*(Inputs!$B$16-ILP_B_Moderate!$F$13)</f>
        <v>24995.110278379252</v>
      </c>
      <c r="AK108" s="45">
        <f t="shared" ca="1" si="82"/>
        <v>6807.6022383742311</v>
      </c>
      <c r="AL108" s="45">
        <f t="shared" ca="1" si="83"/>
        <v>0</v>
      </c>
      <c r="AM108" s="45">
        <f t="shared" ca="1" si="84"/>
        <v>0</v>
      </c>
      <c r="AN108" s="45">
        <f t="shared" ca="1" si="85"/>
        <v>0</v>
      </c>
      <c r="AO108" s="45">
        <f ca="1">MIN(AL108,Inputs!$B$36)</f>
        <v>0</v>
      </c>
      <c r="AP108" s="45">
        <f ca="1">MIN(AN108,Inputs!$B$36-AO108)</f>
        <v>0</v>
      </c>
      <c r="AQ108" s="45">
        <f ca="1">MIN(AM108,Inputs!$B$36-AO108-AP108)</f>
        <v>0</v>
      </c>
      <c r="AR108" s="45">
        <f t="shared" ca="1" si="86"/>
        <v>0</v>
      </c>
      <c r="AS108" s="45">
        <f t="shared" ca="1" si="87"/>
        <v>0</v>
      </c>
      <c r="AT108" s="45">
        <f t="shared" ca="1" si="88"/>
        <v>0</v>
      </c>
      <c r="AU108" s="45">
        <f t="shared" ca="1" si="89"/>
        <v>0</v>
      </c>
      <c r="AV108" s="46">
        <f ca="1">AU108*Inputs!$B$35</f>
        <v>0</v>
      </c>
      <c r="AW108" s="46">
        <f ca="1">AR108*Inputs!$C$6+AT108*Inputs!$C$7+AS108*Inputs!$C$8</f>
        <v>0</v>
      </c>
      <c r="AX108" s="46">
        <f t="shared" ca="1" si="90"/>
        <v>47508497.847013742</v>
      </c>
      <c r="AY108" s="46">
        <f ca="1">IF(J108&gt;1,($CD$4)*Inputs!$B$55*((Z108+AA108+AB108)/(SUM(ILP_B_Moderate!$C$9:$E$13))),0)</f>
        <v>0</v>
      </c>
      <c r="AZ108" s="46">
        <f t="shared" ca="1" si="91"/>
        <v>0</v>
      </c>
      <c r="BA108" s="41">
        <f t="shared" ca="1" si="92"/>
        <v>0</v>
      </c>
      <c r="BB108" s="41">
        <f t="shared" ca="1" si="93"/>
        <v>1</v>
      </c>
      <c r="BC108" s="41">
        <f t="shared" ca="1" si="94"/>
        <v>1</v>
      </c>
      <c r="BD108" s="41">
        <f t="shared" ca="1" si="95"/>
        <v>1</v>
      </c>
    </row>
    <row r="109" spans="1:56" ht="15" customHeight="1" x14ac:dyDescent="0.3">
      <c r="A109" s="41">
        <v>102</v>
      </c>
      <c r="B109" s="42">
        <f t="shared" ca="1" si="77"/>
        <v>0.91714139915379855</v>
      </c>
      <c r="C109" s="43">
        <f ca="1">IF(B109&lt;=Inputs!$C$40,Inputs!$D$40,IF(B109&lt;=Inputs!$C$41,Inputs!$D$41,Inputs!$D$42))</f>
        <v>1.1499999999999999</v>
      </c>
      <c r="D109" s="42">
        <f t="shared" ca="1" si="96"/>
        <v>0.78951996581358108</v>
      </c>
      <c r="E109" s="42">
        <f t="shared" ca="1" si="96"/>
        <v>0.45692684049020948</v>
      </c>
      <c r="F109" s="42">
        <f t="shared" ca="1" si="96"/>
        <v>0.85262212603204279</v>
      </c>
      <c r="G109" s="42">
        <f t="shared" ca="1" si="96"/>
        <v>0.69202005948579126</v>
      </c>
      <c r="H109" s="42">
        <f t="shared" ca="1" si="96"/>
        <v>8.9920969115112603E-3</v>
      </c>
      <c r="I109" s="42">
        <f t="shared" ca="1" si="96"/>
        <v>8.9191286584936913E-2</v>
      </c>
      <c r="J109" s="43">
        <f ca="1">IF(I109&lt;Inputs!$B$54,1+Inputs!$B$55,1)</f>
        <v>1</v>
      </c>
      <c r="K109" s="42">
        <f t="shared" ca="1" si="97"/>
        <v>7.961311696782658E-2</v>
      </c>
      <c r="L109" s="42">
        <f t="shared" ca="1" si="97"/>
        <v>0.24609012585391177</v>
      </c>
      <c r="M109" s="42">
        <f t="shared" ca="1" si="97"/>
        <v>0.98503134998565811</v>
      </c>
      <c r="N109" s="42">
        <f t="shared" ca="1" si="97"/>
        <v>0.53272085671163216</v>
      </c>
      <c r="O109" s="42">
        <f t="shared" ca="1" si="97"/>
        <v>0.41383825666259122</v>
      </c>
      <c r="P109" s="42">
        <f t="shared" ca="1" si="97"/>
        <v>0.51307100227053493</v>
      </c>
      <c r="Q109" s="42">
        <f t="shared" ca="1" si="97"/>
        <v>0.16924180125288979</v>
      </c>
      <c r="R109" s="42">
        <f t="shared" ca="1" si="97"/>
        <v>0.17067631218951906</v>
      </c>
      <c r="S109" s="42">
        <f t="shared" ca="1" si="97"/>
        <v>0.68247916512108786</v>
      </c>
      <c r="T109" s="42">
        <f t="shared" ca="1" si="97"/>
        <v>0.22248014648555858</v>
      </c>
      <c r="U109" s="44">
        <f ca="1">(IF(D109&gt;=Inputs!$E$12,1,IF(K109&lt;=Inputs!$C$46,Inputs!$D$46,IF(K109&lt;=Inputs!$C$47,Inputs!$D$47,Inputs!$D$48))))*((Inputs!$B$28+(P109-0.5)*2*Inputs!$B$53)/Inputs!$B$28)</f>
        <v>1.0001322975938314</v>
      </c>
      <c r="V109" s="44">
        <f ca="1">(IF(E109&gt;=Inputs!$E$13,1,IF(L109&lt;=Inputs!$C$46,Inputs!$D$46,IF(L109&lt;=Inputs!$C$47,Inputs!$D$47,Inputs!$D$48))))*((Inputs!$B$29+(Q109-0.5)*2*Inputs!$B$53)/Inputs!$B$29)</f>
        <v>0.9966657439642429</v>
      </c>
      <c r="W109" s="44">
        <f ca="1">(IF(F109&gt;=Inputs!$E$14,1,IF(M109&lt;=Inputs!$C$46,Inputs!$D$46,IF(M109&lt;=Inputs!$C$47,Inputs!$D$47,Inputs!$D$48))))*((Inputs!$B$30+(R109-0.5)*2*Inputs!$B$53)/Inputs!$B$30)</f>
        <v>0.99669021419285952</v>
      </c>
      <c r="X109" s="44">
        <f ca="1">(IF(G109&gt;=Inputs!$E$15,1,IF(N109&lt;=Inputs!$C$46,Inputs!$D$46,IF(N109&lt;=Inputs!$C$47,Inputs!$D$47,Inputs!$D$48))))*((Inputs!$B$31+(S109-0.5)*2*Inputs!$B$53)/Inputs!$B$31)</f>
        <v>1.0018525803565592</v>
      </c>
      <c r="Y109" s="44">
        <f ca="1">(IF(H109&gt;=Inputs!$E$16,1,IF(O109&lt;=Inputs!$C$46,Inputs!$D$46,IF(O109&lt;=Inputs!$C$47,Inputs!$D$47,Inputs!$D$48))))*((Inputs!$B$32+(T109-0.5)*2*Inputs!$B$53)/Inputs!$B$32)</f>
        <v>0.29916241492903084</v>
      </c>
      <c r="Z109" s="45">
        <f ca="1">ILP_B_Moderate!$C$9*U109+ILP_B_Moderate!$C$10*V109+ILP_B_Moderate!$C$11*W109+ILP_B_Moderate!$C$12*X109+ILP_B_Moderate!$C$13*Y109</f>
        <v>18004.44140589975</v>
      </c>
      <c r="AA109" s="45">
        <f ca="1">ILP_B_Moderate!$D$9*U109+ILP_B_Moderate!$D$10*V109+ILP_B_Moderate!$D$11*W109+ILP_B_Moderate!$D$12*X109+ILP_B_Moderate!$D$13*Y109</f>
        <v>14980.836509076451</v>
      </c>
      <c r="AB109" s="45">
        <f ca="1">ILP_B_Moderate!$E$9*U109+ILP_B_Moderate!$E$10*V109+ILP_B_Moderate!$E$11*W109+ILP_B_Moderate!$E$12*X109+ILP_B_Moderate!$E$13*Y109</f>
        <v>9550.6866509897663</v>
      </c>
      <c r="AC109" s="45">
        <f ca="1">Inputs!$B$6*$C109</f>
        <v>20700</v>
      </c>
      <c r="AD109" s="45">
        <f ca="1">Inputs!$B$7*$C109</f>
        <v>17250</v>
      </c>
      <c r="AE109" s="45">
        <f ca="1">Inputs!$B$8*$C109</f>
        <v>13799.999999999998</v>
      </c>
      <c r="AF109" s="45">
        <f t="shared" ca="1" si="78"/>
        <v>2695.55859410025</v>
      </c>
      <c r="AG109" s="45">
        <f t="shared" ca="1" si="79"/>
        <v>2269.163490923549</v>
      </c>
      <c r="AH109" s="45">
        <f t="shared" ca="1" si="80"/>
        <v>4249.3133490102318</v>
      </c>
      <c r="AI109" s="45">
        <f t="shared" ca="1" si="81"/>
        <v>9214.0354340340309</v>
      </c>
      <c r="AJ109" s="45">
        <f ca="1">U109*(Inputs!$B$12-ILP_B_Moderate!$F$9)+V109*(Inputs!$B$13-ILP_B_Moderate!$F$10)+W109*(Inputs!$B$14-ILP_B_Moderate!$F$11)+X109*(Inputs!$B$15-ILP_B_Moderate!$F$12)+Y109*(Inputs!$B$16-ILP_B_Moderate!$F$13)</f>
        <v>16886.112583756083</v>
      </c>
      <c r="AK109" s="45">
        <f t="shared" ca="1" si="82"/>
        <v>9214.0354340340309</v>
      </c>
      <c r="AL109" s="45">
        <f t="shared" ca="1" si="83"/>
        <v>0</v>
      </c>
      <c r="AM109" s="45">
        <f t="shared" ca="1" si="84"/>
        <v>0</v>
      </c>
      <c r="AN109" s="45">
        <f t="shared" ca="1" si="85"/>
        <v>0</v>
      </c>
      <c r="AO109" s="45">
        <f ca="1">MIN(AL109,Inputs!$B$36)</f>
        <v>0</v>
      </c>
      <c r="AP109" s="45">
        <f ca="1">MIN(AN109,Inputs!$B$36-AO109)</f>
        <v>0</v>
      </c>
      <c r="AQ109" s="45">
        <f ca="1">MIN(AM109,Inputs!$B$36-AO109-AP109)</f>
        <v>0</v>
      </c>
      <c r="AR109" s="45">
        <f t="shared" ca="1" si="86"/>
        <v>0</v>
      </c>
      <c r="AS109" s="45">
        <f t="shared" ca="1" si="87"/>
        <v>0</v>
      </c>
      <c r="AT109" s="45">
        <f t="shared" ca="1" si="88"/>
        <v>0</v>
      </c>
      <c r="AU109" s="45">
        <f t="shared" ca="1" si="89"/>
        <v>0</v>
      </c>
      <c r="AV109" s="46">
        <f ca="1">AU109*Inputs!$B$35</f>
        <v>0</v>
      </c>
      <c r="AW109" s="46">
        <f ca="1">AR109*Inputs!$C$6+AT109*Inputs!$C$7+AS109*Inputs!$C$8</f>
        <v>0</v>
      </c>
      <c r="AX109" s="46">
        <f t="shared" ca="1" si="90"/>
        <v>44854751.911811024</v>
      </c>
      <c r="AY109" s="46">
        <f ca="1">IF(J109&gt;1,($CD$4)*Inputs!$B$55*((Z109+AA109+AB109)/(SUM(ILP_B_Moderate!$C$9:$E$13))),0)</f>
        <v>0</v>
      </c>
      <c r="AZ109" s="46">
        <f t="shared" ca="1" si="91"/>
        <v>0</v>
      </c>
      <c r="BA109" s="41">
        <f t="shared" ca="1" si="92"/>
        <v>0</v>
      </c>
      <c r="BB109" s="41">
        <f t="shared" ca="1" si="93"/>
        <v>1</v>
      </c>
      <c r="BC109" s="41">
        <f t="shared" ca="1" si="94"/>
        <v>1</v>
      </c>
      <c r="BD109" s="41">
        <f t="shared" ca="1" si="95"/>
        <v>1</v>
      </c>
    </row>
    <row r="110" spans="1:56" ht="15" customHeight="1" x14ac:dyDescent="0.3">
      <c r="A110" s="41">
        <v>103</v>
      </c>
      <c r="B110" s="42">
        <f t="shared" ca="1" si="77"/>
        <v>4.6783426114467397E-2</v>
      </c>
      <c r="C110" s="43">
        <f ca="1">IF(B110&lt;=Inputs!$C$40,Inputs!$D$40,IF(B110&lt;=Inputs!$C$41,Inputs!$D$41,Inputs!$D$42))</f>
        <v>0.9</v>
      </c>
      <c r="D110" s="42">
        <f t="shared" ca="1" si="96"/>
        <v>0.84399221314661588</v>
      </c>
      <c r="E110" s="42">
        <f t="shared" ca="1" si="96"/>
        <v>0.64812350125972573</v>
      </c>
      <c r="F110" s="42">
        <f t="shared" ca="1" si="96"/>
        <v>7.7218735304726893E-2</v>
      </c>
      <c r="G110" s="42">
        <f t="shared" ca="1" si="96"/>
        <v>0.47384923705040305</v>
      </c>
      <c r="H110" s="42">
        <f t="shared" ca="1" si="96"/>
        <v>0.5265737738615609</v>
      </c>
      <c r="I110" s="42">
        <f t="shared" ca="1" si="96"/>
        <v>0.83683038052306991</v>
      </c>
      <c r="J110" s="43">
        <f ca="1">IF(I110&lt;Inputs!$B$54,1+Inputs!$B$55,1)</f>
        <v>1</v>
      </c>
      <c r="K110" s="42">
        <f t="shared" ca="1" si="97"/>
        <v>0.63095725484566312</v>
      </c>
      <c r="L110" s="42">
        <f t="shared" ca="1" si="97"/>
        <v>0.74195318993667847</v>
      </c>
      <c r="M110" s="42">
        <f t="shared" ca="1" si="97"/>
        <v>0.95827370054759176</v>
      </c>
      <c r="N110" s="42">
        <f t="shared" ca="1" si="97"/>
        <v>0.46914281041689931</v>
      </c>
      <c r="O110" s="42">
        <f t="shared" ca="1" si="97"/>
        <v>4.3243061789333681E-2</v>
      </c>
      <c r="P110" s="42">
        <f t="shared" ca="1" si="97"/>
        <v>0.40606179235653816</v>
      </c>
      <c r="Q110" s="42">
        <f t="shared" ca="1" si="97"/>
        <v>0.35909825210719792</v>
      </c>
      <c r="R110" s="42">
        <f t="shared" ca="1" si="97"/>
        <v>0.85654910799408712</v>
      </c>
      <c r="S110" s="42">
        <f t="shared" ca="1" si="97"/>
        <v>0.25566270020653581</v>
      </c>
      <c r="T110" s="42">
        <f t="shared" ca="1" si="97"/>
        <v>0.53757653612447009</v>
      </c>
      <c r="U110" s="44">
        <f ca="1">(IF(D110&gt;=Inputs!$E$12,1,IF(K110&lt;=Inputs!$C$46,Inputs!$D$46,IF(K110&lt;=Inputs!$C$47,Inputs!$D$47,Inputs!$D$48))))*((Inputs!$B$28+(P110-0.5)*2*Inputs!$B$53)/Inputs!$B$28)</f>
        <v>0.99904920842466127</v>
      </c>
      <c r="V110" s="44">
        <f ca="1">(IF(E110&gt;=Inputs!$E$13,1,IF(L110&lt;=Inputs!$C$46,Inputs!$D$46,IF(L110&lt;=Inputs!$C$47,Inputs!$D$47,Inputs!$D$48))))*((Inputs!$B$29+(Q110-0.5)*2*Inputs!$B$53)/Inputs!$B$29)</f>
        <v>0.998579619476887</v>
      </c>
      <c r="W110" s="44">
        <f ca="1">(IF(F110&gt;=Inputs!$E$14,1,IF(M110&lt;=Inputs!$C$46,Inputs!$D$46,IF(M110&lt;=Inputs!$C$47,Inputs!$D$47,Inputs!$D$48))))*((Inputs!$B$30+(R110-0.5)*2*Inputs!$B$53)/Inputs!$B$30)</f>
        <v>1.0035834081205435</v>
      </c>
      <c r="X110" s="44">
        <f ca="1">(IF(G110&gt;=Inputs!$E$15,1,IF(N110&lt;=Inputs!$C$46,Inputs!$D$46,IF(N110&lt;=Inputs!$C$47,Inputs!$D$47,Inputs!$D$48))))*((Inputs!$B$31+(S110-0.5)*2*Inputs!$B$53)/Inputs!$B$31)</f>
        <v>0.99751941827620849</v>
      </c>
      <c r="Y110" s="44">
        <f ca="1">(IF(H110&gt;=Inputs!$E$16,1,IF(O110&lt;=Inputs!$C$46,Inputs!$D$46,IF(O110&lt;=Inputs!$C$47,Inputs!$D$47,Inputs!$D$48))))*((Inputs!$B$32+(T110-0.5)*2*Inputs!$B$53)/Inputs!$B$32)</f>
        <v>1.0003780335626205</v>
      </c>
      <c r="Z110" s="45">
        <f ca="1">ILP_B_Moderate!$C$9*U110+ILP_B_Moderate!$C$10*V110+ILP_B_Moderate!$C$11*W110+ILP_B_Moderate!$C$12*X110+ILP_B_Moderate!$C$13*Y110</f>
        <v>17967.299391902045</v>
      </c>
      <c r="AA110" s="45">
        <f ca="1">ILP_B_Moderate!$D$9*U110+ILP_B_Moderate!$D$10*V110+ILP_B_Moderate!$D$11*W110+ILP_B_Moderate!$D$12*X110+ILP_B_Moderate!$D$13*Y110</f>
        <v>14977.902201042974</v>
      </c>
      <c r="AB110" s="45">
        <f ca="1">ILP_B_Moderate!$E$9*U110+ILP_B_Moderate!$E$10*V110+ILP_B_Moderate!$E$11*W110+ILP_B_Moderate!$E$12*X110+ILP_B_Moderate!$E$13*Y110</f>
        <v>11992.038642083986</v>
      </c>
      <c r="AC110" s="45">
        <f ca="1">Inputs!$B$6*$C110</f>
        <v>16200</v>
      </c>
      <c r="AD110" s="45">
        <f ca="1">Inputs!$B$7*$C110</f>
        <v>13500</v>
      </c>
      <c r="AE110" s="45">
        <f ca="1">Inputs!$B$8*$C110</f>
        <v>10800</v>
      </c>
      <c r="AF110" s="45">
        <f t="shared" ca="1" si="78"/>
        <v>0</v>
      </c>
      <c r="AG110" s="45">
        <f t="shared" ca="1" si="79"/>
        <v>0</v>
      </c>
      <c r="AH110" s="45">
        <f t="shared" ca="1" si="80"/>
        <v>0</v>
      </c>
      <c r="AI110" s="45">
        <f t="shared" ca="1" si="81"/>
        <v>0</v>
      </c>
      <c r="AJ110" s="45">
        <f ca="1">U110*(Inputs!$B$12-ILP_B_Moderate!$F$9)+V110*(Inputs!$B$13-ILP_B_Moderate!$F$10)+W110*(Inputs!$B$14-ILP_B_Moderate!$F$11)+X110*(Inputs!$B$15-ILP_B_Moderate!$F$12)+Y110*(Inputs!$B$16-ILP_B_Moderate!$F$13)</f>
        <v>25050.149600762867</v>
      </c>
      <c r="AK110" s="45">
        <f t="shared" ca="1" si="82"/>
        <v>0</v>
      </c>
      <c r="AL110" s="45">
        <f t="shared" ca="1" si="83"/>
        <v>0</v>
      </c>
      <c r="AM110" s="45">
        <f t="shared" ca="1" si="84"/>
        <v>0</v>
      </c>
      <c r="AN110" s="45">
        <f t="shared" ca="1" si="85"/>
        <v>0</v>
      </c>
      <c r="AO110" s="45">
        <f ca="1">MIN(AL110,Inputs!$B$36)</f>
        <v>0</v>
      </c>
      <c r="AP110" s="45">
        <f ca="1">MIN(AN110,Inputs!$B$36-AO110)</f>
        <v>0</v>
      </c>
      <c r="AQ110" s="45">
        <f ca="1">MIN(AM110,Inputs!$B$36-AO110-AP110)</f>
        <v>0</v>
      </c>
      <c r="AR110" s="45">
        <f t="shared" ca="1" si="86"/>
        <v>0</v>
      </c>
      <c r="AS110" s="45">
        <f t="shared" ca="1" si="87"/>
        <v>0</v>
      </c>
      <c r="AT110" s="45">
        <f t="shared" ca="1" si="88"/>
        <v>0</v>
      </c>
      <c r="AU110" s="45">
        <f t="shared" ca="1" si="89"/>
        <v>0</v>
      </c>
      <c r="AV110" s="46">
        <f ca="1">AU110*Inputs!$B$35</f>
        <v>0</v>
      </c>
      <c r="AW110" s="46">
        <f ca="1">AR110*Inputs!$C$6+AT110*Inputs!$C$7+AS110*Inputs!$C$8</f>
        <v>0</v>
      </c>
      <c r="AX110" s="46">
        <f t="shared" ca="1" si="90"/>
        <v>47503017.389026359</v>
      </c>
      <c r="AY110" s="46">
        <f ca="1">IF(J110&gt;1,($CD$4)*Inputs!$B$55*((Z110+AA110+AB110)/(SUM(ILP_B_Moderate!$C$9:$E$13))),0)</f>
        <v>0</v>
      </c>
      <c r="AZ110" s="46">
        <f t="shared" ca="1" si="91"/>
        <v>0</v>
      </c>
      <c r="BA110" s="41">
        <f t="shared" ca="1" si="92"/>
        <v>0</v>
      </c>
      <c r="BB110" s="41">
        <f t="shared" ca="1" si="93"/>
        <v>1</v>
      </c>
      <c r="BC110" s="41">
        <f t="shared" ca="1" si="94"/>
        <v>1</v>
      </c>
      <c r="BD110" s="41">
        <f t="shared" ca="1" si="95"/>
        <v>1</v>
      </c>
    </row>
    <row r="111" spans="1:56" ht="15" customHeight="1" x14ac:dyDescent="0.3">
      <c r="A111" s="41">
        <v>104</v>
      </c>
      <c r="B111" s="42">
        <f t="shared" ca="1" si="77"/>
        <v>0.92069071669582203</v>
      </c>
      <c r="C111" s="43">
        <f ca="1">IF(B111&lt;=Inputs!$C$40,Inputs!$D$40,IF(B111&lt;=Inputs!$C$41,Inputs!$D$41,Inputs!$D$42))</f>
        <v>1.1499999999999999</v>
      </c>
      <c r="D111" s="42">
        <f t="shared" ca="1" si="96"/>
        <v>0.46209401310089282</v>
      </c>
      <c r="E111" s="42">
        <f t="shared" ca="1" si="96"/>
        <v>0.88446024358039188</v>
      </c>
      <c r="F111" s="42">
        <f t="shared" ca="1" si="96"/>
        <v>0.72059491154668431</v>
      </c>
      <c r="G111" s="42">
        <f t="shared" ca="1" si="96"/>
        <v>0.72465471632587386</v>
      </c>
      <c r="H111" s="42">
        <f t="shared" ca="1" si="96"/>
        <v>0.21875091060874463</v>
      </c>
      <c r="I111" s="42">
        <f t="shared" ca="1" si="96"/>
        <v>0.86595591955278295</v>
      </c>
      <c r="J111" s="43">
        <f ca="1">IF(I111&lt;Inputs!$B$54,1+Inputs!$B$55,1)</f>
        <v>1</v>
      </c>
      <c r="K111" s="42">
        <f t="shared" ca="1" si="97"/>
        <v>0.87184329142647166</v>
      </c>
      <c r="L111" s="42">
        <f t="shared" ca="1" si="97"/>
        <v>0.49801170550201423</v>
      </c>
      <c r="M111" s="42">
        <f t="shared" ca="1" si="97"/>
        <v>0.18153685401949837</v>
      </c>
      <c r="N111" s="42">
        <f t="shared" ca="1" si="97"/>
        <v>0.41662196066152868</v>
      </c>
      <c r="O111" s="42">
        <f t="shared" ca="1" si="97"/>
        <v>1.4881987641760186E-2</v>
      </c>
      <c r="P111" s="42">
        <f t="shared" ca="1" si="97"/>
        <v>0.51556633282576891</v>
      </c>
      <c r="Q111" s="42">
        <f t="shared" ca="1" si="97"/>
        <v>0.59230865681759359</v>
      </c>
      <c r="R111" s="42">
        <f t="shared" ca="1" si="97"/>
        <v>0.34229803351722676</v>
      </c>
      <c r="S111" s="42">
        <f t="shared" ca="1" si="97"/>
        <v>0.1203852738739899</v>
      </c>
      <c r="T111" s="42">
        <f t="shared" ca="1" si="97"/>
        <v>0.89281689697826927</v>
      </c>
      <c r="U111" s="44">
        <f ca="1">(IF(D111&gt;=Inputs!$E$12,1,IF(K111&lt;=Inputs!$C$46,Inputs!$D$46,IF(K111&lt;=Inputs!$C$47,Inputs!$D$47,Inputs!$D$48))))*((Inputs!$B$28+(P111-0.5)*2*Inputs!$B$53)/Inputs!$B$28)</f>
        <v>1.0001575539759693</v>
      </c>
      <c r="V111" s="44">
        <f ca="1">(IF(E111&gt;=Inputs!$E$13,1,IF(L111&lt;=Inputs!$C$46,Inputs!$D$46,IF(L111&lt;=Inputs!$C$47,Inputs!$D$47,Inputs!$D$48))))*((Inputs!$B$29+(Q111-0.5)*2*Inputs!$B$53)/Inputs!$B$29)</f>
        <v>1.0009305308146934</v>
      </c>
      <c r="W111" s="44">
        <f ca="1">(IF(F111&gt;=Inputs!$E$14,1,IF(M111&lt;=Inputs!$C$46,Inputs!$D$46,IF(M111&lt;=Inputs!$C$47,Inputs!$D$47,Inputs!$D$48))))*((Inputs!$B$30+(R111-0.5)*2*Inputs!$B$53)/Inputs!$B$30)</f>
        <v>0.99841505561323851</v>
      </c>
      <c r="X111" s="44">
        <f ca="1">(IF(G111&gt;=Inputs!$E$15,1,IF(N111&lt;=Inputs!$C$46,Inputs!$D$46,IF(N111&lt;=Inputs!$C$47,Inputs!$D$47,Inputs!$D$48))))*((Inputs!$B$31+(S111-0.5)*2*Inputs!$B$53)/Inputs!$B$31)</f>
        <v>0.99614604338958368</v>
      </c>
      <c r="Y111" s="44">
        <f ca="1">(IF(H111&gt;=Inputs!$E$16,1,IF(O111&lt;=Inputs!$C$46,Inputs!$D$46,IF(O111&lt;=Inputs!$C$47,Inputs!$D$47,Inputs!$D$48))))*((Inputs!$B$32+(T111-0.5)*2*Inputs!$B$53)/Inputs!$B$32)</f>
        <v>1.0039518802512903</v>
      </c>
      <c r="Z111" s="45">
        <f ca="1">ILP_B_Moderate!$C$9*U111+ILP_B_Moderate!$C$10*V111+ILP_B_Moderate!$C$11*W111+ILP_B_Moderate!$C$12*X111+ILP_B_Moderate!$C$13*Y111</f>
        <v>17969.725342609516</v>
      </c>
      <c r="AA111" s="45">
        <f ca="1">ILP_B_Moderate!$D$9*U111+ILP_B_Moderate!$D$10*V111+ILP_B_Moderate!$D$11*W111+ILP_B_Moderate!$D$12*X111+ILP_B_Moderate!$D$13*Y111</f>
        <v>14996.848176076363</v>
      </c>
      <c r="AB111" s="45">
        <f ca="1">ILP_B_Moderate!$E$9*U111+ILP_B_Moderate!$E$10*V111+ILP_B_Moderate!$E$11*W111+ILP_B_Moderate!$E$12*X111+ILP_B_Moderate!$E$13*Y111</f>
        <v>12017.05489018108</v>
      </c>
      <c r="AC111" s="45">
        <f ca="1">Inputs!$B$6*$C111</f>
        <v>20700</v>
      </c>
      <c r="AD111" s="45">
        <f ca="1">Inputs!$B$7*$C111</f>
        <v>17250</v>
      </c>
      <c r="AE111" s="45">
        <f ca="1">Inputs!$B$8*$C111</f>
        <v>13799.999999999998</v>
      </c>
      <c r="AF111" s="45">
        <f t="shared" ca="1" si="78"/>
        <v>2730.2746573904842</v>
      </c>
      <c r="AG111" s="45">
        <f t="shared" ca="1" si="79"/>
        <v>2253.1518239236375</v>
      </c>
      <c r="AH111" s="45">
        <f t="shared" ca="1" si="80"/>
        <v>1782.9451098189184</v>
      </c>
      <c r="AI111" s="45">
        <f t="shared" ca="1" si="81"/>
        <v>6766.3715911330401</v>
      </c>
      <c r="AJ111" s="45">
        <f ca="1">U111*(Inputs!$B$12-ILP_B_Moderate!$F$9)+V111*(Inputs!$B$13-ILP_B_Moderate!$F$10)+W111*(Inputs!$B$14-ILP_B_Moderate!$F$11)+X111*(Inputs!$B$15-ILP_B_Moderate!$F$12)+Y111*(Inputs!$B$16-ILP_B_Moderate!$F$13)</f>
        <v>25024.346333570713</v>
      </c>
      <c r="AK111" s="45">
        <f t="shared" ca="1" si="82"/>
        <v>6766.3715911330401</v>
      </c>
      <c r="AL111" s="45">
        <f t="shared" ca="1" si="83"/>
        <v>0</v>
      </c>
      <c r="AM111" s="45">
        <f t="shared" ca="1" si="84"/>
        <v>0</v>
      </c>
      <c r="AN111" s="45">
        <f t="shared" ca="1" si="85"/>
        <v>0</v>
      </c>
      <c r="AO111" s="45">
        <f ca="1">MIN(AL111,Inputs!$B$36)</f>
        <v>0</v>
      </c>
      <c r="AP111" s="45">
        <f ca="1">MIN(AN111,Inputs!$B$36-AO111)</f>
        <v>0</v>
      </c>
      <c r="AQ111" s="45">
        <f ca="1">MIN(AM111,Inputs!$B$36-AO111-AP111)</f>
        <v>0</v>
      </c>
      <c r="AR111" s="45">
        <f t="shared" ca="1" si="86"/>
        <v>0</v>
      </c>
      <c r="AS111" s="45">
        <f t="shared" ca="1" si="87"/>
        <v>0</v>
      </c>
      <c r="AT111" s="45">
        <f t="shared" ca="1" si="88"/>
        <v>0</v>
      </c>
      <c r="AU111" s="45">
        <f t="shared" ca="1" si="89"/>
        <v>0</v>
      </c>
      <c r="AV111" s="46">
        <f ca="1">AU111*Inputs!$B$35</f>
        <v>0</v>
      </c>
      <c r="AW111" s="46">
        <f ca="1">AR111*Inputs!$C$6+AT111*Inputs!$C$7+AS111*Inputs!$C$8</f>
        <v>0</v>
      </c>
      <c r="AX111" s="46">
        <f t="shared" ca="1" si="90"/>
        <v>47553012.611100331</v>
      </c>
      <c r="AY111" s="46">
        <f ca="1">IF(J111&gt;1,($CD$4)*Inputs!$B$55*((Z111+AA111+AB111)/(SUM(ILP_B_Moderate!$C$9:$E$13))),0)</f>
        <v>0</v>
      </c>
      <c r="AZ111" s="46">
        <f t="shared" ca="1" si="91"/>
        <v>0</v>
      </c>
      <c r="BA111" s="41">
        <f t="shared" ca="1" si="92"/>
        <v>0</v>
      </c>
      <c r="BB111" s="41">
        <f t="shared" ca="1" si="93"/>
        <v>1</v>
      </c>
      <c r="BC111" s="41">
        <f t="shared" ca="1" si="94"/>
        <v>1</v>
      </c>
      <c r="BD111" s="41">
        <f t="shared" ca="1" si="95"/>
        <v>1</v>
      </c>
    </row>
    <row r="112" spans="1:56" ht="15" customHeight="1" x14ac:dyDescent="0.3">
      <c r="A112" s="41">
        <v>105</v>
      </c>
      <c r="B112" s="42">
        <f t="shared" ca="1" si="77"/>
        <v>0.83075265419783695</v>
      </c>
      <c r="C112" s="43">
        <f ca="1">IF(B112&lt;=Inputs!$C$40,Inputs!$D$40,IF(B112&lt;=Inputs!$C$41,Inputs!$D$41,Inputs!$D$42))</f>
        <v>1.1499999999999999</v>
      </c>
      <c r="D112" s="42">
        <f t="shared" ca="1" si="96"/>
        <v>0.1474609838633768</v>
      </c>
      <c r="E112" s="42">
        <f t="shared" ca="1" si="96"/>
        <v>3.9301045264695023E-2</v>
      </c>
      <c r="F112" s="42">
        <f t="shared" ca="1" si="96"/>
        <v>0.57504359324394094</v>
      </c>
      <c r="G112" s="42">
        <f t="shared" ca="1" si="96"/>
        <v>3.0903009150528793E-2</v>
      </c>
      <c r="H112" s="42">
        <f t="shared" ca="1" si="96"/>
        <v>0.50984627016046025</v>
      </c>
      <c r="I112" s="42">
        <f t="shared" ca="1" si="96"/>
        <v>1.238710579586777E-2</v>
      </c>
      <c r="J112" s="43">
        <f ca="1">IF(I112&lt;Inputs!$B$54,1+Inputs!$B$55,1)</f>
        <v>1.25</v>
      </c>
      <c r="K112" s="42">
        <f t="shared" ca="1" si="97"/>
        <v>0.3927522306836263</v>
      </c>
      <c r="L112" s="42">
        <f t="shared" ca="1" si="97"/>
        <v>0.95643969746960722</v>
      </c>
      <c r="M112" s="42">
        <f t="shared" ca="1" si="97"/>
        <v>0.24739280448361678</v>
      </c>
      <c r="N112" s="42">
        <f t="shared" ca="1" si="97"/>
        <v>0.73193817362652647</v>
      </c>
      <c r="O112" s="42">
        <f t="shared" ca="1" si="97"/>
        <v>0.86554511634018616</v>
      </c>
      <c r="P112" s="42">
        <f t="shared" ca="1" si="97"/>
        <v>0.36546619808934511</v>
      </c>
      <c r="Q112" s="42">
        <f t="shared" ca="1" si="97"/>
        <v>5.6404821928814131E-2</v>
      </c>
      <c r="R112" s="42">
        <f t="shared" ca="1" si="97"/>
        <v>0.21934998790007221</v>
      </c>
      <c r="S112" s="42">
        <f t="shared" ca="1" si="97"/>
        <v>0.56888446021723282</v>
      </c>
      <c r="T112" s="42">
        <f t="shared" ca="1" si="97"/>
        <v>0.24735181963392494</v>
      </c>
      <c r="U112" s="44">
        <f ca="1">(IF(D112&gt;=Inputs!$E$12,1,IF(K112&lt;=Inputs!$C$46,Inputs!$D$46,IF(K112&lt;=Inputs!$C$47,Inputs!$D$47,Inputs!$D$48))))*((Inputs!$B$28+(P112-0.5)*2*Inputs!$B$53)/Inputs!$B$28)</f>
        <v>0.9986383218430096</v>
      </c>
      <c r="V112" s="44">
        <f ca="1">(IF(E112&gt;=Inputs!$E$13,1,IF(L112&lt;=Inputs!$C$46,Inputs!$D$46,IF(L112&lt;=Inputs!$C$47,Inputs!$D$47,Inputs!$D$48))))*((Inputs!$B$29+(Q112-0.5)*2*Inputs!$B$53)/Inputs!$B$29)</f>
        <v>0</v>
      </c>
      <c r="W112" s="44">
        <f ca="1">(IF(F112&gt;=Inputs!$E$14,1,IF(M112&lt;=Inputs!$C$46,Inputs!$D$46,IF(M112&lt;=Inputs!$C$47,Inputs!$D$47,Inputs!$D$48))))*((Inputs!$B$30+(R112-0.5)*2*Inputs!$B$53)/Inputs!$B$30)</f>
        <v>0.99717939686331736</v>
      </c>
      <c r="X112" s="44">
        <f ca="1">(IF(G112&gt;=Inputs!$E$15,1,IF(N112&lt;=Inputs!$C$46,Inputs!$D$46,IF(N112&lt;=Inputs!$C$47,Inputs!$D$47,Inputs!$D$48))))*((Inputs!$B$31+(S112-0.5)*2*Inputs!$B$53)/Inputs!$B$31)</f>
        <v>0.3002098003864484</v>
      </c>
      <c r="Y112" s="44">
        <f ca="1">(IF(H112&gt;=Inputs!$E$16,1,IF(O112&lt;=Inputs!$C$46,Inputs!$D$46,IF(O112&lt;=Inputs!$C$47,Inputs!$D$47,Inputs!$D$48))))*((Inputs!$B$32+(T112-0.5)*2*Inputs!$B$53)/Inputs!$B$32)</f>
        <v>0.99745826780315816</v>
      </c>
      <c r="Z112" s="45">
        <f ca="1">ILP_B_Moderate!$C$9*U112+ILP_B_Moderate!$C$10*V112+ILP_B_Moderate!$C$11*W112+ILP_B_Moderate!$C$12*X112+ILP_B_Moderate!$C$13*Y112</f>
        <v>7822.9055178889885</v>
      </c>
      <c r="AA112" s="45">
        <f ca="1">ILP_B_Moderate!$D$9*U112+ILP_B_Moderate!$D$10*V112+ILP_B_Moderate!$D$11*W112+ILP_B_Moderate!$D$12*X112+ILP_B_Moderate!$D$13*Y112</f>
        <v>5520.2189833150696</v>
      </c>
      <c r="AB112" s="45">
        <f ca="1">ILP_B_Moderate!$E$9*U112+ILP_B_Moderate!$E$10*V112+ILP_B_Moderate!$E$11*W112+ILP_B_Moderate!$E$12*X112+ILP_B_Moderate!$E$13*Y112</f>
        <v>9466.9745360842608</v>
      </c>
      <c r="AC112" s="45">
        <f ca="1">Inputs!$B$6*$C112</f>
        <v>20700</v>
      </c>
      <c r="AD112" s="45">
        <f ca="1">Inputs!$B$7*$C112</f>
        <v>17250</v>
      </c>
      <c r="AE112" s="45">
        <f ca="1">Inputs!$B$8*$C112</f>
        <v>13799.999999999998</v>
      </c>
      <c r="AF112" s="45">
        <f t="shared" ca="1" si="78"/>
        <v>12877.094482111012</v>
      </c>
      <c r="AG112" s="45">
        <f t="shared" ca="1" si="79"/>
        <v>11729.78101668493</v>
      </c>
      <c r="AH112" s="45">
        <f t="shared" ca="1" si="80"/>
        <v>4333.0254639157374</v>
      </c>
      <c r="AI112" s="45">
        <f t="shared" ca="1" si="81"/>
        <v>28939.900962711676</v>
      </c>
      <c r="AJ112" s="45">
        <f ca="1">U112*(Inputs!$B$12-ILP_B_Moderate!$F$9)+V112*(Inputs!$B$13-ILP_B_Moderate!$F$10)+W112*(Inputs!$B$14-ILP_B_Moderate!$F$11)+X112*(Inputs!$B$15-ILP_B_Moderate!$F$12)+Y112*(Inputs!$B$16-ILP_B_Moderate!$F$13)</f>
        <v>24695.837893107717</v>
      </c>
      <c r="AK112" s="45">
        <f t="shared" ca="1" si="82"/>
        <v>24695.837893107717</v>
      </c>
      <c r="AL112" s="45">
        <f t="shared" ca="1" si="83"/>
        <v>1888.4377388072242</v>
      </c>
      <c r="AM112" s="45">
        <f t="shared" ca="1" si="84"/>
        <v>1720.1831648144487</v>
      </c>
      <c r="AN112" s="45">
        <f t="shared" ca="1" si="85"/>
        <v>635.44216598228559</v>
      </c>
      <c r="AO112" s="45">
        <f ca="1">MIN(AL112,Inputs!$B$36)</f>
        <v>1888.4377388072242</v>
      </c>
      <c r="AP112" s="45">
        <f ca="1">MIN(AN112,Inputs!$B$36-AO112)</f>
        <v>635.44216598228559</v>
      </c>
      <c r="AQ112" s="45">
        <f ca="1">MIN(AM112,Inputs!$B$36-AO112-AP112)</f>
        <v>1720.1831648144487</v>
      </c>
      <c r="AR112" s="45">
        <f t="shared" ca="1" si="86"/>
        <v>0</v>
      </c>
      <c r="AS112" s="45">
        <f t="shared" ca="1" si="87"/>
        <v>0</v>
      </c>
      <c r="AT112" s="45">
        <f t="shared" ca="1" si="88"/>
        <v>0</v>
      </c>
      <c r="AU112" s="45">
        <f t="shared" ca="1" si="89"/>
        <v>4244.0630696039589</v>
      </c>
      <c r="AV112" s="46">
        <f ca="1">AU112*Inputs!$B$35</f>
        <v>6578297.757886136</v>
      </c>
      <c r="AW112" s="46">
        <f ca="1">AR112*Inputs!$C$6+AT112*Inputs!$C$7+AS112*Inputs!$C$8</f>
        <v>0</v>
      </c>
      <c r="AX112" s="46">
        <f t="shared" ca="1" si="90"/>
        <v>24306957.366113964</v>
      </c>
      <c r="AY112" s="46">
        <f ca="1">IF(J112&gt;1,($CD$4)*Inputs!$B$55*((Z112+AA112+AB112)/(SUM(ILP_B_Moderate!$C$9:$E$13))),0)</f>
        <v>289287.81381268479</v>
      </c>
      <c r="AZ112" s="46">
        <f t="shared" ca="1" si="91"/>
        <v>6578297.757886136</v>
      </c>
      <c r="BA112" s="41">
        <f t="shared" ca="1" si="92"/>
        <v>0</v>
      </c>
      <c r="BB112" s="41">
        <f t="shared" ca="1" si="93"/>
        <v>1</v>
      </c>
      <c r="BC112" s="41">
        <f t="shared" ca="1" si="94"/>
        <v>1</v>
      </c>
      <c r="BD112" s="41">
        <f t="shared" ca="1" si="95"/>
        <v>1</v>
      </c>
    </row>
    <row r="113" spans="1:56" ht="15" customHeight="1" x14ac:dyDescent="0.3">
      <c r="A113" s="41">
        <v>106</v>
      </c>
      <c r="B113" s="42">
        <f t="shared" ca="1" si="77"/>
        <v>0.55143239264603872</v>
      </c>
      <c r="C113" s="43">
        <f ca="1">IF(B113&lt;=Inputs!$C$40,Inputs!$D$40,IF(B113&lt;=Inputs!$C$41,Inputs!$D$41,Inputs!$D$42))</f>
        <v>1</v>
      </c>
      <c r="D113" s="42">
        <f t="shared" ca="1" si="96"/>
        <v>0.5754727556663034</v>
      </c>
      <c r="E113" s="42">
        <f t="shared" ca="1" si="96"/>
        <v>3.9928905442666696E-2</v>
      </c>
      <c r="F113" s="42">
        <f t="shared" ca="1" si="96"/>
        <v>0.64556976375753938</v>
      </c>
      <c r="G113" s="42">
        <f t="shared" ca="1" si="96"/>
        <v>0.51293647719736313</v>
      </c>
      <c r="H113" s="42">
        <f t="shared" ca="1" si="96"/>
        <v>0.58178373284812346</v>
      </c>
      <c r="I113" s="42">
        <f t="shared" ca="1" si="96"/>
        <v>0.44762743207660727</v>
      </c>
      <c r="J113" s="43">
        <f ca="1">IF(I113&lt;Inputs!$B$54,1+Inputs!$B$55,1)</f>
        <v>1</v>
      </c>
      <c r="K113" s="42">
        <f t="shared" ca="1" si="97"/>
        <v>0.60980113824160664</v>
      </c>
      <c r="L113" s="42">
        <f t="shared" ca="1" si="97"/>
        <v>0.61858448303412628</v>
      </c>
      <c r="M113" s="42">
        <f t="shared" ca="1" si="97"/>
        <v>0.39166197259606583</v>
      </c>
      <c r="N113" s="42">
        <f t="shared" ca="1" si="97"/>
        <v>0.84516625364617914</v>
      </c>
      <c r="O113" s="42">
        <f t="shared" ca="1" si="97"/>
        <v>0.65329452552477107</v>
      </c>
      <c r="P113" s="42">
        <f t="shared" ca="1" si="97"/>
        <v>0.56136809899683182</v>
      </c>
      <c r="Q113" s="42">
        <f t="shared" ca="1" si="97"/>
        <v>3.8422410211893965E-2</v>
      </c>
      <c r="R113" s="42">
        <f t="shared" ca="1" si="97"/>
        <v>0.93009338994854185</v>
      </c>
      <c r="S113" s="42">
        <f t="shared" ca="1" si="97"/>
        <v>0.45903790927243815</v>
      </c>
      <c r="T113" s="42">
        <f t="shared" ca="1" si="97"/>
        <v>0.2274259851821181</v>
      </c>
      <c r="U113" s="44">
        <f ca="1">(IF(D113&gt;=Inputs!$E$12,1,IF(K113&lt;=Inputs!$C$46,Inputs!$D$46,IF(K113&lt;=Inputs!$C$47,Inputs!$D$47,Inputs!$D$48))))*((Inputs!$B$28+(P113-0.5)*2*Inputs!$B$53)/Inputs!$B$28)</f>
        <v>1.0006211346052309</v>
      </c>
      <c r="V113" s="44">
        <f ca="1">(IF(E113&gt;=Inputs!$E$13,1,IF(L113&lt;=Inputs!$C$46,Inputs!$D$46,IF(L113&lt;=Inputs!$C$47,Inputs!$D$47,Inputs!$D$48))))*((Inputs!$B$29+(Q113-0.5)*2*Inputs!$B$53)/Inputs!$B$29)</f>
        <v>0.29860410003088272</v>
      </c>
      <c r="W113" s="44">
        <f ca="1">(IF(F113&gt;=Inputs!$E$14,1,IF(M113&lt;=Inputs!$C$46,Inputs!$D$46,IF(M113&lt;=Inputs!$C$47,Inputs!$D$47,Inputs!$D$48))))*((Inputs!$B$30+(R113-0.5)*2*Inputs!$B$53)/Inputs!$B$30)</f>
        <v>1.0043225466326486</v>
      </c>
      <c r="X113" s="44">
        <f ca="1">(IF(G113&gt;=Inputs!$E$15,1,IF(N113&lt;=Inputs!$C$46,Inputs!$D$46,IF(N113&lt;=Inputs!$C$47,Inputs!$D$47,Inputs!$D$48))))*((Inputs!$B$31+(S113-0.5)*2*Inputs!$B$53)/Inputs!$B$31)</f>
        <v>0.99958414121088768</v>
      </c>
      <c r="Y113" s="44">
        <f ca="1">(IF(H113&gt;=Inputs!$E$16,1,IF(O113&lt;=Inputs!$C$46,Inputs!$D$46,IF(O113&lt;=Inputs!$C$47,Inputs!$D$47,Inputs!$D$48))))*((Inputs!$B$32+(T113-0.5)*2*Inputs!$B$53)/Inputs!$B$32)</f>
        <v>0.99725780669197306</v>
      </c>
      <c r="Z113" s="45">
        <f ca="1">ILP_B_Moderate!$C$9*U113+ILP_B_Moderate!$C$10*V113+ILP_B_Moderate!$C$11*W113+ILP_B_Moderate!$C$12*X113+ILP_B_Moderate!$C$13*Y113</f>
        <v>15283.637524473192</v>
      </c>
      <c r="AA113" s="45">
        <f ca="1">ILP_B_Moderate!$D$9*U113+ILP_B_Moderate!$D$10*V113+ILP_B_Moderate!$D$11*W113+ILP_B_Moderate!$D$12*X113+ILP_B_Moderate!$D$13*Y113</f>
        <v>9741.2649383988046</v>
      </c>
      <c r="AB113" s="45">
        <f ca="1">ILP_B_Moderate!$E$9*U113+ILP_B_Moderate!$E$10*V113+ILP_B_Moderate!$E$11*W113+ILP_B_Moderate!$E$12*X113+ILP_B_Moderate!$E$13*Y113</f>
        <v>10229.46092182392</v>
      </c>
      <c r="AC113" s="45">
        <f ca="1">Inputs!$B$6*$C113</f>
        <v>18000</v>
      </c>
      <c r="AD113" s="45">
        <f ca="1">Inputs!$B$7*$C113</f>
        <v>15000</v>
      </c>
      <c r="AE113" s="45">
        <f ca="1">Inputs!$B$8*$C113</f>
        <v>12000</v>
      </c>
      <c r="AF113" s="45">
        <f t="shared" ca="1" si="78"/>
        <v>2716.3624755268083</v>
      </c>
      <c r="AG113" s="45">
        <f t="shared" ca="1" si="79"/>
        <v>5258.7350616011954</v>
      </c>
      <c r="AH113" s="45">
        <f t="shared" ca="1" si="80"/>
        <v>1770.5390781760798</v>
      </c>
      <c r="AI113" s="45">
        <f t="shared" ca="1" si="81"/>
        <v>9745.6366153040835</v>
      </c>
      <c r="AJ113" s="45">
        <f ca="1">U113*(Inputs!$B$12-ILP_B_Moderate!$F$9)+V113*(Inputs!$B$13-ILP_B_Moderate!$F$10)+W113*(Inputs!$B$14-ILP_B_Moderate!$F$11)+X113*(Inputs!$B$15-ILP_B_Moderate!$F$12)+Y113*(Inputs!$B$16-ILP_B_Moderate!$F$13)</f>
        <v>24946.102070554818</v>
      </c>
      <c r="AK113" s="45">
        <f t="shared" ca="1" si="82"/>
        <v>9745.6366153040835</v>
      </c>
      <c r="AL113" s="45">
        <f t="shared" ca="1" si="83"/>
        <v>0</v>
      </c>
      <c r="AM113" s="45">
        <f t="shared" ca="1" si="84"/>
        <v>0</v>
      </c>
      <c r="AN113" s="45">
        <f t="shared" ca="1" si="85"/>
        <v>0</v>
      </c>
      <c r="AO113" s="45">
        <f ca="1">MIN(AL113,Inputs!$B$36)</f>
        <v>0</v>
      </c>
      <c r="AP113" s="45">
        <f ca="1">MIN(AN113,Inputs!$B$36-AO113)</f>
        <v>0</v>
      </c>
      <c r="AQ113" s="45">
        <f ca="1">MIN(AM113,Inputs!$B$36-AO113-AP113)</f>
        <v>0</v>
      </c>
      <c r="AR113" s="45">
        <f t="shared" ca="1" si="86"/>
        <v>0</v>
      </c>
      <c r="AS113" s="45">
        <f t="shared" ca="1" si="87"/>
        <v>0</v>
      </c>
      <c r="AT113" s="45">
        <f t="shared" ca="1" si="88"/>
        <v>0</v>
      </c>
      <c r="AU113" s="45">
        <f t="shared" ca="1" si="89"/>
        <v>0</v>
      </c>
      <c r="AV113" s="46">
        <f ca="1">AU113*Inputs!$B$35</f>
        <v>0</v>
      </c>
      <c r="AW113" s="46">
        <f ca="1">AR113*Inputs!$C$6+AT113*Inputs!$C$7+AS113*Inputs!$C$8</f>
        <v>0</v>
      </c>
      <c r="AX113" s="46">
        <f t="shared" ca="1" si="90"/>
        <v>37283694.270634837</v>
      </c>
      <c r="AY113" s="46">
        <f ca="1">IF(J113&gt;1,($CD$4)*Inputs!$B$55*((Z113+AA113+AB113)/(SUM(ILP_B_Moderate!$C$9:$E$13))),0)</f>
        <v>0</v>
      </c>
      <c r="AZ113" s="46">
        <f t="shared" ca="1" si="91"/>
        <v>0</v>
      </c>
      <c r="BA113" s="41">
        <f t="shared" ca="1" si="92"/>
        <v>0</v>
      </c>
      <c r="BB113" s="41">
        <f t="shared" ca="1" si="93"/>
        <v>1</v>
      </c>
      <c r="BC113" s="41">
        <f t="shared" ca="1" si="94"/>
        <v>1</v>
      </c>
      <c r="BD113" s="41">
        <f t="shared" ca="1" si="95"/>
        <v>1</v>
      </c>
    </row>
    <row r="114" spans="1:56" ht="15" customHeight="1" x14ac:dyDescent="0.3">
      <c r="A114" s="41">
        <v>107</v>
      </c>
      <c r="B114" s="42">
        <f t="shared" ca="1" si="77"/>
        <v>0.72154677700550429</v>
      </c>
      <c r="C114" s="43">
        <f ca="1">IF(B114&lt;=Inputs!$C$40,Inputs!$D$40,IF(B114&lt;=Inputs!$C$41,Inputs!$D$41,Inputs!$D$42))</f>
        <v>1</v>
      </c>
      <c r="D114" s="42">
        <f t="shared" ca="1" si="96"/>
        <v>0.99237714710827907</v>
      </c>
      <c r="E114" s="42">
        <f t="shared" ca="1" si="96"/>
        <v>0.75072122568402</v>
      </c>
      <c r="F114" s="42">
        <f t="shared" ca="1" si="96"/>
        <v>0.9541849189607835</v>
      </c>
      <c r="G114" s="42">
        <f t="shared" ca="1" si="96"/>
        <v>0.8494419053247011</v>
      </c>
      <c r="H114" s="42">
        <f t="shared" ca="1" si="96"/>
        <v>0.99627106643160046</v>
      </c>
      <c r="I114" s="42">
        <f t="shared" ca="1" si="96"/>
        <v>0.16200793133025482</v>
      </c>
      <c r="J114" s="43">
        <f ca="1">IF(I114&lt;Inputs!$B$54,1+Inputs!$B$55,1)</f>
        <v>1</v>
      </c>
      <c r="K114" s="42">
        <f t="shared" ca="1" si="97"/>
        <v>0.7971771071581808</v>
      </c>
      <c r="L114" s="42">
        <f t="shared" ca="1" si="97"/>
        <v>0.1538975520862127</v>
      </c>
      <c r="M114" s="42">
        <f t="shared" ca="1" si="97"/>
        <v>0.3068220801785897</v>
      </c>
      <c r="N114" s="42">
        <f t="shared" ca="1" si="97"/>
        <v>0.56262394501588908</v>
      </c>
      <c r="O114" s="42">
        <f t="shared" ca="1" si="97"/>
        <v>0.13776913880219699</v>
      </c>
      <c r="P114" s="42">
        <f t="shared" ca="1" si="97"/>
        <v>0.41633561574359579</v>
      </c>
      <c r="Q114" s="42">
        <f t="shared" ca="1" si="97"/>
        <v>0.4013106009954267</v>
      </c>
      <c r="R114" s="42">
        <f t="shared" ca="1" si="97"/>
        <v>0.77376017921276674</v>
      </c>
      <c r="S114" s="42">
        <f t="shared" ca="1" si="97"/>
        <v>5.3481742683855304E-2</v>
      </c>
      <c r="T114" s="42">
        <f t="shared" ca="1" si="97"/>
        <v>0.67033322794690497</v>
      </c>
      <c r="U114" s="44">
        <f ca="1">(IF(D114&gt;=Inputs!$E$12,1,IF(K114&lt;=Inputs!$C$46,Inputs!$D$46,IF(K114&lt;=Inputs!$C$47,Inputs!$D$47,Inputs!$D$48))))*((Inputs!$B$28+(P114-0.5)*2*Inputs!$B$53)/Inputs!$B$28)</f>
        <v>0.999153194491332</v>
      </c>
      <c r="V114" s="44">
        <f ca="1">(IF(E114&gt;=Inputs!$E$13,1,IF(L114&lt;=Inputs!$C$46,Inputs!$D$46,IF(L114&lt;=Inputs!$C$47,Inputs!$D$47,Inputs!$D$48))))*((Inputs!$B$29+(Q114-0.5)*2*Inputs!$B$53)/Inputs!$B$29)</f>
        <v>0.99900514718745392</v>
      </c>
      <c r="W114" s="44">
        <f ca="1">(IF(F114&gt;=Inputs!$E$14,1,IF(M114&lt;=Inputs!$C$46,Inputs!$D$46,IF(M114&lt;=Inputs!$C$47,Inputs!$D$47,Inputs!$D$48))))*((Inputs!$B$30+(R114-0.5)*2*Inputs!$B$53)/Inputs!$B$30)</f>
        <v>1.0027513585850529</v>
      </c>
      <c r="X114" s="44">
        <f ca="1">(IF(G114&gt;=Inputs!$E$15,1,IF(N114&lt;=Inputs!$C$46,Inputs!$D$46,IF(N114&lt;=Inputs!$C$47,Inputs!$D$47,Inputs!$D$48))))*((Inputs!$B$31+(S114-0.5)*2*Inputs!$B$53)/Inputs!$B$31)</f>
        <v>0.99546681972267881</v>
      </c>
      <c r="Y114" s="44">
        <f ca="1">(IF(H114&gt;=Inputs!$E$16,1,IF(O114&lt;=Inputs!$C$46,Inputs!$D$46,IF(O114&lt;=Inputs!$C$47,Inputs!$D$47,Inputs!$D$48))))*((Inputs!$B$32+(T114-0.5)*2*Inputs!$B$53)/Inputs!$B$32)</f>
        <v>1.0017136139632485</v>
      </c>
      <c r="Z114" s="45">
        <f ca="1">ILP_B_Moderate!$C$9*U114+ILP_B_Moderate!$C$10*V114+ILP_B_Moderate!$C$11*W114+ILP_B_Moderate!$C$12*X114+ILP_B_Moderate!$C$13*Y114</f>
        <v>17951.006888765478</v>
      </c>
      <c r="AA114" s="45">
        <f ca="1">ILP_B_Moderate!$D$9*U114+ILP_B_Moderate!$D$10*V114+ILP_B_Moderate!$D$11*W114+ILP_B_Moderate!$D$12*X114+ILP_B_Moderate!$D$13*Y114</f>
        <v>14975.791985743293</v>
      </c>
      <c r="AB114" s="45">
        <f ca="1">ILP_B_Moderate!$E$9*U114+ILP_B_Moderate!$E$10*V114+ILP_B_Moderate!$E$11*W114+ILP_B_Moderate!$E$12*X114+ILP_B_Moderate!$E$13*Y114</f>
        <v>11998.386348319586</v>
      </c>
      <c r="AC114" s="45">
        <f ca="1">Inputs!$B$6*$C114</f>
        <v>18000</v>
      </c>
      <c r="AD114" s="45">
        <f ca="1">Inputs!$B$7*$C114</f>
        <v>15000</v>
      </c>
      <c r="AE114" s="45">
        <f ca="1">Inputs!$B$8*$C114</f>
        <v>12000</v>
      </c>
      <c r="AF114" s="45">
        <f t="shared" ca="1" si="78"/>
        <v>48.993111234522075</v>
      </c>
      <c r="AG114" s="45">
        <f t="shared" ca="1" si="79"/>
        <v>24.20801425670652</v>
      </c>
      <c r="AH114" s="45">
        <f t="shared" ca="1" si="80"/>
        <v>1.6136516804144776</v>
      </c>
      <c r="AI114" s="45">
        <f t="shared" ca="1" si="81"/>
        <v>74.814777171643073</v>
      </c>
      <c r="AJ114" s="45">
        <f ca="1">U114*(Inputs!$B$12-ILP_B_Moderate!$F$9)+V114*(Inputs!$B$13-ILP_B_Moderate!$F$10)+W114*(Inputs!$B$14-ILP_B_Moderate!$F$11)+X114*(Inputs!$B$15-ILP_B_Moderate!$F$12)+Y114*(Inputs!$B$16-ILP_B_Moderate!$F$13)</f>
        <v>25054.411657383873</v>
      </c>
      <c r="AK114" s="45">
        <f t="shared" ca="1" si="82"/>
        <v>74.814777171643073</v>
      </c>
      <c r="AL114" s="45">
        <f t="shared" ca="1" si="83"/>
        <v>0</v>
      </c>
      <c r="AM114" s="45">
        <f t="shared" ca="1" si="84"/>
        <v>0</v>
      </c>
      <c r="AN114" s="45">
        <f t="shared" ca="1" si="85"/>
        <v>0</v>
      </c>
      <c r="AO114" s="45">
        <f ca="1">MIN(AL114,Inputs!$B$36)</f>
        <v>0</v>
      </c>
      <c r="AP114" s="45">
        <f ca="1">MIN(AN114,Inputs!$B$36-AO114)</f>
        <v>0</v>
      </c>
      <c r="AQ114" s="45">
        <f ca="1">MIN(AM114,Inputs!$B$36-AO114-AP114)</f>
        <v>0</v>
      </c>
      <c r="AR114" s="45">
        <f t="shared" ca="1" si="86"/>
        <v>0</v>
      </c>
      <c r="AS114" s="45">
        <f t="shared" ca="1" si="87"/>
        <v>0</v>
      </c>
      <c r="AT114" s="45">
        <f t="shared" ca="1" si="88"/>
        <v>0</v>
      </c>
      <c r="AU114" s="45">
        <f t="shared" ca="1" si="89"/>
        <v>0</v>
      </c>
      <c r="AV114" s="46">
        <f ca="1">AU114*Inputs!$B$35</f>
        <v>0</v>
      </c>
      <c r="AW114" s="46">
        <f ca="1">AR114*Inputs!$C$6+AT114*Inputs!$C$7+AS114*Inputs!$C$8</f>
        <v>0</v>
      </c>
      <c r="AX114" s="46">
        <f t="shared" ca="1" si="90"/>
        <v>47490984.518302143</v>
      </c>
      <c r="AY114" s="46">
        <f ca="1">IF(J114&gt;1,($CD$4)*Inputs!$B$55*((Z114+AA114+AB114)/(SUM(ILP_B_Moderate!$C$9:$E$13))),0)</f>
        <v>0</v>
      </c>
      <c r="AZ114" s="46">
        <f t="shared" ca="1" si="91"/>
        <v>0</v>
      </c>
      <c r="BA114" s="41">
        <f t="shared" ca="1" si="92"/>
        <v>0</v>
      </c>
      <c r="BB114" s="41">
        <f t="shared" ca="1" si="93"/>
        <v>1</v>
      </c>
      <c r="BC114" s="41">
        <f t="shared" ca="1" si="94"/>
        <v>1</v>
      </c>
      <c r="BD114" s="41">
        <f t="shared" ca="1" si="95"/>
        <v>1</v>
      </c>
    </row>
    <row r="115" spans="1:56" ht="15" customHeight="1" x14ac:dyDescent="0.3">
      <c r="A115" s="41">
        <v>108</v>
      </c>
      <c r="B115" s="42">
        <f t="shared" ca="1" si="77"/>
        <v>0.50292140868290425</v>
      </c>
      <c r="C115" s="43">
        <f ca="1">IF(B115&lt;=Inputs!$C$40,Inputs!$D$40,IF(B115&lt;=Inputs!$C$41,Inputs!$D$41,Inputs!$D$42))</f>
        <v>1</v>
      </c>
      <c r="D115" s="42">
        <f t="shared" ca="1" si="96"/>
        <v>0.85559413678823326</v>
      </c>
      <c r="E115" s="42">
        <f t="shared" ca="1" si="96"/>
        <v>2.5449076136283222E-2</v>
      </c>
      <c r="F115" s="42">
        <f t="shared" ca="1" si="96"/>
        <v>0.87130292233570827</v>
      </c>
      <c r="G115" s="42">
        <f t="shared" ca="1" si="96"/>
        <v>0.64741546496905822</v>
      </c>
      <c r="H115" s="42">
        <f t="shared" ca="1" si="96"/>
        <v>0.45670574154973942</v>
      </c>
      <c r="I115" s="42">
        <f t="shared" ca="1" si="96"/>
        <v>0.38843429263760798</v>
      </c>
      <c r="J115" s="43">
        <f ca="1">IF(I115&lt;Inputs!$B$54,1+Inputs!$B$55,1)</f>
        <v>1</v>
      </c>
      <c r="K115" s="42">
        <f t="shared" ca="1" si="97"/>
        <v>0.63032516618696199</v>
      </c>
      <c r="L115" s="42">
        <f t="shared" ca="1" si="97"/>
        <v>0.7636080445114376</v>
      </c>
      <c r="M115" s="42">
        <f t="shared" ca="1" si="97"/>
        <v>0.7033470563963462</v>
      </c>
      <c r="N115" s="42">
        <f t="shared" ca="1" si="97"/>
        <v>2.661914632077711E-2</v>
      </c>
      <c r="O115" s="42">
        <f t="shared" ca="1" si="97"/>
        <v>0.22970412391467609</v>
      </c>
      <c r="P115" s="42">
        <f t="shared" ca="1" si="97"/>
        <v>0.82413989767418794</v>
      </c>
      <c r="Q115" s="42">
        <f t="shared" ca="1" si="97"/>
        <v>0.70976521087330013</v>
      </c>
      <c r="R115" s="42">
        <f t="shared" ca="1" si="97"/>
        <v>0.86464605141097473</v>
      </c>
      <c r="S115" s="42">
        <f t="shared" ca="1" si="97"/>
        <v>0.41431970058291789</v>
      </c>
      <c r="T115" s="42">
        <f t="shared" ca="1" si="97"/>
        <v>0.52870023964108515</v>
      </c>
      <c r="U115" s="44">
        <f ca="1">(IF(D115&gt;=Inputs!$E$12,1,IF(K115&lt;=Inputs!$C$46,Inputs!$D$46,IF(K115&lt;=Inputs!$C$47,Inputs!$D$47,Inputs!$D$48))))*((Inputs!$B$28+(P115-0.5)*2*Inputs!$B$53)/Inputs!$B$28)</f>
        <v>1.0032807681950828</v>
      </c>
      <c r="V115" s="44">
        <f ca="1">(IF(E115&gt;=Inputs!$E$13,1,IF(L115&lt;=Inputs!$C$46,Inputs!$D$46,IF(L115&lt;=Inputs!$C$47,Inputs!$D$47,Inputs!$D$48))))*((Inputs!$B$29+(Q115-0.5)*2*Inputs!$B$53)/Inputs!$B$29)</f>
        <v>0.30063437059739911</v>
      </c>
      <c r="W115" s="44">
        <f ca="1">(IF(F115&gt;=Inputs!$E$14,1,IF(M115&lt;=Inputs!$C$46,Inputs!$D$46,IF(M115&lt;=Inputs!$C$47,Inputs!$D$47,Inputs!$D$48))))*((Inputs!$B$30+(R115-0.5)*2*Inputs!$B$53)/Inputs!$B$30)</f>
        <v>1.0036647844362911</v>
      </c>
      <c r="X115" s="44">
        <f ca="1">(IF(G115&gt;=Inputs!$E$15,1,IF(N115&lt;=Inputs!$C$46,Inputs!$D$46,IF(N115&lt;=Inputs!$C$47,Inputs!$D$47,Inputs!$D$48))))*((Inputs!$B$31+(S115-0.5)*2*Inputs!$B$53)/Inputs!$B$31)</f>
        <v>0.99913014924449661</v>
      </c>
      <c r="Y115" s="44">
        <f ca="1">(IF(H115&gt;=Inputs!$E$16,1,IF(O115&lt;=Inputs!$C$46,Inputs!$D$46,IF(O115&lt;=Inputs!$C$47,Inputs!$D$47,Inputs!$D$48))))*((Inputs!$B$32+(T115-0.5)*2*Inputs!$B$53)/Inputs!$B$32)</f>
        <v>1.0002887348052423</v>
      </c>
      <c r="Z115" s="45">
        <f ca="1">ILP_B_Moderate!$C$9*U115+ILP_B_Moderate!$C$10*V115+ILP_B_Moderate!$C$11*W115+ILP_B_Moderate!$C$12*X115+ILP_B_Moderate!$C$13*Y115</f>
        <v>15301.051405457983</v>
      </c>
      <c r="AA115" s="45">
        <f ca="1">ILP_B_Moderate!$D$9*U115+ILP_B_Moderate!$D$10*V115+ILP_B_Moderate!$D$11*W115+ILP_B_Moderate!$D$12*X115+ILP_B_Moderate!$D$13*Y115</f>
        <v>9767.6587955029609</v>
      </c>
      <c r="AB115" s="45">
        <f ca="1">ILP_B_Moderate!$E$9*U115+ILP_B_Moderate!$E$10*V115+ILP_B_Moderate!$E$11*W115+ILP_B_Moderate!$E$12*X115+ILP_B_Moderate!$E$13*Y115</f>
        <v>10261.086637655018</v>
      </c>
      <c r="AC115" s="45">
        <f ca="1">Inputs!$B$6*$C115</f>
        <v>18000</v>
      </c>
      <c r="AD115" s="45">
        <f ca="1">Inputs!$B$7*$C115</f>
        <v>15000</v>
      </c>
      <c r="AE115" s="45">
        <f ca="1">Inputs!$B$8*$C115</f>
        <v>12000</v>
      </c>
      <c r="AF115" s="45">
        <f t="shared" ca="1" si="78"/>
        <v>2698.9485945420165</v>
      </c>
      <c r="AG115" s="45">
        <f t="shared" ca="1" si="79"/>
        <v>5232.3412044970391</v>
      </c>
      <c r="AH115" s="45">
        <f t="shared" ca="1" si="80"/>
        <v>1738.9133623449816</v>
      </c>
      <c r="AI115" s="45">
        <f t="shared" ca="1" si="81"/>
        <v>9670.2031613840372</v>
      </c>
      <c r="AJ115" s="45">
        <f ca="1">U115*(Inputs!$B$12-ILP_B_Moderate!$F$9)+V115*(Inputs!$B$13-ILP_B_Moderate!$F$10)+W115*(Inputs!$B$14-ILP_B_Moderate!$F$11)+X115*(Inputs!$B$15-ILP_B_Moderate!$F$12)+Y115*(Inputs!$B$16-ILP_B_Moderate!$F$13)</f>
        <v>24973.111651553329</v>
      </c>
      <c r="AK115" s="45">
        <f t="shared" ca="1" si="82"/>
        <v>9670.2031613840372</v>
      </c>
      <c r="AL115" s="45">
        <f t="shared" ca="1" si="83"/>
        <v>0</v>
      </c>
      <c r="AM115" s="45">
        <f t="shared" ca="1" si="84"/>
        <v>0</v>
      </c>
      <c r="AN115" s="45">
        <f t="shared" ca="1" si="85"/>
        <v>0</v>
      </c>
      <c r="AO115" s="45">
        <f ca="1">MIN(AL115,Inputs!$B$36)</f>
        <v>0</v>
      </c>
      <c r="AP115" s="45">
        <f ca="1">MIN(AN115,Inputs!$B$36-AO115)</f>
        <v>0</v>
      </c>
      <c r="AQ115" s="45">
        <f ca="1">MIN(AM115,Inputs!$B$36-AO115-AP115)</f>
        <v>0</v>
      </c>
      <c r="AR115" s="45">
        <f t="shared" ca="1" si="86"/>
        <v>0</v>
      </c>
      <c r="AS115" s="45">
        <f t="shared" ca="1" si="87"/>
        <v>0</v>
      </c>
      <c r="AT115" s="45">
        <f t="shared" ca="1" si="88"/>
        <v>0</v>
      </c>
      <c r="AU115" s="45">
        <f t="shared" ca="1" si="89"/>
        <v>0</v>
      </c>
      <c r="AV115" s="46">
        <f ca="1">AU115*Inputs!$B$35</f>
        <v>0</v>
      </c>
      <c r="AW115" s="46">
        <f ca="1">AR115*Inputs!$C$6+AT115*Inputs!$C$7+AS115*Inputs!$C$8</f>
        <v>0</v>
      </c>
      <c r="AX115" s="46">
        <f t="shared" ca="1" si="90"/>
        <v>37364267.216963954</v>
      </c>
      <c r="AY115" s="46">
        <f ca="1">IF(J115&gt;1,($CD$4)*Inputs!$B$55*((Z115+AA115+AB115)/(SUM(ILP_B_Moderate!$C$9:$E$13))),0)</f>
        <v>0</v>
      </c>
      <c r="AZ115" s="46">
        <f t="shared" ca="1" si="91"/>
        <v>0</v>
      </c>
      <c r="BA115" s="41">
        <f t="shared" ca="1" si="92"/>
        <v>0</v>
      </c>
      <c r="BB115" s="41">
        <f t="shared" ca="1" si="93"/>
        <v>1</v>
      </c>
      <c r="BC115" s="41">
        <f t="shared" ca="1" si="94"/>
        <v>1</v>
      </c>
      <c r="BD115" s="41">
        <f t="shared" ca="1" si="95"/>
        <v>1</v>
      </c>
    </row>
    <row r="116" spans="1:56" ht="15" customHeight="1" x14ac:dyDescent="0.3">
      <c r="A116" s="41">
        <v>109</v>
      </c>
      <c r="B116" s="42">
        <f t="shared" ca="1" si="77"/>
        <v>0.8847743891244676</v>
      </c>
      <c r="C116" s="43">
        <f ca="1">IF(B116&lt;=Inputs!$C$40,Inputs!$D$40,IF(B116&lt;=Inputs!$C$41,Inputs!$D$41,Inputs!$D$42))</f>
        <v>1.1499999999999999</v>
      </c>
      <c r="D116" s="42">
        <f t="shared" ca="1" si="96"/>
        <v>0.56427329254996839</v>
      </c>
      <c r="E116" s="42">
        <f t="shared" ca="1" si="96"/>
        <v>0.2332756749898649</v>
      </c>
      <c r="F116" s="42">
        <f t="shared" ca="1" si="96"/>
        <v>0.55589323302796056</v>
      </c>
      <c r="G116" s="42">
        <f t="shared" ca="1" si="96"/>
        <v>4.0982028073819454E-2</v>
      </c>
      <c r="H116" s="42">
        <f t="shared" ca="1" si="96"/>
        <v>0.58436130923541574</v>
      </c>
      <c r="I116" s="42">
        <f t="shared" ca="1" si="96"/>
        <v>0.18590870023338479</v>
      </c>
      <c r="J116" s="43">
        <f ca="1">IF(I116&lt;Inputs!$B$54,1+Inputs!$B$55,1)</f>
        <v>1</v>
      </c>
      <c r="K116" s="42">
        <f t="shared" ca="1" si="97"/>
        <v>0.23975787526869463</v>
      </c>
      <c r="L116" s="42">
        <f t="shared" ca="1" si="97"/>
        <v>0.95133512828422762</v>
      </c>
      <c r="M116" s="42">
        <f t="shared" ca="1" si="97"/>
        <v>0.50191759414484416</v>
      </c>
      <c r="N116" s="42">
        <f t="shared" ca="1" si="97"/>
        <v>9.9391419912676637E-3</v>
      </c>
      <c r="O116" s="42">
        <f t="shared" ca="1" si="97"/>
        <v>7.9698819369944274E-2</v>
      </c>
      <c r="P116" s="42">
        <f t="shared" ca="1" si="97"/>
        <v>0.80175408960722439</v>
      </c>
      <c r="Q116" s="42">
        <f t="shared" ca="1" si="97"/>
        <v>8.1935467460889422E-2</v>
      </c>
      <c r="R116" s="42">
        <f t="shared" ca="1" si="97"/>
        <v>0.19203899916015865</v>
      </c>
      <c r="S116" s="42">
        <f t="shared" ca="1" si="97"/>
        <v>0.87164144073507954</v>
      </c>
      <c r="T116" s="42">
        <f t="shared" ca="1" si="97"/>
        <v>0.63896674427435163</v>
      </c>
      <c r="U116" s="44">
        <f ca="1">(IF(D116&gt;=Inputs!$E$12,1,IF(K116&lt;=Inputs!$C$46,Inputs!$D$46,IF(K116&lt;=Inputs!$C$47,Inputs!$D$47,Inputs!$D$48))))*((Inputs!$B$28+(P116-0.5)*2*Inputs!$B$53)/Inputs!$B$28)</f>
        <v>1.0030541911903565</v>
      </c>
      <c r="V116" s="44">
        <f ca="1">(IF(E116&gt;=Inputs!$E$13,1,IF(L116&lt;=Inputs!$C$46,Inputs!$D$46,IF(L116&lt;=Inputs!$C$47,Inputs!$D$47,Inputs!$D$48))))*((Inputs!$B$29+(Q116-0.5)*2*Inputs!$B$53)/Inputs!$B$29)</f>
        <v>0.99578563979295254</v>
      </c>
      <c r="W116" s="44">
        <f ca="1">(IF(F116&gt;=Inputs!$E$14,1,IF(M116&lt;=Inputs!$C$46,Inputs!$D$46,IF(M116&lt;=Inputs!$C$47,Inputs!$D$47,Inputs!$D$48))))*((Inputs!$B$30+(R116-0.5)*2*Inputs!$B$53)/Inputs!$B$30)</f>
        <v>0.99690491456442376</v>
      </c>
      <c r="X116" s="44">
        <f ca="1">(IF(G116&gt;=Inputs!$E$15,1,IF(N116&lt;=Inputs!$C$46,Inputs!$D$46,IF(N116&lt;=Inputs!$C$47,Inputs!$D$47,Inputs!$D$48))))*((Inputs!$B$31+(S116-0.5)*2*Inputs!$B$53)/Inputs!$B$31)</f>
        <v>0.60226380573036586</v>
      </c>
      <c r="Y116" s="44">
        <f ca="1">(IF(H116&gt;=Inputs!$E$16,1,IF(O116&lt;=Inputs!$C$46,Inputs!$D$46,IF(O116&lt;=Inputs!$C$47,Inputs!$D$47,Inputs!$D$48))))*((Inputs!$B$32+(T116-0.5)*2*Inputs!$B$53)/Inputs!$B$32)</f>
        <v>1.001398055777408</v>
      </c>
      <c r="Z116" s="45">
        <f ca="1">ILP_B_Moderate!$C$9*U116+ILP_B_Moderate!$C$10*V116+ILP_B_Moderate!$C$11*W116+ILP_B_Moderate!$C$12*X116+ILP_B_Moderate!$C$13*Y116</f>
        <v>14419.718141275753</v>
      </c>
      <c r="AA116" s="45">
        <f ca="1">ILP_B_Moderate!$D$9*U116+ILP_B_Moderate!$D$10*V116+ILP_B_Moderate!$D$11*W116+ILP_B_Moderate!$D$12*X116+ILP_B_Moderate!$D$13*Y116</f>
        <v>13861.069845377644</v>
      </c>
      <c r="AB116" s="45">
        <f ca="1">ILP_B_Moderate!$E$9*U116+ILP_B_Moderate!$E$10*V116+ILP_B_Moderate!$E$11*W116+ILP_B_Moderate!$E$12*X116+ILP_B_Moderate!$E$13*Y116</f>
        <v>12012.592643189697</v>
      </c>
      <c r="AC116" s="45">
        <f ca="1">Inputs!$B$6*$C116</f>
        <v>20700</v>
      </c>
      <c r="AD116" s="45">
        <f ca="1">Inputs!$B$7*$C116</f>
        <v>17250</v>
      </c>
      <c r="AE116" s="45">
        <f ca="1">Inputs!$B$8*$C116</f>
        <v>13799.999999999998</v>
      </c>
      <c r="AF116" s="45">
        <f t="shared" ca="1" si="78"/>
        <v>6280.2818587242473</v>
      </c>
      <c r="AG116" s="45">
        <f t="shared" ca="1" si="79"/>
        <v>3388.930154622356</v>
      </c>
      <c r="AH116" s="45">
        <f t="shared" ca="1" si="80"/>
        <v>1787.4073568103013</v>
      </c>
      <c r="AI116" s="45">
        <f t="shared" ca="1" si="81"/>
        <v>11456.619370156905</v>
      </c>
      <c r="AJ116" s="45">
        <f ca="1">U116*(Inputs!$B$12-ILP_B_Moderate!$F$9)+V116*(Inputs!$B$13-ILP_B_Moderate!$F$10)+W116*(Inputs!$B$14-ILP_B_Moderate!$F$11)+X116*(Inputs!$B$15-ILP_B_Moderate!$F$12)+Y116*(Inputs!$B$16-ILP_B_Moderate!$F$13)</f>
        <v>24904.385781066965</v>
      </c>
      <c r="AK116" s="45">
        <f t="shared" ca="1" si="82"/>
        <v>11456.619370156905</v>
      </c>
      <c r="AL116" s="45">
        <f t="shared" ca="1" si="83"/>
        <v>0</v>
      </c>
      <c r="AM116" s="45">
        <f t="shared" ca="1" si="84"/>
        <v>0</v>
      </c>
      <c r="AN116" s="45">
        <f t="shared" ca="1" si="85"/>
        <v>0</v>
      </c>
      <c r="AO116" s="45">
        <f ca="1">MIN(AL116,Inputs!$B$36)</f>
        <v>0</v>
      </c>
      <c r="AP116" s="45">
        <f ca="1">MIN(AN116,Inputs!$B$36-AO116)</f>
        <v>0</v>
      </c>
      <c r="AQ116" s="45">
        <f ca="1">MIN(AM116,Inputs!$B$36-AO116-AP116)</f>
        <v>0</v>
      </c>
      <c r="AR116" s="45">
        <f t="shared" ca="1" si="86"/>
        <v>0</v>
      </c>
      <c r="AS116" s="45">
        <f t="shared" ca="1" si="87"/>
        <v>0</v>
      </c>
      <c r="AT116" s="45">
        <f t="shared" ca="1" si="88"/>
        <v>0</v>
      </c>
      <c r="AU116" s="45">
        <f t="shared" ca="1" si="89"/>
        <v>0</v>
      </c>
      <c r="AV116" s="46">
        <f ca="1">AU116*Inputs!$B$35</f>
        <v>0</v>
      </c>
      <c r="AW116" s="46">
        <f ca="1">AR116*Inputs!$C$6+AT116*Inputs!$C$7+AS116*Inputs!$C$8</f>
        <v>0</v>
      </c>
      <c r="AX116" s="46">
        <f t="shared" ca="1" si="90"/>
        <v>42691272.512214974</v>
      </c>
      <c r="AY116" s="46">
        <f ca="1">IF(J116&gt;1,($CD$4)*Inputs!$B$55*((Z116+AA116+AB116)/(SUM(ILP_B_Moderate!$C$9:$E$13))),0)</f>
        <v>0</v>
      </c>
      <c r="AZ116" s="46">
        <f t="shared" ca="1" si="91"/>
        <v>0</v>
      </c>
      <c r="BA116" s="41">
        <f t="shared" ca="1" si="92"/>
        <v>0</v>
      </c>
      <c r="BB116" s="41">
        <f t="shared" ca="1" si="93"/>
        <v>1</v>
      </c>
      <c r="BC116" s="41">
        <f t="shared" ca="1" si="94"/>
        <v>1</v>
      </c>
      <c r="BD116" s="41">
        <f t="shared" ca="1" si="95"/>
        <v>1</v>
      </c>
    </row>
    <row r="117" spans="1:56" ht="15" customHeight="1" x14ac:dyDescent="0.3">
      <c r="A117" s="41">
        <v>110</v>
      </c>
      <c r="B117" s="42">
        <f t="shared" ca="1" si="77"/>
        <v>0.64211387963473077</v>
      </c>
      <c r="C117" s="43">
        <f ca="1">IF(B117&lt;=Inputs!$C$40,Inputs!$D$40,IF(B117&lt;=Inputs!$C$41,Inputs!$D$41,Inputs!$D$42))</f>
        <v>1</v>
      </c>
      <c r="D117" s="42">
        <f t="shared" ca="1" si="96"/>
        <v>0.36477543194984807</v>
      </c>
      <c r="E117" s="42">
        <f t="shared" ca="1" si="96"/>
        <v>0.27099346948532066</v>
      </c>
      <c r="F117" s="42">
        <f t="shared" ca="1" si="96"/>
        <v>0.57648300099120098</v>
      </c>
      <c r="G117" s="42">
        <f t="shared" ca="1" si="96"/>
        <v>5.4880457561241824E-2</v>
      </c>
      <c r="H117" s="42">
        <f t="shared" ca="1" si="96"/>
        <v>1.2405736612328355E-2</v>
      </c>
      <c r="I117" s="42">
        <f t="shared" ca="1" si="96"/>
        <v>0.7410544497356566</v>
      </c>
      <c r="J117" s="43">
        <f ca="1">IF(I117&lt;Inputs!$B$54,1+Inputs!$B$55,1)</f>
        <v>1</v>
      </c>
      <c r="K117" s="42">
        <f t="shared" ca="1" si="97"/>
        <v>0.61778782567727131</v>
      </c>
      <c r="L117" s="42">
        <f t="shared" ca="1" si="97"/>
        <v>0.66427111017326079</v>
      </c>
      <c r="M117" s="42">
        <f t="shared" ca="1" si="97"/>
        <v>0.93889156513761662</v>
      </c>
      <c r="N117" s="42">
        <f t="shared" ca="1" si="97"/>
        <v>0.27984776041293791</v>
      </c>
      <c r="O117" s="42">
        <f t="shared" ca="1" si="97"/>
        <v>0.75312388050574242</v>
      </c>
      <c r="P117" s="42">
        <f t="shared" ca="1" si="97"/>
        <v>0.9449496739783354</v>
      </c>
      <c r="Q117" s="42">
        <f t="shared" ca="1" si="97"/>
        <v>0.87117511779380086</v>
      </c>
      <c r="R117" s="42">
        <f t="shared" ca="1" si="97"/>
        <v>0.15142577484046904</v>
      </c>
      <c r="S117" s="42">
        <f t="shared" ca="1" si="97"/>
        <v>0.41586496781661308</v>
      </c>
      <c r="T117" s="42">
        <f t="shared" ca="1" si="97"/>
        <v>0.82008865774156681</v>
      </c>
      <c r="U117" s="44">
        <f ca="1">(IF(D117&gt;=Inputs!$E$12,1,IF(K117&lt;=Inputs!$C$46,Inputs!$D$46,IF(K117&lt;=Inputs!$C$47,Inputs!$D$47,Inputs!$D$48))))*((Inputs!$B$28+(P117-0.5)*2*Inputs!$B$53)/Inputs!$B$28)</f>
        <v>1.004503539210307</v>
      </c>
      <c r="V117" s="44">
        <f ca="1">(IF(E117&gt;=Inputs!$E$13,1,IF(L117&lt;=Inputs!$C$46,Inputs!$D$46,IF(L117&lt;=Inputs!$C$47,Inputs!$D$47,Inputs!$D$48))))*((Inputs!$B$29+(Q117-0.5)*2*Inputs!$B$53)/Inputs!$B$29)</f>
        <v>1.0037416846551794</v>
      </c>
      <c r="W117" s="44">
        <f ca="1">(IF(F117&gt;=Inputs!$E$14,1,IF(M117&lt;=Inputs!$C$46,Inputs!$D$46,IF(M117&lt;=Inputs!$C$47,Inputs!$D$47,Inputs!$D$48))))*((Inputs!$B$30+(R117-0.5)*2*Inputs!$B$53)/Inputs!$B$30)</f>
        <v>0.99649674145568312</v>
      </c>
      <c r="X117" s="44">
        <f ca="1">(IF(G117&gt;=Inputs!$E$15,1,IF(N117&lt;=Inputs!$C$46,Inputs!$D$46,IF(N117&lt;=Inputs!$C$47,Inputs!$D$47,Inputs!$D$48))))*((Inputs!$B$31+(S117-0.5)*2*Inputs!$B$53)/Inputs!$B$31)</f>
        <v>0.59948750234203008</v>
      </c>
      <c r="Y117" s="44">
        <f ca="1">(IF(H117&gt;=Inputs!$E$16,1,IF(O117&lt;=Inputs!$C$46,Inputs!$D$46,IF(O117&lt;=Inputs!$C$47,Inputs!$D$47,Inputs!$D$48))))*((Inputs!$B$32+(T117-0.5)*2*Inputs!$B$53)/Inputs!$B$32)</f>
        <v>0.30096606234730855</v>
      </c>
      <c r="Z117" s="45">
        <f ca="1">ILP_B_Moderate!$C$9*U117+ILP_B_Moderate!$C$10*V117+ILP_B_Moderate!$C$11*W117+ILP_B_Moderate!$C$12*X117+ILP_B_Moderate!$C$13*Y117</f>
        <v>14432.96947313358</v>
      </c>
      <c r="AA117" s="45">
        <f ca="1">ILP_B_Moderate!$D$9*U117+ILP_B_Moderate!$D$10*V117+ILP_B_Moderate!$D$11*W117+ILP_B_Moderate!$D$12*X117+ILP_B_Moderate!$D$13*Y117</f>
        <v>13919.693955022607</v>
      </c>
      <c r="AB117" s="45">
        <f ca="1">ILP_B_Moderate!$E$9*U117+ILP_B_Moderate!$E$10*V117+ILP_B_Moderate!$E$11*W117+ILP_B_Moderate!$E$12*X117+ILP_B_Moderate!$E$13*Y117</f>
        <v>9601.0010750722977</v>
      </c>
      <c r="AC117" s="45">
        <f ca="1">Inputs!$B$6*$C117</f>
        <v>18000</v>
      </c>
      <c r="AD117" s="45">
        <f ca="1">Inputs!$B$7*$C117</f>
        <v>15000</v>
      </c>
      <c r="AE117" s="45">
        <f ca="1">Inputs!$B$8*$C117</f>
        <v>12000</v>
      </c>
      <c r="AF117" s="45">
        <f t="shared" ca="1" si="78"/>
        <v>3567.0305268664197</v>
      </c>
      <c r="AG117" s="45">
        <f t="shared" ca="1" si="79"/>
        <v>1080.306044977393</v>
      </c>
      <c r="AH117" s="45">
        <f t="shared" ca="1" si="80"/>
        <v>2398.9989249277023</v>
      </c>
      <c r="AI117" s="45">
        <f t="shared" ca="1" si="81"/>
        <v>7046.335496771515</v>
      </c>
      <c r="AJ117" s="45">
        <f ca="1">U117*(Inputs!$B$12-ILP_B_Moderate!$F$9)+V117*(Inputs!$B$13-ILP_B_Moderate!$F$10)+W117*(Inputs!$B$14-ILP_B_Moderate!$F$11)+X117*(Inputs!$B$15-ILP_B_Moderate!$F$12)+Y117*(Inputs!$B$16-ILP_B_Moderate!$F$13)</f>
        <v>16833.57431154681</v>
      </c>
      <c r="AK117" s="45">
        <f t="shared" ca="1" si="82"/>
        <v>7046.335496771515</v>
      </c>
      <c r="AL117" s="45">
        <f t="shared" ca="1" si="83"/>
        <v>0</v>
      </c>
      <c r="AM117" s="45">
        <f t="shared" ca="1" si="84"/>
        <v>0</v>
      </c>
      <c r="AN117" s="45">
        <f t="shared" ca="1" si="85"/>
        <v>0</v>
      </c>
      <c r="AO117" s="45">
        <f ca="1">MIN(AL117,Inputs!$B$36)</f>
        <v>0</v>
      </c>
      <c r="AP117" s="45">
        <f ca="1">MIN(AN117,Inputs!$B$36-AO117)</f>
        <v>0</v>
      </c>
      <c r="AQ117" s="45">
        <f ca="1">MIN(AM117,Inputs!$B$36-AO117-AP117)</f>
        <v>0</v>
      </c>
      <c r="AR117" s="45">
        <f t="shared" ca="1" si="86"/>
        <v>0</v>
      </c>
      <c r="AS117" s="45">
        <f t="shared" ca="1" si="87"/>
        <v>0</v>
      </c>
      <c r="AT117" s="45">
        <f t="shared" ca="1" si="88"/>
        <v>0</v>
      </c>
      <c r="AU117" s="45">
        <f t="shared" ca="1" si="89"/>
        <v>0</v>
      </c>
      <c r="AV117" s="46">
        <f ca="1">AU117*Inputs!$B$35</f>
        <v>0</v>
      </c>
      <c r="AW117" s="46">
        <f ca="1">AR117*Inputs!$C$6+AT117*Inputs!$C$7+AS117*Inputs!$C$8</f>
        <v>0</v>
      </c>
      <c r="AX117" s="46">
        <f t="shared" ca="1" si="90"/>
        <v>40109738.96272932</v>
      </c>
      <c r="AY117" s="46">
        <f ca="1">IF(J117&gt;1,($CD$4)*Inputs!$B$55*((Z117+AA117+AB117)/(SUM(ILP_B_Moderate!$C$9:$E$13))),0)</f>
        <v>0</v>
      </c>
      <c r="AZ117" s="46">
        <f t="shared" ca="1" si="91"/>
        <v>0</v>
      </c>
      <c r="BA117" s="41">
        <f t="shared" ca="1" si="92"/>
        <v>0</v>
      </c>
      <c r="BB117" s="41">
        <f t="shared" ca="1" si="93"/>
        <v>1</v>
      </c>
      <c r="BC117" s="41">
        <f t="shared" ca="1" si="94"/>
        <v>1</v>
      </c>
      <c r="BD117" s="41">
        <f t="shared" ca="1" si="95"/>
        <v>1</v>
      </c>
    </row>
    <row r="118" spans="1:56" ht="15" customHeight="1" x14ac:dyDescent="0.3">
      <c r="A118" s="41">
        <v>111</v>
      </c>
      <c r="B118" s="42">
        <f t="shared" ca="1" si="77"/>
        <v>0.44508301566939112</v>
      </c>
      <c r="C118" s="43">
        <f ca="1">IF(B118&lt;=Inputs!$C$40,Inputs!$D$40,IF(B118&lt;=Inputs!$C$41,Inputs!$D$41,Inputs!$D$42))</f>
        <v>1</v>
      </c>
      <c r="D118" s="42">
        <f t="shared" ref="D118:I127" ca="1" si="98">RAND()</f>
        <v>0.21137716735845924</v>
      </c>
      <c r="E118" s="42">
        <f t="shared" ca="1" si="98"/>
        <v>0.36031329858394767</v>
      </c>
      <c r="F118" s="42">
        <f t="shared" ca="1" si="98"/>
        <v>0.12089305360314151</v>
      </c>
      <c r="G118" s="42">
        <f t="shared" ca="1" si="98"/>
        <v>0.10594587274577194</v>
      </c>
      <c r="H118" s="42">
        <f t="shared" ca="1" si="98"/>
        <v>0.86119254335244166</v>
      </c>
      <c r="I118" s="42">
        <f t="shared" ca="1" si="98"/>
        <v>0.73607710002842686</v>
      </c>
      <c r="J118" s="43">
        <f ca="1">IF(I118&lt;Inputs!$B$54,1+Inputs!$B$55,1)</f>
        <v>1</v>
      </c>
      <c r="K118" s="42">
        <f t="shared" ref="K118:T127" ca="1" si="99">RAND()</f>
        <v>0.45174896683725063</v>
      </c>
      <c r="L118" s="42">
        <f t="shared" ca="1" si="99"/>
        <v>0.44569709453521655</v>
      </c>
      <c r="M118" s="42">
        <f t="shared" ca="1" si="99"/>
        <v>0.46048622818162588</v>
      </c>
      <c r="N118" s="42">
        <f t="shared" ca="1" si="99"/>
        <v>0.30165825584538908</v>
      </c>
      <c r="O118" s="42">
        <f t="shared" ca="1" si="99"/>
        <v>0.24436761975511967</v>
      </c>
      <c r="P118" s="42">
        <f t="shared" ca="1" si="99"/>
        <v>0.12465122492782998</v>
      </c>
      <c r="Q118" s="42">
        <f t="shared" ca="1" si="99"/>
        <v>0.95260492136011399</v>
      </c>
      <c r="R118" s="42">
        <f t="shared" ca="1" si="99"/>
        <v>3.4663718168823077E-2</v>
      </c>
      <c r="S118" s="42">
        <f t="shared" ca="1" si="99"/>
        <v>0.94065583357029847</v>
      </c>
      <c r="T118" s="42">
        <f t="shared" ca="1" si="99"/>
        <v>4.1273442904107727E-2</v>
      </c>
      <c r="U118" s="44">
        <f ca="1">(IF(D118&gt;=Inputs!$E$12,1,IF(K118&lt;=Inputs!$C$46,Inputs!$D$46,IF(K118&lt;=Inputs!$C$47,Inputs!$D$47,Inputs!$D$48))))*((Inputs!$B$28+(P118-0.5)*2*Inputs!$B$53)/Inputs!$B$28)</f>
        <v>0.99620092332922905</v>
      </c>
      <c r="V118" s="44">
        <f ca="1">(IF(E118&gt;=Inputs!$E$13,1,IF(L118&lt;=Inputs!$C$46,Inputs!$D$46,IF(L118&lt;=Inputs!$C$47,Inputs!$D$47,Inputs!$D$48))))*((Inputs!$B$29+(Q118-0.5)*2*Inputs!$B$53)/Inputs!$B$29)</f>
        <v>1.0045625496104851</v>
      </c>
      <c r="W118" s="44">
        <f ca="1">(IF(F118&gt;=Inputs!$E$14,1,IF(M118&lt;=Inputs!$C$46,Inputs!$D$46,IF(M118&lt;=Inputs!$C$47,Inputs!$D$47,Inputs!$D$48))))*((Inputs!$B$30+(R118-0.5)*2*Inputs!$B$53)/Inputs!$B$30)</f>
        <v>0.99532325344893291</v>
      </c>
      <c r="X118" s="44">
        <f ca="1">(IF(G118&gt;=Inputs!$E$15,1,IF(N118&lt;=Inputs!$C$46,Inputs!$D$46,IF(N118&lt;=Inputs!$C$47,Inputs!$D$47,Inputs!$D$48))))*((Inputs!$B$31+(S118-0.5)*2*Inputs!$B$53)/Inputs!$B$31)</f>
        <v>0.6026841979709866</v>
      </c>
      <c r="Y118" s="44">
        <f ca="1">(IF(H118&gt;=Inputs!$E$16,1,IF(O118&lt;=Inputs!$C$46,Inputs!$D$46,IF(O118&lt;=Inputs!$C$47,Inputs!$D$47,Inputs!$D$48))))*((Inputs!$B$32+(T118-0.5)*2*Inputs!$B$53)/Inputs!$B$32)</f>
        <v>0.99538504469722444</v>
      </c>
      <c r="Z118" s="45">
        <f ca="1">ILP_B_Moderate!$C$9*U118+ILP_B_Moderate!$C$10*V118+ILP_B_Moderate!$C$11*W118+ILP_B_Moderate!$C$12*X118+ILP_B_Moderate!$C$13*Y118</f>
        <v>14422.342308662963</v>
      </c>
      <c r="AA118" s="45">
        <f ca="1">ILP_B_Moderate!$D$9*U118+ILP_B_Moderate!$D$10*V118+ILP_B_Moderate!$D$11*W118+ILP_B_Moderate!$D$12*X118+ILP_B_Moderate!$D$13*Y118</f>
        <v>13896.008881537613</v>
      </c>
      <c r="AB118" s="45">
        <f ca="1">ILP_B_Moderate!$E$9*U118+ILP_B_Moderate!$E$10*V118+ILP_B_Moderate!$E$11*W118+ILP_B_Moderate!$E$12*X118+ILP_B_Moderate!$E$13*Y118</f>
        <v>11972.606410520484</v>
      </c>
      <c r="AC118" s="45">
        <f ca="1">Inputs!$B$6*$C118</f>
        <v>18000</v>
      </c>
      <c r="AD118" s="45">
        <f ca="1">Inputs!$B$7*$C118</f>
        <v>15000</v>
      </c>
      <c r="AE118" s="45">
        <f ca="1">Inputs!$B$8*$C118</f>
        <v>12000</v>
      </c>
      <c r="AF118" s="45">
        <f t="shared" ca="1" si="78"/>
        <v>3577.6576913370372</v>
      </c>
      <c r="AG118" s="45">
        <f t="shared" ca="1" si="79"/>
        <v>1103.991118462387</v>
      </c>
      <c r="AH118" s="45">
        <f t="shared" ca="1" si="80"/>
        <v>27.393589479515867</v>
      </c>
      <c r="AI118" s="45">
        <f t="shared" ca="1" si="81"/>
        <v>4709.0423992789401</v>
      </c>
      <c r="AJ118" s="45">
        <f ca="1">U118*(Inputs!$B$12-ILP_B_Moderate!$F$9)+V118*(Inputs!$B$13-ILP_B_Moderate!$F$10)+W118*(Inputs!$B$14-ILP_B_Moderate!$F$11)+X118*(Inputs!$B$15-ILP_B_Moderate!$F$12)+Y118*(Inputs!$B$16-ILP_B_Moderate!$F$13)</f>
        <v>24814.321208039728</v>
      </c>
      <c r="AK118" s="45">
        <f t="shared" ca="1" si="82"/>
        <v>4709.0423992789401</v>
      </c>
      <c r="AL118" s="45">
        <f t="shared" ca="1" si="83"/>
        <v>0</v>
      </c>
      <c r="AM118" s="45">
        <f t="shared" ca="1" si="84"/>
        <v>0</v>
      </c>
      <c r="AN118" s="45">
        <f t="shared" ca="1" si="85"/>
        <v>0</v>
      </c>
      <c r="AO118" s="45">
        <f ca="1">MIN(AL118,Inputs!$B$36)</f>
        <v>0</v>
      </c>
      <c r="AP118" s="45">
        <f ca="1">MIN(AN118,Inputs!$B$36-AO118)</f>
        <v>0</v>
      </c>
      <c r="AQ118" s="45">
        <f ca="1">MIN(AM118,Inputs!$B$36-AO118-AP118)</f>
        <v>0</v>
      </c>
      <c r="AR118" s="45">
        <f t="shared" ca="1" si="86"/>
        <v>0</v>
      </c>
      <c r="AS118" s="45">
        <f t="shared" ca="1" si="87"/>
        <v>0</v>
      </c>
      <c r="AT118" s="45">
        <f t="shared" ca="1" si="88"/>
        <v>0</v>
      </c>
      <c r="AU118" s="45">
        <f t="shared" ca="1" si="89"/>
        <v>0</v>
      </c>
      <c r="AV118" s="46">
        <f ca="1">AU118*Inputs!$B$35</f>
        <v>0</v>
      </c>
      <c r="AW118" s="46">
        <f ca="1">AR118*Inputs!$C$6+AT118*Inputs!$C$7+AS118*Inputs!$C$8</f>
        <v>0</v>
      </c>
      <c r="AX118" s="46">
        <f t="shared" ca="1" si="90"/>
        <v>42686683.710001364</v>
      </c>
      <c r="AY118" s="46">
        <f ca="1">IF(J118&gt;1,($CD$4)*Inputs!$B$55*((Z118+AA118+AB118)/(SUM(ILP_B_Moderate!$C$9:$E$13))),0)</f>
        <v>0</v>
      </c>
      <c r="AZ118" s="46">
        <f t="shared" ca="1" si="91"/>
        <v>0</v>
      </c>
      <c r="BA118" s="41">
        <f t="shared" ca="1" si="92"/>
        <v>0</v>
      </c>
      <c r="BB118" s="41">
        <f t="shared" ca="1" si="93"/>
        <v>1</v>
      </c>
      <c r="BC118" s="41">
        <f t="shared" ca="1" si="94"/>
        <v>1</v>
      </c>
      <c r="BD118" s="41">
        <f t="shared" ca="1" si="95"/>
        <v>1</v>
      </c>
    </row>
    <row r="119" spans="1:56" ht="15" customHeight="1" x14ac:dyDescent="0.3">
      <c r="A119" s="41">
        <v>112</v>
      </c>
      <c r="B119" s="42">
        <f t="shared" ca="1" si="77"/>
        <v>0.56192801245967405</v>
      </c>
      <c r="C119" s="43">
        <f ca="1">IF(B119&lt;=Inputs!$C$40,Inputs!$D$40,IF(B119&lt;=Inputs!$C$41,Inputs!$D$41,Inputs!$D$42))</f>
        <v>1</v>
      </c>
      <c r="D119" s="42">
        <f t="shared" ca="1" si="98"/>
        <v>0.19397021890589616</v>
      </c>
      <c r="E119" s="42">
        <f t="shared" ca="1" si="98"/>
        <v>0.66359464420415193</v>
      </c>
      <c r="F119" s="42">
        <f t="shared" ca="1" si="98"/>
        <v>0.11342415503654157</v>
      </c>
      <c r="G119" s="42">
        <f t="shared" ca="1" si="98"/>
        <v>0.85194088856894279</v>
      </c>
      <c r="H119" s="42">
        <f t="shared" ca="1" si="98"/>
        <v>0.87131235512558003</v>
      </c>
      <c r="I119" s="42">
        <f t="shared" ca="1" si="98"/>
        <v>0.85275718145540835</v>
      </c>
      <c r="J119" s="43">
        <f ca="1">IF(I119&lt;Inputs!$B$54,1+Inputs!$B$55,1)</f>
        <v>1</v>
      </c>
      <c r="K119" s="42">
        <f t="shared" ca="1" si="99"/>
        <v>0.98107850559589505</v>
      </c>
      <c r="L119" s="42">
        <f t="shared" ca="1" si="99"/>
        <v>0.81819926696165757</v>
      </c>
      <c r="M119" s="42">
        <f t="shared" ca="1" si="99"/>
        <v>0.36991020218014314</v>
      </c>
      <c r="N119" s="42">
        <f t="shared" ca="1" si="99"/>
        <v>0.97317287808862085</v>
      </c>
      <c r="O119" s="42">
        <f t="shared" ca="1" si="99"/>
        <v>0.53475816326499281</v>
      </c>
      <c r="P119" s="42">
        <f t="shared" ca="1" si="99"/>
        <v>0.5466157869920496</v>
      </c>
      <c r="Q119" s="42">
        <f t="shared" ca="1" si="99"/>
        <v>0.19985157593854208</v>
      </c>
      <c r="R119" s="42">
        <f t="shared" ca="1" si="99"/>
        <v>0.54004708090141051</v>
      </c>
      <c r="S119" s="42">
        <f t="shared" ca="1" si="99"/>
        <v>0.3234606028446646</v>
      </c>
      <c r="T119" s="42">
        <f t="shared" ca="1" si="99"/>
        <v>0.14945759779476764</v>
      </c>
      <c r="U119" s="44">
        <f ca="1">(IF(D119&gt;=Inputs!$E$12,1,IF(K119&lt;=Inputs!$C$46,Inputs!$D$46,IF(K119&lt;=Inputs!$C$47,Inputs!$D$47,Inputs!$D$48))))*((Inputs!$B$28+(P119-0.5)*2*Inputs!$B$53)/Inputs!$B$28)</f>
        <v>1.0004718197063973</v>
      </c>
      <c r="V119" s="44">
        <f ca="1">(IF(E119&gt;=Inputs!$E$13,1,IF(L119&lt;=Inputs!$C$46,Inputs!$D$46,IF(L119&lt;=Inputs!$C$47,Inputs!$D$47,Inputs!$D$48))))*((Inputs!$B$29+(Q119-0.5)*2*Inputs!$B$53)/Inputs!$B$29)</f>
        <v>0.996974310241316</v>
      </c>
      <c r="W119" s="44">
        <f ca="1">(IF(F119&gt;=Inputs!$E$14,1,IF(M119&lt;=Inputs!$C$46,Inputs!$D$46,IF(M119&lt;=Inputs!$C$47,Inputs!$D$47,Inputs!$D$48))))*((Inputs!$B$30+(R119-0.5)*2*Inputs!$B$53)/Inputs!$B$30)</f>
        <v>1.0004024832251397</v>
      </c>
      <c r="X119" s="44">
        <f ca="1">(IF(G119&gt;=Inputs!$E$15,1,IF(N119&lt;=Inputs!$C$46,Inputs!$D$46,IF(N119&lt;=Inputs!$C$47,Inputs!$D$47,Inputs!$D$48))))*((Inputs!$B$31+(S119-0.5)*2*Inputs!$B$53)/Inputs!$B$31)</f>
        <v>0.99820772185629092</v>
      </c>
      <c r="Y119" s="44">
        <f ca="1">(IF(H119&gt;=Inputs!$E$16,1,IF(O119&lt;=Inputs!$C$46,Inputs!$D$46,IF(O119&lt;=Inputs!$C$47,Inputs!$D$47,Inputs!$D$48))))*((Inputs!$B$32+(T119-0.5)*2*Inputs!$B$53)/Inputs!$B$32)</f>
        <v>0.99647341647680854</v>
      </c>
      <c r="Z119" s="45">
        <f ca="1">ILP_B_Moderate!$C$9*U119+ILP_B_Moderate!$C$10*V119+ILP_B_Moderate!$C$11*W119+ILP_B_Moderate!$C$12*X119+ILP_B_Moderate!$C$13*Y119</f>
        <v>17974.5735174154</v>
      </c>
      <c r="AA119" s="45">
        <f ca="1">ILP_B_Moderate!$D$9*U119+ILP_B_Moderate!$D$10*V119+ILP_B_Moderate!$D$11*W119+ILP_B_Moderate!$D$12*X119+ILP_B_Moderate!$D$13*Y119</f>
        <v>14974.461218670549</v>
      </c>
      <c r="AB119" s="45">
        <f ca="1">ILP_B_Moderate!$E$9*U119+ILP_B_Moderate!$E$10*V119+ILP_B_Moderate!$E$11*W119+ILP_B_Moderate!$E$12*X119+ILP_B_Moderate!$E$13*Y119</f>
        <v>11982.931665810735</v>
      </c>
      <c r="AC119" s="45">
        <f ca="1">Inputs!$B$6*$C119</f>
        <v>18000</v>
      </c>
      <c r="AD119" s="45">
        <f ca="1">Inputs!$B$7*$C119</f>
        <v>15000</v>
      </c>
      <c r="AE119" s="45">
        <f ca="1">Inputs!$B$8*$C119</f>
        <v>12000</v>
      </c>
      <c r="AF119" s="45">
        <f t="shared" ca="1" si="78"/>
        <v>25.426482584600308</v>
      </c>
      <c r="AG119" s="45">
        <f t="shared" ca="1" si="79"/>
        <v>25.538781329451012</v>
      </c>
      <c r="AH119" s="45">
        <f t="shared" ca="1" si="80"/>
        <v>17.068334189265443</v>
      </c>
      <c r="AI119" s="45">
        <f t="shared" ca="1" si="81"/>
        <v>68.033598103316763</v>
      </c>
      <c r="AJ119" s="45">
        <f ca="1">U119*(Inputs!$B$12-ILP_B_Moderate!$F$9)+V119*(Inputs!$B$13-ILP_B_Moderate!$F$10)+W119*(Inputs!$B$14-ILP_B_Moderate!$F$11)+X119*(Inputs!$B$15-ILP_B_Moderate!$F$12)+Y119*(Inputs!$B$16-ILP_B_Moderate!$F$13)</f>
        <v>24964.04924813853</v>
      </c>
      <c r="AK119" s="45">
        <f t="shared" ca="1" si="82"/>
        <v>68.033598103316763</v>
      </c>
      <c r="AL119" s="45">
        <f t="shared" ca="1" si="83"/>
        <v>0</v>
      </c>
      <c r="AM119" s="45">
        <f t="shared" ca="1" si="84"/>
        <v>0</v>
      </c>
      <c r="AN119" s="45">
        <f t="shared" ca="1" si="85"/>
        <v>0</v>
      </c>
      <c r="AO119" s="45">
        <f ca="1">MIN(AL119,Inputs!$B$36)</f>
        <v>0</v>
      </c>
      <c r="AP119" s="45">
        <f ca="1">MIN(AN119,Inputs!$B$36-AO119)</f>
        <v>0</v>
      </c>
      <c r="AQ119" s="45">
        <f ca="1">MIN(AM119,Inputs!$B$36-AO119-AP119)</f>
        <v>0</v>
      </c>
      <c r="AR119" s="45">
        <f t="shared" ca="1" si="86"/>
        <v>0</v>
      </c>
      <c r="AS119" s="45">
        <f t="shared" ca="1" si="87"/>
        <v>0</v>
      </c>
      <c r="AT119" s="45">
        <f t="shared" ca="1" si="88"/>
        <v>0</v>
      </c>
      <c r="AU119" s="45">
        <f t="shared" ca="1" si="89"/>
        <v>0</v>
      </c>
      <c r="AV119" s="46">
        <f ca="1">AU119*Inputs!$B$35</f>
        <v>0</v>
      </c>
      <c r="AW119" s="46">
        <f ca="1">AR119*Inputs!$C$6+AT119*Inputs!$C$7+AS119*Inputs!$C$8</f>
        <v>0</v>
      </c>
      <c r="AX119" s="46">
        <f t="shared" ca="1" si="90"/>
        <v>47496867.504266381</v>
      </c>
      <c r="AY119" s="46">
        <f ca="1">IF(J119&gt;1,($CD$4)*Inputs!$B$55*((Z119+AA119+AB119)/(SUM(ILP_B_Moderate!$C$9:$E$13))),0)</f>
        <v>0</v>
      </c>
      <c r="AZ119" s="46">
        <f t="shared" ca="1" si="91"/>
        <v>0</v>
      </c>
      <c r="BA119" s="41">
        <f t="shared" ca="1" si="92"/>
        <v>0</v>
      </c>
      <c r="BB119" s="41">
        <f t="shared" ca="1" si="93"/>
        <v>1</v>
      </c>
      <c r="BC119" s="41">
        <f t="shared" ca="1" si="94"/>
        <v>1</v>
      </c>
      <c r="BD119" s="41">
        <f t="shared" ca="1" si="95"/>
        <v>1</v>
      </c>
    </row>
    <row r="120" spans="1:56" ht="15" customHeight="1" x14ac:dyDescent="0.3">
      <c r="A120" s="41">
        <v>113</v>
      </c>
      <c r="B120" s="42">
        <f t="shared" ca="1" si="77"/>
        <v>0.86376699584086369</v>
      </c>
      <c r="C120" s="43">
        <f ca="1">IF(B120&lt;=Inputs!$C$40,Inputs!$D$40,IF(B120&lt;=Inputs!$C$41,Inputs!$D$41,Inputs!$D$42))</f>
        <v>1.1499999999999999</v>
      </c>
      <c r="D120" s="42">
        <f t="shared" ca="1" si="98"/>
        <v>0.38989534217372557</v>
      </c>
      <c r="E120" s="42">
        <f t="shared" ca="1" si="98"/>
        <v>1.9290794624482022E-2</v>
      </c>
      <c r="F120" s="42">
        <f t="shared" ca="1" si="98"/>
        <v>7.6233941529278315E-2</v>
      </c>
      <c r="G120" s="42">
        <f t="shared" ca="1" si="98"/>
        <v>0.89389750878496954</v>
      </c>
      <c r="H120" s="42">
        <f t="shared" ca="1" si="98"/>
        <v>0.26523870662857241</v>
      </c>
      <c r="I120" s="42">
        <f t="shared" ca="1" si="98"/>
        <v>0.78996624310847785</v>
      </c>
      <c r="J120" s="43">
        <f ca="1">IF(I120&lt;Inputs!$B$54,1+Inputs!$B$55,1)</f>
        <v>1</v>
      </c>
      <c r="K120" s="42">
        <f t="shared" ca="1" si="99"/>
        <v>0.7322964929361111</v>
      </c>
      <c r="L120" s="42">
        <f t="shared" ca="1" si="99"/>
        <v>0.21161165043057151</v>
      </c>
      <c r="M120" s="42">
        <f t="shared" ca="1" si="99"/>
        <v>0.86688546982537651</v>
      </c>
      <c r="N120" s="42">
        <f t="shared" ca="1" si="99"/>
        <v>0.57780260649379289</v>
      </c>
      <c r="O120" s="42">
        <f t="shared" ca="1" si="99"/>
        <v>2.9132287860865191E-2</v>
      </c>
      <c r="P120" s="42">
        <f t="shared" ca="1" si="99"/>
        <v>0.2851984307695814</v>
      </c>
      <c r="Q120" s="42">
        <f t="shared" ca="1" si="99"/>
        <v>0.21640156859418958</v>
      </c>
      <c r="R120" s="42">
        <f t="shared" ca="1" si="99"/>
        <v>0.96816497529520373</v>
      </c>
      <c r="S120" s="42">
        <f t="shared" ca="1" si="99"/>
        <v>0.34672712869937028</v>
      </c>
      <c r="T120" s="42">
        <f t="shared" ca="1" si="99"/>
        <v>0.59826513274041537</v>
      </c>
      <c r="U120" s="44">
        <f ca="1">(IF(D120&gt;=Inputs!$E$12,1,IF(K120&lt;=Inputs!$C$46,Inputs!$D$46,IF(K120&lt;=Inputs!$C$47,Inputs!$D$47,Inputs!$D$48))))*((Inputs!$B$28+(P120-0.5)*2*Inputs!$B$53)/Inputs!$B$28)</f>
        <v>0.99782589504827512</v>
      </c>
      <c r="V120" s="44">
        <f ca="1">(IF(E120&gt;=Inputs!$E$13,1,IF(L120&lt;=Inputs!$C$46,Inputs!$D$46,IF(L120&lt;=Inputs!$C$47,Inputs!$D$47,Inputs!$D$48))))*((Inputs!$B$29+(Q120-0.5)*2*Inputs!$B$53)/Inputs!$B$29)</f>
        <v>0.59828468690681968</v>
      </c>
      <c r="W120" s="44">
        <f ca="1">(IF(F120&gt;=Inputs!$E$14,1,IF(M120&lt;=Inputs!$C$46,Inputs!$D$46,IF(M120&lt;=Inputs!$C$47,Inputs!$D$47,Inputs!$D$48))))*((Inputs!$B$30+(R120-0.5)*2*Inputs!$B$53)/Inputs!$B$30)</f>
        <v>1.0047051756311076</v>
      </c>
      <c r="X120" s="44">
        <f ca="1">(IF(G120&gt;=Inputs!$E$15,1,IF(N120&lt;=Inputs!$C$46,Inputs!$D$46,IF(N120&lt;=Inputs!$C$47,Inputs!$D$47,Inputs!$D$48))))*((Inputs!$B$31+(S120-0.5)*2*Inputs!$B$53)/Inputs!$B$31)</f>
        <v>0.99844393024060274</v>
      </c>
      <c r="Y120" s="44">
        <f ca="1">(IF(H120&gt;=Inputs!$E$16,1,IF(O120&lt;=Inputs!$C$46,Inputs!$D$46,IF(O120&lt;=Inputs!$C$47,Inputs!$D$47,Inputs!$D$48))))*((Inputs!$B$32+(T120-0.5)*2*Inputs!$B$53)/Inputs!$B$32)</f>
        <v>1.0009885828243503</v>
      </c>
      <c r="Z120" s="45">
        <f ca="1">ILP_B_Moderate!$C$9*U120+ILP_B_Moderate!$C$10*V120+ILP_B_Moderate!$C$11*W120+ILP_B_Moderate!$C$12*X120+ILP_B_Moderate!$C$13*Y120</f>
        <v>16419.404869676182</v>
      </c>
      <c r="AA120" s="45">
        <f ca="1">ILP_B_Moderate!$D$9*U120+ILP_B_Moderate!$D$10*V120+ILP_B_Moderate!$D$11*W120+ILP_B_Moderate!$D$12*X120+ILP_B_Moderate!$D$13*Y120</f>
        <v>11972.572223905576</v>
      </c>
      <c r="AB120" s="45">
        <f ca="1">ILP_B_Moderate!$E$9*U120+ILP_B_Moderate!$E$10*V120+ILP_B_Moderate!$E$11*W120+ILP_B_Moderate!$E$12*X120+ILP_B_Moderate!$E$13*Y120</f>
        <v>10979.683865107245</v>
      </c>
      <c r="AC120" s="45">
        <f ca="1">Inputs!$B$6*$C120</f>
        <v>20700</v>
      </c>
      <c r="AD120" s="45">
        <f ca="1">Inputs!$B$7*$C120</f>
        <v>17250</v>
      </c>
      <c r="AE120" s="45">
        <f ca="1">Inputs!$B$8*$C120</f>
        <v>13799.999999999998</v>
      </c>
      <c r="AF120" s="45">
        <f t="shared" ca="1" si="78"/>
        <v>4280.595130323818</v>
      </c>
      <c r="AG120" s="45">
        <f t="shared" ca="1" si="79"/>
        <v>5277.4277760944242</v>
      </c>
      <c r="AH120" s="45">
        <f t="shared" ca="1" si="80"/>
        <v>2820.3161348927533</v>
      </c>
      <c r="AI120" s="45">
        <f t="shared" ca="1" si="81"/>
        <v>12378.339041310996</v>
      </c>
      <c r="AJ120" s="45">
        <f ca="1">U120*(Inputs!$B$12-ILP_B_Moderate!$F$9)+V120*(Inputs!$B$13-ILP_B_Moderate!$F$10)+W120*(Inputs!$B$14-ILP_B_Moderate!$F$11)+X120*(Inputs!$B$15-ILP_B_Moderate!$F$12)+Y120*(Inputs!$B$16-ILP_B_Moderate!$F$13)</f>
        <v>25026.862167235759</v>
      </c>
      <c r="AK120" s="45">
        <f t="shared" ca="1" si="82"/>
        <v>12378.339041310996</v>
      </c>
      <c r="AL120" s="45">
        <f t="shared" ca="1" si="83"/>
        <v>0</v>
      </c>
      <c r="AM120" s="45">
        <f t="shared" ca="1" si="84"/>
        <v>0</v>
      </c>
      <c r="AN120" s="45">
        <f t="shared" ca="1" si="85"/>
        <v>0</v>
      </c>
      <c r="AO120" s="45">
        <f ca="1">MIN(AL120,Inputs!$B$36)</f>
        <v>0</v>
      </c>
      <c r="AP120" s="45">
        <f ca="1">MIN(AN120,Inputs!$B$36-AO120)</f>
        <v>0</v>
      </c>
      <c r="AQ120" s="45">
        <f ca="1">MIN(AM120,Inputs!$B$36-AO120-AP120)</f>
        <v>0</v>
      </c>
      <c r="AR120" s="45">
        <f t="shared" ca="1" si="86"/>
        <v>0</v>
      </c>
      <c r="AS120" s="45">
        <f t="shared" ca="1" si="87"/>
        <v>0</v>
      </c>
      <c r="AT120" s="45">
        <f t="shared" ca="1" si="88"/>
        <v>0</v>
      </c>
      <c r="AU120" s="45">
        <f t="shared" ca="1" si="89"/>
        <v>0</v>
      </c>
      <c r="AV120" s="46">
        <f ca="1">AU120*Inputs!$B$35</f>
        <v>0</v>
      </c>
      <c r="AW120" s="46">
        <f ca="1">AR120*Inputs!$C$6+AT120*Inputs!$C$7+AS120*Inputs!$C$8</f>
        <v>0</v>
      </c>
      <c r="AX120" s="46">
        <f t="shared" ca="1" si="90"/>
        <v>41629243.775180429</v>
      </c>
      <c r="AY120" s="46">
        <f ca="1">IF(J120&gt;1,($CD$4)*Inputs!$B$55*((Z120+AA120+AB120)/(SUM(ILP_B_Moderate!$C$9:$E$13))),0)</f>
        <v>0</v>
      </c>
      <c r="AZ120" s="46">
        <f t="shared" ca="1" si="91"/>
        <v>0</v>
      </c>
      <c r="BA120" s="41">
        <f t="shared" ca="1" si="92"/>
        <v>0</v>
      </c>
      <c r="BB120" s="41">
        <f t="shared" ca="1" si="93"/>
        <v>1</v>
      </c>
      <c r="BC120" s="41">
        <f t="shared" ca="1" si="94"/>
        <v>1</v>
      </c>
      <c r="BD120" s="41">
        <f t="shared" ca="1" si="95"/>
        <v>1</v>
      </c>
    </row>
    <row r="121" spans="1:56" ht="15" customHeight="1" x14ac:dyDescent="0.3">
      <c r="A121" s="41">
        <v>114</v>
      </c>
      <c r="B121" s="42">
        <f t="shared" ca="1" si="77"/>
        <v>0.3040357361805287</v>
      </c>
      <c r="C121" s="43">
        <f ca="1">IF(B121&lt;=Inputs!$C$40,Inputs!$D$40,IF(B121&lt;=Inputs!$C$41,Inputs!$D$41,Inputs!$D$42))</f>
        <v>1</v>
      </c>
      <c r="D121" s="42">
        <f t="shared" ca="1" si="98"/>
        <v>0.69010839078598973</v>
      </c>
      <c r="E121" s="42">
        <f t="shared" ca="1" si="98"/>
        <v>0.1761340182635982</v>
      </c>
      <c r="F121" s="42">
        <f t="shared" ca="1" si="98"/>
        <v>0.68606711298621537</v>
      </c>
      <c r="G121" s="42">
        <f t="shared" ca="1" si="98"/>
        <v>0.62165954575117532</v>
      </c>
      <c r="H121" s="42">
        <f t="shared" ca="1" si="98"/>
        <v>0.29208019529798079</v>
      </c>
      <c r="I121" s="42">
        <f t="shared" ca="1" si="98"/>
        <v>0.4163103648709674</v>
      </c>
      <c r="J121" s="43">
        <f ca="1">IF(I121&lt;Inputs!$B$54,1+Inputs!$B$55,1)</f>
        <v>1</v>
      </c>
      <c r="K121" s="42">
        <f t="shared" ca="1" si="99"/>
        <v>0.21264979102346715</v>
      </c>
      <c r="L121" s="42">
        <f t="shared" ca="1" si="99"/>
        <v>0.7804756967745704</v>
      </c>
      <c r="M121" s="42">
        <f t="shared" ca="1" si="99"/>
        <v>0.83455212544881319</v>
      </c>
      <c r="N121" s="42">
        <f t="shared" ca="1" si="99"/>
        <v>0.85407371405575083</v>
      </c>
      <c r="O121" s="42">
        <f t="shared" ca="1" si="99"/>
        <v>0.74639915229272702</v>
      </c>
      <c r="P121" s="42">
        <f t="shared" ca="1" si="99"/>
        <v>0.45594598408878739</v>
      </c>
      <c r="Q121" s="42">
        <f t="shared" ca="1" si="99"/>
        <v>0.16120432793312911</v>
      </c>
      <c r="R121" s="42">
        <f t="shared" ca="1" si="99"/>
        <v>0.90464188087623087</v>
      </c>
      <c r="S121" s="42">
        <f t="shared" ca="1" si="99"/>
        <v>0.4443947735862509</v>
      </c>
      <c r="T121" s="42">
        <f t="shared" ca="1" si="99"/>
        <v>0.91108246484491062</v>
      </c>
      <c r="U121" s="44">
        <f ca="1">(IF(D121&gt;=Inputs!$E$12,1,IF(K121&lt;=Inputs!$C$46,Inputs!$D$46,IF(K121&lt;=Inputs!$C$47,Inputs!$D$47,Inputs!$D$48))))*((Inputs!$B$28+(P121-0.5)*2*Inputs!$B$53)/Inputs!$B$28)</f>
        <v>0.9995541091506962</v>
      </c>
      <c r="V121" s="44">
        <f ca="1">(IF(E121&gt;=Inputs!$E$13,1,IF(L121&lt;=Inputs!$C$46,Inputs!$D$46,IF(L121&lt;=Inputs!$C$47,Inputs!$D$47,Inputs!$D$48))))*((Inputs!$B$29+(Q121-0.5)*2*Inputs!$B$53)/Inputs!$B$29)</f>
        <v>0.99658472104771301</v>
      </c>
      <c r="W121" s="44">
        <f ca="1">(IF(F121&gt;=Inputs!$E$14,1,IF(M121&lt;=Inputs!$C$46,Inputs!$D$46,IF(M121&lt;=Inputs!$C$47,Inputs!$D$47,Inputs!$D$48))))*((Inputs!$B$30+(R121-0.5)*2*Inputs!$B$53)/Inputs!$B$30)</f>
        <v>1.0040667525716205</v>
      </c>
      <c r="X121" s="44">
        <f ca="1">(IF(G121&gt;=Inputs!$E$15,1,IF(N121&lt;=Inputs!$C$46,Inputs!$D$46,IF(N121&lt;=Inputs!$C$47,Inputs!$D$47,Inputs!$D$48))))*((Inputs!$B$31+(S121-0.5)*2*Inputs!$B$53)/Inputs!$B$31)</f>
        <v>0.9994354799348858</v>
      </c>
      <c r="Y121" s="44">
        <f ca="1">(IF(H121&gt;=Inputs!$E$16,1,IF(O121&lt;=Inputs!$C$46,Inputs!$D$46,IF(O121&lt;=Inputs!$C$47,Inputs!$D$47,Inputs!$D$48))))*((Inputs!$B$32+(T121-0.5)*2*Inputs!$B$53)/Inputs!$B$32)</f>
        <v>1.0041356384793252</v>
      </c>
      <c r="Z121" s="45">
        <f ca="1">ILP_B_Moderate!$C$9*U121+ILP_B_Moderate!$C$10*V121+ILP_B_Moderate!$C$11*W121+ILP_B_Moderate!$C$12*X121+ILP_B_Moderate!$C$13*Y121</f>
        <v>17979.408831035485</v>
      </c>
      <c r="AA121" s="45">
        <f ca="1">ILP_B_Moderate!$D$9*U121+ILP_B_Moderate!$D$10*V121+ILP_B_Moderate!$D$11*W121+ILP_B_Moderate!$D$12*X121+ILP_B_Moderate!$D$13*Y121</f>
        <v>14970.706692099486</v>
      </c>
      <c r="AB121" s="45">
        <f ca="1">ILP_B_Moderate!$E$9*U121+ILP_B_Moderate!$E$10*V121+ILP_B_Moderate!$E$11*W121+ILP_B_Moderate!$E$12*X121+ILP_B_Moderate!$E$13*Y121</f>
        <v>12003.140377522192</v>
      </c>
      <c r="AC121" s="45">
        <f ca="1">Inputs!$B$6*$C121</f>
        <v>18000</v>
      </c>
      <c r="AD121" s="45">
        <f ca="1">Inputs!$B$7*$C121</f>
        <v>15000</v>
      </c>
      <c r="AE121" s="45">
        <f ca="1">Inputs!$B$8*$C121</f>
        <v>12000</v>
      </c>
      <c r="AF121" s="45">
        <f t="shared" ca="1" si="78"/>
        <v>20.591168964514509</v>
      </c>
      <c r="AG121" s="45">
        <f t="shared" ca="1" si="79"/>
        <v>29.293307900514264</v>
      </c>
      <c r="AH121" s="45">
        <f t="shared" ca="1" si="80"/>
        <v>0</v>
      </c>
      <c r="AI121" s="45">
        <f t="shared" ca="1" si="81"/>
        <v>49.884476865028773</v>
      </c>
      <c r="AJ121" s="45">
        <f ca="1">U121*(Inputs!$B$12-ILP_B_Moderate!$F$9)+V121*(Inputs!$B$13-ILP_B_Moderate!$F$10)+W121*(Inputs!$B$14-ILP_B_Moderate!$F$11)+X121*(Inputs!$B$15-ILP_B_Moderate!$F$12)+Y121*(Inputs!$B$16-ILP_B_Moderate!$F$13)</f>
        <v>25099.924060261532</v>
      </c>
      <c r="AK121" s="45">
        <f t="shared" ca="1" si="82"/>
        <v>49.884476865028773</v>
      </c>
      <c r="AL121" s="45">
        <f t="shared" ca="1" si="83"/>
        <v>0</v>
      </c>
      <c r="AM121" s="45">
        <f t="shared" ca="1" si="84"/>
        <v>0</v>
      </c>
      <c r="AN121" s="45">
        <f t="shared" ca="1" si="85"/>
        <v>0</v>
      </c>
      <c r="AO121" s="45">
        <f ca="1">MIN(AL121,Inputs!$B$36)</f>
        <v>0</v>
      </c>
      <c r="AP121" s="45">
        <f ca="1">MIN(AN121,Inputs!$B$36-AO121)</f>
        <v>0</v>
      </c>
      <c r="AQ121" s="45">
        <f ca="1">MIN(AM121,Inputs!$B$36-AO121-AP121)</f>
        <v>0</v>
      </c>
      <c r="AR121" s="45">
        <f t="shared" ca="1" si="86"/>
        <v>0</v>
      </c>
      <c r="AS121" s="45">
        <f t="shared" ca="1" si="87"/>
        <v>0</v>
      </c>
      <c r="AT121" s="45">
        <f t="shared" ca="1" si="88"/>
        <v>0</v>
      </c>
      <c r="AU121" s="45">
        <f t="shared" ca="1" si="89"/>
        <v>0</v>
      </c>
      <c r="AV121" s="46">
        <f ca="1">AU121*Inputs!$B$35</f>
        <v>0</v>
      </c>
      <c r="AW121" s="46">
        <f ca="1">AR121*Inputs!$C$6+AT121*Inputs!$C$7+AS121*Inputs!$C$8</f>
        <v>0</v>
      </c>
      <c r="AX121" s="46">
        <f t="shared" ca="1" si="90"/>
        <v>47520169.484592676</v>
      </c>
      <c r="AY121" s="46">
        <f ca="1">IF(J121&gt;1,($CD$4)*Inputs!$B$55*((Z121+AA121+AB121)/(SUM(ILP_B_Moderate!$C$9:$E$13))),0)</f>
        <v>0</v>
      </c>
      <c r="AZ121" s="46">
        <f t="shared" ca="1" si="91"/>
        <v>0</v>
      </c>
      <c r="BA121" s="41">
        <f t="shared" ca="1" si="92"/>
        <v>0</v>
      </c>
      <c r="BB121" s="41">
        <f t="shared" ca="1" si="93"/>
        <v>1</v>
      </c>
      <c r="BC121" s="41">
        <f t="shared" ca="1" si="94"/>
        <v>1</v>
      </c>
      <c r="BD121" s="41">
        <f t="shared" ca="1" si="95"/>
        <v>1</v>
      </c>
    </row>
    <row r="122" spans="1:56" ht="15" customHeight="1" x14ac:dyDescent="0.3">
      <c r="A122" s="41">
        <v>115</v>
      </c>
      <c r="B122" s="42">
        <f t="shared" ca="1" si="77"/>
        <v>0.64650150754506486</v>
      </c>
      <c r="C122" s="43">
        <f ca="1">IF(B122&lt;=Inputs!$C$40,Inputs!$D$40,IF(B122&lt;=Inputs!$C$41,Inputs!$D$41,Inputs!$D$42))</f>
        <v>1</v>
      </c>
      <c r="D122" s="42">
        <f t="shared" ca="1" si="98"/>
        <v>0.16545651440326503</v>
      </c>
      <c r="E122" s="42">
        <f t="shared" ca="1" si="98"/>
        <v>0.96100294823140886</v>
      </c>
      <c r="F122" s="42">
        <f t="shared" ca="1" si="98"/>
        <v>0.62719364314463866</v>
      </c>
      <c r="G122" s="42">
        <f t="shared" ca="1" si="98"/>
        <v>2.7481028097107951E-2</v>
      </c>
      <c r="H122" s="42">
        <f t="shared" ca="1" si="98"/>
        <v>0.54980666537917378</v>
      </c>
      <c r="I122" s="42">
        <f t="shared" ca="1" si="98"/>
        <v>0.46907264690392425</v>
      </c>
      <c r="J122" s="43">
        <f ca="1">IF(I122&lt;Inputs!$B$54,1+Inputs!$B$55,1)</f>
        <v>1</v>
      </c>
      <c r="K122" s="42">
        <f t="shared" ca="1" si="99"/>
        <v>0.3359521782090501</v>
      </c>
      <c r="L122" s="42">
        <f t="shared" ca="1" si="99"/>
        <v>0.86956994362560625</v>
      </c>
      <c r="M122" s="42">
        <f t="shared" ca="1" si="99"/>
        <v>0.43081015526457822</v>
      </c>
      <c r="N122" s="42">
        <f t="shared" ca="1" si="99"/>
        <v>0.68342773709393589</v>
      </c>
      <c r="O122" s="42">
        <f t="shared" ca="1" si="99"/>
        <v>0.64215160794618453</v>
      </c>
      <c r="P122" s="42">
        <f t="shared" ca="1" si="99"/>
        <v>0.59397302200655355</v>
      </c>
      <c r="Q122" s="42">
        <f t="shared" ca="1" si="99"/>
        <v>0.57753955864379625</v>
      </c>
      <c r="R122" s="42">
        <f t="shared" ca="1" si="99"/>
        <v>0.87387406505284426</v>
      </c>
      <c r="S122" s="42">
        <f t="shared" ca="1" si="99"/>
        <v>0.6289345868288575</v>
      </c>
      <c r="T122" s="42">
        <f t="shared" ca="1" si="99"/>
        <v>0.44212967285914972</v>
      </c>
      <c r="U122" s="44">
        <f ca="1">(IF(D122&gt;=Inputs!$E$12,1,IF(K122&lt;=Inputs!$C$46,Inputs!$D$46,IF(K122&lt;=Inputs!$C$47,Inputs!$D$47,Inputs!$D$48))))*((Inputs!$B$28+(P122-0.5)*2*Inputs!$B$53)/Inputs!$B$28)</f>
        <v>1.0009511439474348</v>
      </c>
      <c r="V122" s="44">
        <f ca="1">(IF(E122&gt;=Inputs!$E$13,1,IF(L122&lt;=Inputs!$C$46,Inputs!$D$46,IF(L122&lt;=Inputs!$C$47,Inputs!$D$47,Inputs!$D$48))))*((Inputs!$B$29+(Q122-0.5)*2*Inputs!$B$53)/Inputs!$B$29)</f>
        <v>1.0007816487766512</v>
      </c>
      <c r="W122" s="44">
        <f ca="1">(IF(F122&gt;=Inputs!$E$14,1,IF(M122&lt;=Inputs!$C$46,Inputs!$D$46,IF(M122&lt;=Inputs!$C$47,Inputs!$D$47,Inputs!$D$48))))*((Inputs!$B$30+(R122-0.5)*2*Inputs!$B$53)/Inputs!$B$30)</f>
        <v>1.0037575282919884</v>
      </c>
      <c r="X122" s="44">
        <f ca="1">(IF(G122&gt;=Inputs!$E$15,1,IF(N122&lt;=Inputs!$C$46,Inputs!$D$46,IF(N122&lt;=Inputs!$C$47,Inputs!$D$47,Inputs!$D$48))))*((Inputs!$B$31+(S122-0.5)*2*Inputs!$B$53)/Inputs!$B$31)</f>
        <v>0.30039269417308279</v>
      </c>
      <c r="Y122" s="44">
        <f ca="1">(IF(H122&gt;=Inputs!$E$16,1,IF(O122&lt;=Inputs!$C$46,Inputs!$D$46,IF(O122&lt;=Inputs!$C$47,Inputs!$D$47,Inputs!$D$48))))*((Inputs!$B$32+(T122-0.5)*2*Inputs!$B$53)/Inputs!$B$32)</f>
        <v>0.99941780354989085</v>
      </c>
      <c r="Z122" s="45">
        <f ca="1">ILP_B_Moderate!$C$9*U122+ILP_B_Moderate!$C$10*V122+ILP_B_Moderate!$C$11*W122+ILP_B_Moderate!$C$12*X122+ILP_B_Moderate!$C$13*Y122</f>
        <v>11711.438257783384</v>
      </c>
      <c r="AA122" s="45">
        <f ca="1">ILP_B_Moderate!$D$9*U122+ILP_B_Moderate!$D$10*V122+ILP_B_Moderate!$D$11*W122+ILP_B_Moderate!$D$12*X122+ILP_B_Moderate!$D$13*Y122</f>
        <v>13037.421117066973</v>
      </c>
      <c r="AB122" s="45">
        <f ca="1">ILP_B_Moderate!$E$9*U122+ILP_B_Moderate!$E$10*V122+ILP_B_Moderate!$E$11*W122+ILP_B_Moderate!$E$12*X122+ILP_B_Moderate!$E$13*Y122</f>
        <v>12005.645119574483</v>
      </c>
      <c r="AC122" s="45">
        <f ca="1">Inputs!$B$6*$C122</f>
        <v>18000</v>
      </c>
      <c r="AD122" s="45">
        <f ca="1">Inputs!$B$7*$C122</f>
        <v>15000</v>
      </c>
      <c r="AE122" s="45">
        <f ca="1">Inputs!$B$8*$C122</f>
        <v>12000</v>
      </c>
      <c r="AF122" s="45">
        <f t="shared" ca="1" si="78"/>
        <v>6288.561742216616</v>
      </c>
      <c r="AG122" s="45">
        <f t="shared" ca="1" si="79"/>
        <v>1962.5788829330268</v>
      </c>
      <c r="AH122" s="45">
        <f t="shared" ca="1" si="80"/>
        <v>0</v>
      </c>
      <c r="AI122" s="45">
        <f t="shared" ca="1" si="81"/>
        <v>8251.1406251496428</v>
      </c>
      <c r="AJ122" s="45">
        <f ca="1">U122*(Inputs!$B$12-ILP_B_Moderate!$F$9)+V122*(Inputs!$B$13-ILP_B_Moderate!$F$10)+W122*(Inputs!$B$14-ILP_B_Moderate!$F$11)+X122*(Inputs!$B$15-ILP_B_Moderate!$F$12)+Y122*(Inputs!$B$16-ILP_B_Moderate!$F$13)</f>
        <v>24916.484142728441</v>
      </c>
      <c r="AK122" s="45">
        <f t="shared" ca="1" si="82"/>
        <v>8251.1406251496428</v>
      </c>
      <c r="AL122" s="45">
        <f t="shared" ca="1" si="83"/>
        <v>0</v>
      </c>
      <c r="AM122" s="45">
        <f t="shared" ca="1" si="84"/>
        <v>0</v>
      </c>
      <c r="AN122" s="45">
        <f t="shared" ca="1" si="85"/>
        <v>0</v>
      </c>
      <c r="AO122" s="45">
        <f ca="1">MIN(AL122,Inputs!$B$36)</f>
        <v>0</v>
      </c>
      <c r="AP122" s="45">
        <f ca="1">MIN(AN122,Inputs!$B$36-AO122)</f>
        <v>0</v>
      </c>
      <c r="AQ122" s="45">
        <f ca="1">MIN(AM122,Inputs!$B$36-AO122-AP122)</f>
        <v>0</v>
      </c>
      <c r="AR122" s="45">
        <f t="shared" ca="1" si="86"/>
        <v>0</v>
      </c>
      <c r="AS122" s="45">
        <f t="shared" ca="1" si="87"/>
        <v>0</v>
      </c>
      <c r="AT122" s="45">
        <f t="shared" ca="1" si="88"/>
        <v>0</v>
      </c>
      <c r="AU122" s="45">
        <f t="shared" ca="1" si="89"/>
        <v>0</v>
      </c>
      <c r="AV122" s="46">
        <f ca="1">AU122*Inputs!$B$35</f>
        <v>0</v>
      </c>
      <c r="AW122" s="46">
        <f ca="1">AR122*Inputs!$C$6+AT122*Inputs!$C$7+AS122*Inputs!$C$8</f>
        <v>0</v>
      </c>
      <c r="AX122" s="46">
        <f t="shared" ca="1" si="90"/>
        <v>39023434.757719874</v>
      </c>
      <c r="AY122" s="46">
        <f ca="1">IF(J122&gt;1,($CD$4)*Inputs!$B$55*((Z122+AA122+AB122)/(SUM(ILP_B_Moderate!$C$9:$E$13))),0)</f>
        <v>0</v>
      </c>
      <c r="AZ122" s="46">
        <f t="shared" ca="1" si="91"/>
        <v>0</v>
      </c>
      <c r="BA122" s="41">
        <f t="shared" ca="1" si="92"/>
        <v>0</v>
      </c>
      <c r="BB122" s="41">
        <f t="shared" ca="1" si="93"/>
        <v>1</v>
      </c>
      <c r="BC122" s="41">
        <f t="shared" ca="1" si="94"/>
        <v>1</v>
      </c>
      <c r="BD122" s="41">
        <f t="shared" ca="1" si="95"/>
        <v>1</v>
      </c>
    </row>
    <row r="123" spans="1:56" ht="15" customHeight="1" x14ac:dyDescent="0.3">
      <c r="A123" s="41">
        <v>116</v>
      </c>
      <c r="B123" s="42">
        <f t="shared" ca="1" si="77"/>
        <v>0.71116844548404601</v>
      </c>
      <c r="C123" s="43">
        <f ca="1">IF(B123&lt;=Inputs!$C$40,Inputs!$D$40,IF(B123&lt;=Inputs!$C$41,Inputs!$D$41,Inputs!$D$42))</f>
        <v>1</v>
      </c>
      <c r="D123" s="42">
        <f t="shared" ca="1" si="98"/>
        <v>0.78303354223239952</v>
      </c>
      <c r="E123" s="42">
        <f t="shared" ca="1" si="98"/>
        <v>0.52749905863727997</v>
      </c>
      <c r="F123" s="42">
        <f t="shared" ca="1" si="98"/>
        <v>0.21763456327874897</v>
      </c>
      <c r="G123" s="42">
        <f t="shared" ca="1" si="98"/>
        <v>0.6693070429475263</v>
      </c>
      <c r="H123" s="42">
        <f t="shared" ca="1" si="98"/>
        <v>0.70209512042142852</v>
      </c>
      <c r="I123" s="42">
        <f t="shared" ca="1" si="98"/>
        <v>0.9358276725035185</v>
      </c>
      <c r="J123" s="43">
        <f ca="1">IF(I123&lt;Inputs!$B$54,1+Inputs!$B$55,1)</f>
        <v>1</v>
      </c>
      <c r="K123" s="42">
        <f t="shared" ca="1" si="99"/>
        <v>0.62520806209112234</v>
      </c>
      <c r="L123" s="42">
        <f t="shared" ca="1" si="99"/>
        <v>0.73126412415918296</v>
      </c>
      <c r="M123" s="42">
        <f t="shared" ca="1" si="99"/>
        <v>0.46438839305061408</v>
      </c>
      <c r="N123" s="42">
        <f t="shared" ca="1" si="99"/>
        <v>0.45989120395689953</v>
      </c>
      <c r="O123" s="42">
        <f t="shared" ca="1" si="99"/>
        <v>0.79646897180172593</v>
      </c>
      <c r="P123" s="42">
        <f t="shared" ca="1" si="99"/>
        <v>0.79352374419361937</v>
      </c>
      <c r="Q123" s="42">
        <f t="shared" ca="1" si="99"/>
        <v>0.383320386122458</v>
      </c>
      <c r="R123" s="42">
        <f t="shared" ca="1" si="99"/>
        <v>0.16386517705025561</v>
      </c>
      <c r="S123" s="42">
        <f t="shared" ca="1" si="99"/>
        <v>0.80806441552115571</v>
      </c>
      <c r="T123" s="42">
        <f t="shared" ca="1" si="99"/>
        <v>0.23113475895996549</v>
      </c>
      <c r="U123" s="44">
        <f ca="1">(IF(D123&gt;=Inputs!$E$12,1,IF(K123&lt;=Inputs!$C$46,Inputs!$D$46,IF(K123&lt;=Inputs!$C$47,Inputs!$D$47,Inputs!$D$48))))*((Inputs!$B$28+(P123-0.5)*2*Inputs!$B$53)/Inputs!$B$28)</f>
        <v>1.0029708880991257</v>
      </c>
      <c r="V123" s="44">
        <f ca="1">(IF(E123&gt;=Inputs!$E$13,1,IF(L123&lt;=Inputs!$C$46,Inputs!$D$46,IF(L123&lt;=Inputs!$C$47,Inputs!$D$47,Inputs!$D$48))))*((Inputs!$B$29+(Q123-0.5)*2*Inputs!$B$53)/Inputs!$B$29)</f>
        <v>0.99882379421494405</v>
      </c>
      <c r="W123" s="44">
        <f ca="1">(IF(F123&gt;=Inputs!$E$14,1,IF(M123&lt;=Inputs!$C$46,Inputs!$D$46,IF(M123&lt;=Inputs!$C$47,Inputs!$D$47,Inputs!$D$48))))*((Inputs!$B$30+(R123-0.5)*2*Inputs!$B$53)/Inputs!$B$30)</f>
        <v>0.99662176057336949</v>
      </c>
      <c r="X123" s="44">
        <f ca="1">(IF(G123&gt;=Inputs!$E$15,1,IF(N123&lt;=Inputs!$C$46,Inputs!$D$46,IF(N123&lt;=Inputs!$C$47,Inputs!$D$47,Inputs!$D$48))))*((Inputs!$B$31+(S123-0.5)*2*Inputs!$B$53)/Inputs!$B$31)</f>
        <v>1.0031275575179812</v>
      </c>
      <c r="Y123" s="44">
        <f ca="1">(IF(H123&gt;=Inputs!$E$16,1,IF(O123&lt;=Inputs!$C$46,Inputs!$D$46,IF(O123&lt;=Inputs!$C$47,Inputs!$D$47,Inputs!$D$48))))*((Inputs!$B$32+(T123-0.5)*2*Inputs!$B$53)/Inputs!$B$32)</f>
        <v>0.99729511829939599</v>
      </c>
      <c r="Z123" s="45">
        <f ca="1">ILP_B_Moderate!$C$9*U123+ILP_B_Moderate!$C$10*V123+ILP_B_Moderate!$C$11*W123+ILP_B_Moderate!$C$12*X123+ILP_B_Moderate!$C$13*Y123</f>
        <v>18038.828463034413</v>
      </c>
      <c r="AA123" s="45">
        <f ca="1">ILP_B_Moderate!$D$9*U123+ILP_B_Moderate!$D$10*V123+ILP_B_Moderate!$D$11*W123+ILP_B_Moderate!$D$12*X123+ILP_B_Moderate!$D$13*Y123</f>
        <v>15013.901925116697</v>
      </c>
      <c r="AB123" s="45">
        <f ca="1">ILP_B_Moderate!$E$9*U123+ILP_B_Moderate!$E$10*V123+ILP_B_Moderate!$E$11*W123+ILP_B_Moderate!$E$12*X123+ILP_B_Moderate!$E$13*Y123</f>
        <v>12005.442186994649</v>
      </c>
      <c r="AC123" s="45">
        <f ca="1">Inputs!$B$6*$C123</f>
        <v>18000</v>
      </c>
      <c r="AD123" s="45">
        <f ca="1">Inputs!$B$7*$C123</f>
        <v>15000</v>
      </c>
      <c r="AE123" s="45">
        <f ca="1">Inputs!$B$8*$C123</f>
        <v>12000</v>
      </c>
      <c r="AF123" s="45">
        <f t="shared" ca="1" si="78"/>
        <v>0</v>
      </c>
      <c r="AG123" s="45">
        <f t="shared" ca="1" si="79"/>
        <v>0</v>
      </c>
      <c r="AH123" s="45">
        <f t="shared" ca="1" si="80"/>
        <v>0</v>
      </c>
      <c r="AI123" s="45">
        <f t="shared" ca="1" si="81"/>
        <v>0</v>
      </c>
      <c r="AJ123" s="45">
        <f ca="1">U123*(Inputs!$B$12-ILP_B_Moderate!$F$9)+V123*(Inputs!$B$13-ILP_B_Moderate!$F$10)+W123*(Inputs!$B$14-ILP_B_Moderate!$F$11)+X123*(Inputs!$B$15-ILP_B_Moderate!$F$12)+Y123*(Inputs!$B$16-ILP_B_Moderate!$F$13)</f>
        <v>24925.935105609991</v>
      </c>
      <c r="AK123" s="45">
        <f t="shared" ca="1" si="82"/>
        <v>0</v>
      </c>
      <c r="AL123" s="45">
        <f t="shared" ca="1" si="83"/>
        <v>0</v>
      </c>
      <c r="AM123" s="45">
        <f t="shared" ca="1" si="84"/>
        <v>0</v>
      </c>
      <c r="AN123" s="45">
        <f t="shared" ca="1" si="85"/>
        <v>0</v>
      </c>
      <c r="AO123" s="45">
        <f ca="1">MIN(AL123,Inputs!$B$36)</f>
        <v>0</v>
      </c>
      <c r="AP123" s="45">
        <f ca="1">MIN(AN123,Inputs!$B$36-AO123)</f>
        <v>0</v>
      </c>
      <c r="AQ123" s="45">
        <f ca="1">MIN(AM123,Inputs!$B$36-AO123-AP123)</f>
        <v>0</v>
      </c>
      <c r="AR123" s="45">
        <f t="shared" ca="1" si="86"/>
        <v>0</v>
      </c>
      <c r="AS123" s="45">
        <f t="shared" ca="1" si="87"/>
        <v>0</v>
      </c>
      <c r="AT123" s="45">
        <f t="shared" ca="1" si="88"/>
        <v>0</v>
      </c>
      <c r="AU123" s="45">
        <f t="shared" ca="1" si="89"/>
        <v>0</v>
      </c>
      <c r="AV123" s="46">
        <f ca="1">AU123*Inputs!$B$35</f>
        <v>0</v>
      </c>
      <c r="AW123" s="46">
        <f ca="1">AR123*Inputs!$C$6+AT123*Inputs!$C$7+AS123*Inputs!$C$8</f>
        <v>0</v>
      </c>
      <c r="AX123" s="46">
        <f t="shared" ca="1" si="90"/>
        <v>47629441.899638474</v>
      </c>
      <c r="AY123" s="46">
        <f ca="1">IF(J123&gt;1,($CD$4)*Inputs!$B$55*((Z123+AA123+AB123)/(SUM(ILP_B_Moderate!$C$9:$E$13))),0)</f>
        <v>0</v>
      </c>
      <c r="AZ123" s="46">
        <f t="shared" ca="1" si="91"/>
        <v>0</v>
      </c>
      <c r="BA123" s="41">
        <f t="shared" ca="1" si="92"/>
        <v>0</v>
      </c>
      <c r="BB123" s="41">
        <f t="shared" ca="1" si="93"/>
        <v>1</v>
      </c>
      <c r="BC123" s="41">
        <f t="shared" ca="1" si="94"/>
        <v>1</v>
      </c>
      <c r="BD123" s="41">
        <f t="shared" ca="1" si="95"/>
        <v>1</v>
      </c>
    </row>
    <row r="124" spans="1:56" ht="15" customHeight="1" x14ac:dyDescent="0.3">
      <c r="A124" s="41">
        <v>117</v>
      </c>
      <c r="B124" s="42">
        <f t="shared" ca="1" si="77"/>
        <v>0.79697073779606342</v>
      </c>
      <c r="C124" s="43">
        <f ca="1">IF(B124&lt;=Inputs!$C$40,Inputs!$D$40,IF(B124&lt;=Inputs!$C$41,Inputs!$D$41,Inputs!$D$42))</f>
        <v>1.1499999999999999</v>
      </c>
      <c r="D124" s="42">
        <f t="shared" ca="1" si="98"/>
        <v>0.52767255461784646</v>
      </c>
      <c r="E124" s="42">
        <f t="shared" ca="1" si="98"/>
        <v>0.30850873982555271</v>
      </c>
      <c r="F124" s="42">
        <f t="shared" ca="1" si="98"/>
        <v>0.92428936577460086</v>
      </c>
      <c r="G124" s="42">
        <f t="shared" ca="1" si="98"/>
        <v>0.82346743876285111</v>
      </c>
      <c r="H124" s="42">
        <f t="shared" ca="1" si="98"/>
        <v>0.76955985347715938</v>
      </c>
      <c r="I124" s="42">
        <f t="shared" ca="1" si="98"/>
        <v>0.25140999948178377</v>
      </c>
      <c r="J124" s="43">
        <f ca="1">IF(I124&lt;Inputs!$B$54,1+Inputs!$B$55,1)</f>
        <v>1</v>
      </c>
      <c r="K124" s="42">
        <f t="shared" ca="1" si="99"/>
        <v>0.5749127243420985</v>
      </c>
      <c r="L124" s="42">
        <f t="shared" ca="1" si="99"/>
        <v>0.27010588968894012</v>
      </c>
      <c r="M124" s="42">
        <f t="shared" ca="1" si="99"/>
        <v>0.97080269345963821</v>
      </c>
      <c r="N124" s="42">
        <f t="shared" ca="1" si="99"/>
        <v>0.3645088832965484</v>
      </c>
      <c r="O124" s="42">
        <f t="shared" ca="1" si="99"/>
        <v>0.61299886492410471</v>
      </c>
      <c r="P124" s="42">
        <f t="shared" ca="1" si="99"/>
        <v>0.20817991655238866</v>
      </c>
      <c r="Q124" s="42">
        <f t="shared" ca="1" si="99"/>
        <v>0.5904452758579648</v>
      </c>
      <c r="R124" s="42">
        <f t="shared" ca="1" si="99"/>
        <v>0.93433930560606071</v>
      </c>
      <c r="S124" s="42">
        <f t="shared" ca="1" si="99"/>
        <v>0.83877641937842995</v>
      </c>
      <c r="T124" s="42">
        <f t="shared" ca="1" si="99"/>
        <v>0.79970288168758374</v>
      </c>
      <c r="U124" s="44">
        <f ca="1">(IF(D124&gt;=Inputs!$E$12,1,IF(K124&lt;=Inputs!$C$46,Inputs!$D$46,IF(K124&lt;=Inputs!$C$47,Inputs!$D$47,Inputs!$D$48))))*((Inputs!$B$28+(P124-0.5)*2*Inputs!$B$53)/Inputs!$B$28)</f>
        <v>0.9970463554306922</v>
      </c>
      <c r="V124" s="44">
        <f ca="1">(IF(E124&gt;=Inputs!$E$13,1,IF(L124&lt;=Inputs!$C$46,Inputs!$D$46,IF(L124&lt;=Inputs!$C$47,Inputs!$D$47,Inputs!$D$48))))*((Inputs!$B$29+(Q124-0.5)*2*Inputs!$B$53)/Inputs!$B$29)</f>
        <v>1.0009117467324391</v>
      </c>
      <c r="W124" s="44">
        <f ca="1">(IF(F124&gt;=Inputs!$E$14,1,IF(M124&lt;=Inputs!$C$46,Inputs!$D$46,IF(M124&lt;=Inputs!$C$47,Inputs!$D$47,Inputs!$D$48))))*((Inputs!$B$30+(R124-0.5)*2*Inputs!$B$53)/Inputs!$B$30)</f>
        <v>1.0043652191518198</v>
      </c>
      <c r="X124" s="44">
        <f ca="1">(IF(G124&gt;=Inputs!$E$15,1,IF(N124&lt;=Inputs!$C$46,Inputs!$D$46,IF(N124&lt;=Inputs!$C$47,Inputs!$D$47,Inputs!$D$48))))*((Inputs!$B$31+(S124-0.5)*2*Inputs!$B$53)/Inputs!$B$31)</f>
        <v>1.0034393545114562</v>
      </c>
      <c r="Y124" s="44">
        <f ca="1">(IF(H124&gt;=Inputs!$E$16,1,IF(O124&lt;=Inputs!$C$46,Inputs!$D$46,IF(O124&lt;=Inputs!$C$47,Inputs!$D$47,Inputs!$D$48))))*((Inputs!$B$32+(T124-0.5)*2*Inputs!$B$53)/Inputs!$B$32)</f>
        <v>1.0030151195340802</v>
      </c>
      <c r="Z124" s="45">
        <f ca="1">ILP_B_Moderate!$C$9*U124+ILP_B_Moderate!$C$10*V124+ILP_B_Moderate!$C$11*W124+ILP_B_Moderate!$C$12*X124+ILP_B_Moderate!$C$13*Y124</f>
        <v>18019.338184599699</v>
      </c>
      <c r="AA124" s="45">
        <f ca="1">ILP_B_Moderate!$D$9*U124+ILP_B_Moderate!$D$10*V124+ILP_B_Moderate!$D$11*W124+ILP_B_Moderate!$D$12*X124+ILP_B_Moderate!$D$13*Y124</f>
        <v>15002.714023631241</v>
      </c>
      <c r="AB124" s="45">
        <f ca="1">ILP_B_Moderate!$E$9*U124+ILP_B_Moderate!$E$10*V124+ILP_B_Moderate!$E$11*W124+ILP_B_Moderate!$E$12*X124+ILP_B_Moderate!$E$13*Y124</f>
        <v>11995.076763819707</v>
      </c>
      <c r="AC124" s="45">
        <f ca="1">Inputs!$B$6*$C124</f>
        <v>20700</v>
      </c>
      <c r="AD124" s="45">
        <f ca="1">Inputs!$B$7*$C124</f>
        <v>17250</v>
      </c>
      <c r="AE124" s="45">
        <f ca="1">Inputs!$B$8*$C124</f>
        <v>13799.999999999998</v>
      </c>
      <c r="AF124" s="45">
        <f t="shared" ca="1" si="78"/>
        <v>2680.6618154003008</v>
      </c>
      <c r="AG124" s="45">
        <f t="shared" ca="1" si="79"/>
        <v>2247.2859763687593</v>
      </c>
      <c r="AH124" s="45">
        <f t="shared" ca="1" si="80"/>
        <v>1804.9232361802915</v>
      </c>
      <c r="AI124" s="45">
        <f t="shared" ca="1" si="81"/>
        <v>6732.8710279493516</v>
      </c>
      <c r="AJ124" s="45">
        <f ca="1">U124*(Inputs!$B$12-ILP_B_Moderate!$F$9)+V124*(Inputs!$B$13-ILP_B_Moderate!$F$10)+W124*(Inputs!$B$14-ILP_B_Moderate!$F$11)+X124*(Inputs!$B$15-ILP_B_Moderate!$F$12)+Y124*(Inputs!$B$16-ILP_B_Moderate!$F$13)</f>
        <v>25091.624065216914</v>
      </c>
      <c r="AK124" s="45">
        <f t="shared" ca="1" si="82"/>
        <v>6732.8710279493516</v>
      </c>
      <c r="AL124" s="45">
        <f t="shared" ca="1" si="83"/>
        <v>0</v>
      </c>
      <c r="AM124" s="45">
        <f t="shared" ca="1" si="84"/>
        <v>0</v>
      </c>
      <c r="AN124" s="45">
        <f t="shared" ca="1" si="85"/>
        <v>0</v>
      </c>
      <c r="AO124" s="45">
        <f ca="1">MIN(AL124,Inputs!$B$36)</f>
        <v>0</v>
      </c>
      <c r="AP124" s="45">
        <f ca="1">MIN(AN124,Inputs!$B$36-AO124)</f>
        <v>0</v>
      </c>
      <c r="AQ124" s="45">
        <f ca="1">MIN(AM124,Inputs!$B$36-AO124-AP124)</f>
        <v>0</v>
      </c>
      <c r="AR124" s="45">
        <f t="shared" ca="1" si="86"/>
        <v>0</v>
      </c>
      <c r="AS124" s="45">
        <f t="shared" ca="1" si="87"/>
        <v>0</v>
      </c>
      <c r="AT124" s="45">
        <f t="shared" ca="1" si="88"/>
        <v>0</v>
      </c>
      <c r="AU124" s="45">
        <f t="shared" ca="1" si="89"/>
        <v>0</v>
      </c>
      <c r="AV124" s="46">
        <f ca="1">AU124*Inputs!$B$35</f>
        <v>0</v>
      </c>
      <c r="AW124" s="46">
        <f ca="1">AR124*Inputs!$C$6+AT124*Inputs!$C$7+AS124*Inputs!$C$8</f>
        <v>0</v>
      </c>
      <c r="AX124" s="46">
        <f t="shared" ca="1" si="90"/>
        <v>47586147.216463044</v>
      </c>
      <c r="AY124" s="46">
        <f ca="1">IF(J124&gt;1,($CD$4)*Inputs!$B$55*((Z124+AA124+AB124)/(SUM(ILP_B_Moderate!$C$9:$E$13))),0)</f>
        <v>0</v>
      </c>
      <c r="AZ124" s="46">
        <f t="shared" ca="1" si="91"/>
        <v>0</v>
      </c>
      <c r="BA124" s="41">
        <f t="shared" ca="1" si="92"/>
        <v>0</v>
      </c>
      <c r="BB124" s="41">
        <f t="shared" ca="1" si="93"/>
        <v>1</v>
      </c>
      <c r="BC124" s="41">
        <f t="shared" ca="1" si="94"/>
        <v>1</v>
      </c>
      <c r="BD124" s="41">
        <f t="shared" ca="1" si="95"/>
        <v>1</v>
      </c>
    </row>
    <row r="125" spans="1:56" ht="15" customHeight="1" x14ac:dyDescent="0.3">
      <c r="A125" s="41">
        <v>118</v>
      </c>
      <c r="B125" s="42">
        <f t="shared" ca="1" si="77"/>
        <v>0.54760803694307214</v>
      </c>
      <c r="C125" s="43">
        <f ca="1">IF(B125&lt;=Inputs!$C$40,Inputs!$D$40,IF(B125&lt;=Inputs!$C$41,Inputs!$D$41,Inputs!$D$42))</f>
        <v>1</v>
      </c>
      <c r="D125" s="42">
        <f t="shared" ca="1" si="98"/>
        <v>0.33819122811713986</v>
      </c>
      <c r="E125" s="42">
        <f t="shared" ca="1" si="98"/>
        <v>0.89703704560286657</v>
      </c>
      <c r="F125" s="42">
        <f t="shared" ca="1" si="98"/>
        <v>9.62188354539667E-2</v>
      </c>
      <c r="G125" s="42">
        <f t="shared" ca="1" si="98"/>
        <v>0.43466935462766076</v>
      </c>
      <c r="H125" s="42">
        <f t="shared" ca="1" si="98"/>
        <v>0.36283817464163415</v>
      </c>
      <c r="I125" s="42">
        <f t="shared" ca="1" si="98"/>
        <v>0.21500297679987457</v>
      </c>
      <c r="J125" s="43">
        <f ca="1">IF(I125&lt;Inputs!$B$54,1+Inputs!$B$55,1)</f>
        <v>1</v>
      </c>
      <c r="K125" s="42">
        <f t="shared" ca="1" si="99"/>
        <v>0.39507715875695548</v>
      </c>
      <c r="L125" s="42">
        <f t="shared" ca="1" si="99"/>
        <v>2.5130009662307051E-2</v>
      </c>
      <c r="M125" s="42">
        <f t="shared" ca="1" si="99"/>
        <v>0.411610378875368</v>
      </c>
      <c r="N125" s="42">
        <f t="shared" ca="1" si="99"/>
        <v>0.94359303280639195</v>
      </c>
      <c r="O125" s="42">
        <f t="shared" ca="1" si="99"/>
        <v>0.77848416398857545</v>
      </c>
      <c r="P125" s="42">
        <f t="shared" ca="1" si="99"/>
        <v>0.22241596627625748</v>
      </c>
      <c r="Q125" s="42">
        <f t="shared" ca="1" si="99"/>
        <v>0.92065939932961716</v>
      </c>
      <c r="R125" s="42">
        <f t="shared" ca="1" si="99"/>
        <v>0.85731944364437684</v>
      </c>
      <c r="S125" s="42">
        <f t="shared" ca="1" si="99"/>
        <v>0.72356129902824362</v>
      </c>
      <c r="T125" s="42">
        <f t="shared" ca="1" si="99"/>
        <v>0.1886080660131475</v>
      </c>
      <c r="U125" s="44">
        <f ca="1">(IF(D125&gt;=Inputs!$E$12,1,IF(K125&lt;=Inputs!$C$46,Inputs!$D$46,IF(K125&lt;=Inputs!$C$47,Inputs!$D$47,Inputs!$D$48))))*((Inputs!$B$28+(P125-0.5)*2*Inputs!$B$53)/Inputs!$B$28)</f>
        <v>0.99719044500279608</v>
      </c>
      <c r="V125" s="44">
        <f ca="1">(IF(E125&gt;=Inputs!$E$13,1,IF(L125&lt;=Inputs!$C$46,Inputs!$D$46,IF(L125&lt;=Inputs!$C$47,Inputs!$D$47,Inputs!$D$48))))*((Inputs!$B$29+(Q125-0.5)*2*Inputs!$B$53)/Inputs!$B$29)</f>
        <v>1.0042405181384033</v>
      </c>
      <c r="W125" s="44">
        <f ca="1">(IF(F125&gt;=Inputs!$E$14,1,IF(M125&lt;=Inputs!$C$46,Inputs!$D$46,IF(M125&lt;=Inputs!$C$47,Inputs!$D$47,Inputs!$D$48))))*((Inputs!$B$30+(R125-0.5)*2*Inputs!$B$53)/Inputs!$B$30)</f>
        <v>1.0035911501873807</v>
      </c>
      <c r="X125" s="44">
        <f ca="1">(IF(G125&gt;=Inputs!$E$15,1,IF(N125&lt;=Inputs!$C$46,Inputs!$D$46,IF(N125&lt;=Inputs!$C$47,Inputs!$D$47,Inputs!$D$48))))*((Inputs!$B$31+(S125-0.5)*2*Inputs!$B$53)/Inputs!$B$31)</f>
        <v>1.0022696578581547</v>
      </c>
      <c r="Y125" s="44">
        <f ca="1">(IF(H125&gt;=Inputs!$E$16,1,IF(O125&lt;=Inputs!$C$46,Inputs!$D$46,IF(O125&lt;=Inputs!$C$47,Inputs!$D$47,Inputs!$D$48))))*((Inputs!$B$32+(T125-0.5)*2*Inputs!$B$53)/Inputs!$B$32)</f>
        <v>0.99686728436632954</v>
      </c>
      <c r="Z125" s="45">
        <f ca="1">ILP_B_Moderate!$C$9*U125+ILP_B_Moderate!$C$10*V125+ILP_B_Moderate!$C$11*W125+ILP_B_Moderate!$C$12*X125+ILP_B_Moderate!$C$13*Y125</f>
        <v>18022.438808929626</v>
      </c>
      <c r="AA125" s="45">
        <f ca="1">ILP_B_Moderate!$D$9*U125+ILP_B_Moderate!$D$10*V125+ILP_B_Moderate!$D$11*W125+ILP_B_Moderate!$D$12*X125+ILP_B_Moderate!$D$13*Y125</f>
        <v>15025.055603811106</v>
      </c>
      <c r="AB125" s="45">
        <f ca="1">ILP_B_Moderate!$E$9*U125+ILP_B_Moderate!$E$10*V125+ILP_B_Moderate!$E$11*W125+ILP_B_Moderate!$E$12*X125+ILP_B_Moderate!$E$13*Y125</f>
        <v>11982.897432385291</v>
      </c>
      <c r="AC125" s="45">
        <f ca="1">Inputs!$B$6*$C125</f>
        <v>18000</v>
      </c>
      <c r="AD125" s="45">
        <f ca="1">Inputs!$B$7*$C125</f>
        <v>15000</v>
      </c>
      <c r="AE125" s="45">
        <f ca="1">Inputs!$B$8*$C125</f>
        <v>12000</v>
      </c>
      <c r="AF125" s="45">
        <f t="shared" ca="1" si="78"/>
        <v>0</v>
      </c>
      <c r="AG125" s="45">
        <f t="shared" ca="1" si="79"/>
        <v>0</v>
      </c>
      <c r="AH125" s="45">
        <f t="shared" ca="1" si="80"/>
        <v>17.102567614709187</v>
      </c>
      <c r="AI125" s="45">
        <f t="shared" ca="1" si="81"/>
        <v>17.102567614709187</v>
      </c>
      <c r="AJ125" s="45">
        <f ca="1">U125*(Inputs!$B$12-ILP_B_Moderate!$F$9)+V125*(Inputs!$B$13-ILP_B_Moderate!$F$10)+W125*(Inputs!$B$14-ILP_B_Moderate!$F$11)+X125*(Inputs!$B$15-ILP_B_Moderate!$F$12)+Y125*(Inputs!$B$16-ILP_B_Moderate!$F$13)</f>
        <v>25010.952641085103</v>
      </c>
      <c r="AK125" s="45">
        <f t="shared" ca="1" si="82"/>
        <v>17.102567614709187</v>
      </c>
      <c r="AL125" s="45">
        <f t="shared" ca="1" si="83"/>
        <v>0</v>
      </c>
      <c r="AM125" s="45">
        <f t="shared" ca="1" si="84"/>
        <v>0</v>
      </c>
      <c r="AN125" s="45">
        <f t="shared" ca="1" si="85"/>
        <v>0</v>
      </c>
      <c r="AO125" s="45">
        <f ca="1">MIN(AL125,Inputs!$B$36)</f>
        <v>0</v>
      </c>
      <c r="AP125" s="45">
        <f ca="1">MIN(AN125,Inputs!$B$36-AO125)</f>
        <v>0</v>
      </c>
      <c r="AQ125" s="45">
        <f ca="1">MIN(AM125,Inputs!$B$36-AO125-AP125)</f>
        <v>0</v>
      </c>
      <c r="AR125" s="45">
        <f t="shared" ca="1" si="86"/>
        <v>0</v>
      </c>
      <c r="AS125" s="45">
        <f t="shared" ca="1" si="87"/>
        <v>0</v>
      </c>
      <c r="AT125" s="45">
        <f t="shared" ca="1" si="88"/>
        <v>0</v>
      </c>
      <c r="AU125" s="45">
        <f t="shared" ca="1" si="89"/>
        <v>0</v>
      </c>
      <c r="AV125" s="46">
        <f ca="1">AU125*Inputs!$B$35</f>
        <v>0</v>
      </c>
      <c r="AW125" s="46">
        <f ca="1">AR125*Inputs!$C$6+AT125*Inputs!$C$7+AS125*Inputs!$C$8</f>
        <v>0</v>
      </c>
      <c r="AX125" s="46">
        <f t="shared" ca="1" si="90"/>
        <v>47599431.929893576</v>
      </c>
      <c r="AY125" s="46">
        <f ca="1">IF(J125&gt;1,($CD$4)*Inputs!$B$55*((Z125+AA125+AB125)/(SUM(ILP_B_Moderate!$C$9:$E$13))),0)</f>
        <v>0</v>
      </c>
      <c r="AZ125" s="46">
        <f t="shared" ca="1" si="91"/>
        <v>0</v>
      </c>
      <c r="BA125" s="41">
        <f t="shared" ca="1" si="92"/>
        <v>0</v>
      </c>
      <c r="BB125" s="41">
        <f t="shared" ca="1" si="93"/>
        <v>1</v>
      </c>
      <c r="BC125" s="41">
        <f t="shared" ca="1" si="94"/>
        <v>1</v>
      </c>
      <c r="BD125" s="41">
        <f t="shared" ca="1" si="95"/>
        <v>1</v>
      </c>
    </row>
    <row r="126" spans="1:56" ht="15" customHeight="1" x14ac:dyDescent="0.3">
      <c r="A126" s="41">
        <v>119</v>
      </c>
      <c r="B126" s="42">
        <f t="shared" ca="1" si="77"/>
        <v>0.95611332679488792</v>
      </c>
      <c r="C126" s="43">
        <f ca="1">IF(B126&lt;=Inputs!$C$40,Inputs!$D$40,IF(B126&lt;=Inputs!$C$41,Inputs!$D$41,Inputs!$D$42))</f>
        <v>1.1499999999999999</v>
      </c>
      <c r="D126" s="42">
        <f t="shared" ca="1" si="98"/>
        <v>0.93035840270596448</v>
      </c>
      <c r="E126" s="42">
        <f t="shared" ca="1" si="98"/>
        <v>0.52885507077375327</v>
      </c>
      <c r="F126" s="42">
        <f t="shared" ca="1" si="98"/>
        <v>0.21709275002089135</v>
      </c>
      <c r="G126" s="42">
        <f t="shared" ca="1" si="98"/>
        <v>0.85167931412929332</v>
      </c>
      <c r="H126" s="42">
        <f t="shared" ca="1" si="98"/>
        <v>0.9504957696375802</v>
      </c>
      <c r="I126" s="42">
        <f t="shared" ca="1" si="98"/>
        <v>0.64426810855805927</v>
      </c>
      <c r="J126" s="43">
        <f ca="1">IF(I126&lt;Inputs!$B$54,1+Inputs!$B$55,1)</f>
        <v>1</v>
      </c>
      <c r="K126" s="42">
        <f t="shared" ca="1" si="99"/>
        <v>0.73720816912124831</v>
      </c>
      <c r="L126" s="42">
        <f t="shared" ca="1" si="99"/>
        <v>0.71141978324063571</v>
      </c>
      <c r="M126" s="42">
        <f t="shared" ca="1" si="99"/>
        <v>0.28608558438995113</v>
      </c>
      <c r="N126" s="42">
        <f t="shared" ca="1" si="99"/>
        <v>0.24472145440268323</v>
      </c>
      <c r="O126" s="42">
        <f t="shared" ca="1" si="99"/>
        <v>0.39567133931055365</v>
      </c>
      <c r="P126" s="42">
        <f t="shared" ca="1" si="99"/>
        <v>0.33048344413468134</v>
      </c>
      <c r="Q126" s="42">
        <f t="shared" ca="1" si="99"/>
        <v>0.57011459639898798</v>
      </c>
      <c r="R126" s="42">
        <f t="shared" ca="1" si="99"/>
        <v>0.85711140144741127</v>
      </c>
      <c r="S126" s="42">
        <f t="shared" ca="1" si="99"/>
        <v>0.24172842575514886</v>
      </c>
      <c r="T126" s="42">
        <f t="shared" ca="1" si="99"/>
        <v>0.38036182575477606</v>
      </c>
      <c r="U126" s="44">
        <f ca="1">(IF(D126&gt;=Inputs!$E$12,1,IF(K126&lt;=Inputs!$C$46,Inputs!$D$46,IF(K126&lt;=Inputs!$C$47,Inputs!$D$47,Inputs!$D$48))))*((Inputs!$B$28+(P126-0.5)*2*Inputs!$B$53)/Inputs!$B$28)</f>
        <v>0.99828424538597849</v>
      </c>
      <c r="V126" s="44">
        <f ca="1">(IF(E126&gt;=Inputs!$E$13,1,IF(L126&lt;=Inputs!$C$46,Inputs!$D$46,IF(L126&lt;=Inputs!$C$47,Inputs!$D$47,Inputs!$D$48))))*((Inputs!$B$29+(Q126-0.5)*2*Inputs!$B$53)/Inputs!$B$29)</f>
        <v>1.0007068003669253</v>
      </c>
      <c r="W126" s="44">
        <f ca="1">(IF(F126&gt;=Inputs!$E$14,1,IF(M126&lt;=Inputs!$C$46,Inputs!$D$46,IF(M126&lt;=Inputs!$C$47,Inputs!$D$47,Inputs!$D$48))))*((Inputs!$B$30+(R126-0.5)*2*Inputs!$B$53)/Inputs!$B$30)</f>
        <v>1.0035890593110293</v>
      </c>
      <c r="X126" s="44">
        <f ca="1">(IF(G126&gt;=Inputs!$E$15,1,IF(N126&lt;=Inputs!$C$46,Inputs!$D$46,IF(N126&lt;=Inputs!$C$47,Inputs!$D$47,Inputs!$D$48))))*((Inputs!$B$31+(S126-0.5)*2*Inputs!$B$53)/Inputs!$B$31)</f>
        <v>0.99737795356096604</v>
      </c>
      <c r="Y126" s="44">
        <f ca="1">(IF(H126&gt;=Inputs!$E$16,1,IF(O126&lt;=Inputs!$C$46,Inputs!$D$46,IF(O126&lt;=Inputs!$C$47,Inputs!$D$47,Inputs!$D$48))))*((Inputs!$B$32+(T126-0.5)*2*Inputs!$B$53)/Inputs!$B$32)</f>
        <v>0.99879639663737196</v>
      </c>
      <c r="Z126" s="45">
        <f ca="1">ILP_B_Moderate!$C$9*U126+ILP_B_Moderate!$C$10*V126+ILP_B_Moderate!$C$11*W126+ILP_B_Moderate!$C$12*X126+ILP_B_Moderate!$C$13*Y126</f>
        <v>17970.339923408726</v>
      </c>
      <c r="AA126" s="45">
        <f ca="1">ILP_B_Moderate!$D$9*U126+ILP_B_Moderate!$D$10*V126+ILP_B_Moderate!$D$11*W126+ILP_B_Moderate!$D$12*X126+ILP_B_Moderate!$D$13*Y126</f>
        <v>14989.877100200243</v>
      </c>
      <c r="AB126" s="45">
        <f ca="1">ILP_B_Moderate!$E$9*U126+ILP_B_Moderate!$E$10*V126+ILP_B_Moderate!$E$11*W126+ILP_B_Moderate!$E$12*X126+ILP_B_Moderate!$E$13*Y126</f>
        <v>11987.290427923659</v>
      </c>
      <c r="AC126" s="45">
        <f ca="1">Inputs!$B$6*$C126</f>
        <v>20700</v>
      </c>
      <c r="AD126" s="45">
        <f ca="1">Inputs!$B$7*$C126</f>
        <v>17250</v>
      </c>
      <c r="AE126" s="45">
        <f ca="1">Inputs!$B$8*$C126</f>
        <v>13799.999999999998</v>
      </c>
      <c r="AF126" s="45">
        <f t="shared" ca="1" si="78"/>
        <v>2729.6600765912735</v>
      </c>
      <c r="AG126" s="45">
        <f t="shared" ca="1" si="79"/>
        <v>2260.1228997997569</v>
      </c>
      <c r="AH126" s="45">
        <f t="shared" ca="1" si="80"/>
        <v>1812.7095720763391</v>
      </c>
      <c r="AI126" s="45">
        <f t="shared" ca="1" si="81"/>
        <v>6802.4925484673695</v>
      </c>
      <c r="AJ126" s="45">
        <f ca="1">U126*(Inputs!$B$12-ILP_B_Moderate!$F$9)+V126*(Inputs!$B$13-ILP_B_Moderate!$F$10)+W126*(Inputs!$B$14-ILP_B_Moderate!$F$11)+X126*(Inputs!$B$15-ILP_B_Moderate!$F$12)+Y126*(Inputs!$B$16-ILP_B_Moderate!$F$13)</f>
        <v>25032.074843115537</v>
      </c>
      <c r="AK126" s="45">
        <f t="shared" ca="1" si="82"/>
        <v>6802.4925484673695</v>
      </c>
      <c r="AL126" s="45">
        <f t="shared" ca="1" si="83"/>
        <v>0</v>
      </c>
      <c r="AM126" s="45">
        <f t="shared" ca="1" si="84"/>
        <v>0</v>
      </c>
      <c r="AN126" s="45">
        <f t="shared" ca="1" si="85"/>
        <v>0</v>
      </c>
      <c r="AO126" s="45">
        <f ca="1">MIN(AL126,Inputs!$B$36)</f>
        <v>0</v>
      </c>
      <c r="AP126" s="45">
        <f ca="1">MIN(AN126,Inputs!$B$36-AO126)</f>
        <v>0</v>
      </c>
      <c r="AQ126" s="45">
        <f ca="1">MIN(AM126,Inputs!$B$36-AO126-AP126)</f>
        <v>0</v>
      </c>
      <c r="AR126" s="45">
        <f t="shared" ca="1" si="86"/>
        <v>0</v>
      </c>
      <c r="AS126" s="45">
        <f t="shared" ca="1" si="87"/>
        <v>0</v>
      </c>
      <c r="AT126" s="45">
        <f t="shared" ca="1" si="88"/>
        <v>0</v>
      </c>
      <c r="AU126" s="45">
        <f t="shared" ca="1" si="89"/>
        <v>0</v>
      </c>
      <c r="AV126" s="46">
        <f ca="1">AU126*Inputs!$B$35</f>
        <v>0</v>
      </c>
      <c r="AW126" s="46">
        <f ca="1">AR126*Inputs!$C$6+AT126*Inputs!$C$7+AS126*Inputs!$C$8</f>
        <v>0</v>
      </c>
      <c r="AX126" s="46">
        <f t="shared" ca="1" si="90"/>
        <v>47513520.802578621</v>
      </c>
      <c r="AY126" s="46">
        <f ca="1">IF(J126&gt;1,($CD$4)*Inputs!$B$55*((Z126+AA126+AB126)/(SUM(ILP_B_Moderate!$C$9:$E$13))),0)</f>
        <v>0</v>
      </c>
      <c r="AZ126" s="46">
        <f t="shared" ca="1" si="91"/>
        <v>0</v>
      </c>
      <c r="BA126" s="41">
        <f t="shared" ca="1" si="92"/>
        <v>0</v>
      </c>
      <c r="BB126" s="41">
        <f t="shared" ca="1" si="93"/>
        <v>1</v>
      </c>
      <c r="BC126" s="41">
        <f t="shared" ca="1" si="94"/>
        <v>1</v>
      </c>
      <c r="BD126" s="41">
        <f t="shared" ca="1" si="95"/>
        <v>1</v>
      </c>
    </row>
    <row r="127" spans="1:56" ht="15" customHeight="1" x14ac:dyDescent="0.3">
      <c r="A127" s="41">
        <v>120</v>
      </c>
      <c r="B127" s="42">
        <f t="shared" ca="1" si="77"/>
        <v>0.43426242799546189</v>
      </c>
      <c r="C127" s="43">
        <f ca="1">IF(B127&lt;=Inputs!$C$40,Inputs!$D$40,IF(B127&lt;=Inputs!$C$41,Inputs!$D$41,Inputs!$D$42))</f>
        <v>1</v>
      </c>
      <c r="D127" s="42">
        <f t="shared" ca="1" si="98"/>
        <v>0.24873673355269166</v>
      </c>
      <c r="E127" s="42">
        <f t="shared" ca="1" si="98"/>
        <v>0.92399875473090221</v>
      </c>
      <c r="F127" s="42">
        <f t="shared" ca="1" si="98"/>
        <v>0.56871258970879324</v>
      </c>
      <c r="G127" s="42">
        <f t="shared" ca="1" si="98"/>
        <v>0.62183645336490401</v>
      </c>
      <c r="H127" s="42">
        <f t="shared" ca="1" si="98"/>
        <v>0.25762798152864419</v>
      </c>
      <c r="I127" s="42">
        <f t="shared" ca="1" si="98"/>
        <v>0.95478003577886783</v>
      </c>
      <c r="J127" s="43">
        <f ca="1">IF(I127&lt;Inputs!$B$54,1+Inputs!$B$55,1)</f>
        <v>1</v>
      </c>
      <c r="K127" s="42">
        <f t="shared" ca="1" si="99"/>
        <v>0.40979872733224398</v>
      </c>
      <c r="L127" s="42">
        <f t="shared" ca="1" si="99"/>
        <v>0.58791219277075779</v>
      </c>
      <c r="M127" s="42">
        <f t="shared" ca="1" si="99"/>
        <v>0.43094488616312043</v>
      </c>
      <c r="N127" s="42">
        <f t="shared" ca="1" si="99"/>
        <v>0.27227357520352724</v>
      </c>
      <c r="O127" s="42">
        <f t="shared" ca="1" si="99"/>
        <v>0.57515245718425312</v>
      </c>
      <c r="P127" s="42">
        <f t="shared" ca="1" si="99"/>
        <v>0.71142924435325727</v>
      </c>
      <c r="Q127" s="42">
        <f t="shared" ca="1" si="99"/>
        <v>0.54428587274048024</v>
      </c>
      <c r="R127" s="42">
        <f t="shared" ca="1" si="99"/>
        <v>0.18087524820337131</v>
      </c>
      <c r="S127" s="42">
        <f t="shared" ca="1" si="99"/>
        <v>0.59286926124494932</v>
      </c>
      <c r="T127" s="42">
        <f t="shared" ca="1" si="99"/>
        <v>0.30914132099908032</v>
      </c>
      <c r="U127" s="44">
        <f ca="1">(IF(D127&gt;=Inputs!$E$12,1,IF(K127&lt;=Inputs!$C$46,Inputs!$D$46,IF(K127&lt;=Inputs!$C$47,Inputs!$D$47,Inputs!$D$48))))*((Inputs!$B$28+(P127-0.5)*2*Inputs!$B$53)/Inputs!$B$28)</f>
        <v>1.0021399721088387</v>
      </c>
      <c r="V127" s="44">
        <f ca="1">(IF(E127&gt;=Inputs!$E$13,1,IF(L127&lt;=Inputs!$C$46,Inputs!$D$46,IF(L127&lt;=Inputs!$C$47,Inputs!$D$47,Inputs!$D$48))))*((Inputs!$B$29+(Q127-0.5)*2*Inputs!$B$53)/Inputs!$B$29)</f>
        <v>1.0004464301687548</v>
      </c>
      <c r="W127" s="44">
        <f ca="1">(IF(F127&gt;=Inputs!$E$14,1,IF(M127&lt;=Inputs!$C$46,Inputs!$D$46,IF(M127&lt;=Inputs!$C$47,Inputs!$D$47,Inputs!$D$48))))*((Inputs!$B$30+(R127-0.5)*2*Inputs!$B$53)/Inputs!$B$30)</f>
        <v>0.99679271606234543</v>
      </c>
      <c r="X127" s="44">
        <f ca="1">(IF(G127&gt;=Inputs!$E$15,1,IF(N127&lt;=Inputs!$C$46,Inputs!$D$46,IF(N127&lt;=Inputs!$C$47,Inputs!$D$47,Inputs!$D$48))))*((Inputs!$B$31+(S127-0.5)*2*Inputs!$B$53)/Inputs!$B$31)</f>
        <v>1.0009428351395426</v>
      </c>
      <c r="Y127" s="44">
        <f ca="1">(IF(H127&gt;=Inputs!$E$16,1,IF(O127&lt;=Inputs!$C$46,Inputs!$D$46,IF(O127&lt;=Inputs!$C$47,Inputs!$D$47,Inputs!$D$48))))*((Inputs!$B$32+(T127-0.5)*2*Inputs!$B$53)/Inputs!$B$32)</f>
        <v>0.9980798925653831</v>
      </c>
      <c r="Z127" s="45">
        <f ca="1">ILP_B_Moderate!$C$9*U127+ILP_B_Moderate!$C$10*V127+ILP_B_Moderate!$C$11*W127+ILP_B_Moderate!$C$12*X127+ILP_B_Moderate!$C$13*Y127</f>
        <v>18021.187870843427</v>
      </c>
      <c r="AA127" s="45">
        <f ca="1">ILP_B_Moderate!$D$9*U127+ILP_B_Moderate!$D$10*V127+ILP_B_Moderate!$D$11*W127+ILP_B_Moderate!$D$12*X127+ILP_B_Moderate!$D$13*Y127</f>
        <v>15016.022090828536</v>
      </c>
      <c r="AB127" s="45">
        <f ca="1">ILP_B_Moderate!$E$9*U127+ILP_B_Moderate!$E$10*V127+ILP_B_Moderate!$E$11*W127+ILP_B_Moderate!$E$12*X127+ILP_B_Moderate!$E$13*Y127</f>
        <v>12007.273396655415</v>
      </c>
      <c r="AC127" s="45">
        <f ca="1">Inputs!$B$6*$C127</f>
        <v>18000</v>
      </c>
      <c r="AD127" s="45">
        <f ca="1">Inputs!$B$7*$C127</f>
        <v>15000</v>
      </c>
      <c r="AE127" s="45">
        <f ca="1">Inputs!$B$8*$C127</f>
        <v>12000</v>
      </c>
      <c r="AF127" s="45">
        <f t="shared" ca="1" si="78"/>
        <v>0</v>
      </c>
      <c r="AG127" s="45">
        <f t="shared" ca="1" si="79"/>
        <v>0</v>
      </c>
      <c r="AH127" s="45">
        <f t="shared" ca="1" si="80"/>
        <v>0</v>
      </c>
      <c r="AI127" s="45">
        <f t="shared" ca="1" si="81"/>
        <v>0</v>
      </c>
      <c r="AJ127" s="45">
        <f ca="1">U127*(Inputs!$B$12-ILP_B_Moderate!$F$9)+V127*(Inputs!$B$13-ILP_B_Moderate!$F$10)+W127*(Inputs!$B$14-ILP_B_Moderate!$F$11)+X127*(Inputs!$B$15-ILP_B_Moderate!$F$12)+Y127*(Inputs!$B$16-ILP_B_Moderate!$F$13)</f>
        <v>24936.823936742356</v>
      </c>
      <c r="AK127" s="45">
        <f t="shared" ca="1" si="82"/>
        <v>0</v>
      </c>
      <c r="AL127" s="45">
        <f t="shared" ca="1" si="83"/>
        <v>0</v>
      </c>
      <c r="AM127" s="45">
        <f t="shared" ca="1" si="84"/>
        <v>0</v>
      </c>
      <c r="AN127" s="45">
        <f t="shared" ca="1" si="85"/>
        <v>0</v>
      </c>
      <c r="AO127" s="45">
        <f ca="1">MIN(AL127,Inputs!$B$36)</f>
        <v>0</v>
      </c>
      <c r="AP127" s="45">
        <f ca="1">MIN(AN127,Inputs!$B$36-AO127)</f>
        <v>0</v>
      </c>
      <c r="AQ127" s="45">
        <f ca="1">MIN(AM127,Inputs!$B$36-AO127-AP127)</f>
        <v>0</v>
      </c>
      <c r="AR127" s="45">
        <f t="shared" ca="1" si="86"/>
        <v>0</v>
      </c>
      <c r="AS127" s="45">
        <f t="shared" ca="1" si="87"/>
        <v>0</v>
      </c>
      <c r="AT127" s="45">
        <f t="shared" ca="1" si="88"/>
        <v>0</v>
      </c>
      <c r="AU127" s="45">
        <f t="shared" ca="1" si="89"/>
        <v>0</v>
      </c>
      <c r="AV127" s="46">
        <f ca="1">AU127*Inputs!$B$35</f>
        <v>0</v>
      </c>
      <c r="AW127" s="46">
        <f ca="1">AR127*Inputs!$C$6+AT127*Inputs!$C$7+AS127*Inputs!$C$8</f>
        <v>0</v>
      </c>
      <c r="AX127" s="46">
        <f t="shared" ca="1" si="90"/>
        <v>47615493.131651595</v>
      </c>
      <c r="AY127" s="46">
        <f ca="1">IF(J127&gt;1,($CD$4)*Inputs!$B$55*((Z127+AA127+AB127)/(SUM(ILP_B_Moderate!$C$9:$E$13))),0)</f>
        <v>0</v>
      </c>
      <c r="AZ127" s="46">
        <f t="shared" ca="1" si="91"/>
        <v>0</v>
      </c>
      <c r="BA127" s="41">
        <f t="shared" ca="1" si="92"/>
        <v>0</v>
      </c>
      <c r="BB127" s="41">
        <f t="shared" ca="1" si="93"/>
        <v>1</v>
      </c>
      <c r="BC127" s="41">
        <f t="shared" ca="1" si="94"/>
        <v>1</v>
      </c>
      <c r="BD127" s="41">
        <f t="shared" ca="1" si="95"/>
        <v>1</v>
      </c>
    </row>
    <row r="128" spans="1:56" ht="15" customHeight="1" x14ac:dyDescent="0.3">
      <c r="A128" s="41">
        <v>121</v>
      </c>
      <c r="B128" s="42">
        <f t="shared" ca="1" si="77"/>
        <v>0.64790734239218739</v>
      </c>
      <c r="C128" s="43">
        <f ca="1">IF(B128&lt;=Inputs!$C$40,Inputs!$D$40,IF(B128&lt;=Inputs!$C$41,Inputs!$D$41,Inputs!$D$42))</f>
        <v>1</v>
      </c>
      <c r="D128" s="42">
        <f t="shared" ref="D128:I137" ca="1" si="100">RAND()</f>
        <v>0.16930071099210287</v>
      </c>
      <c r="E128" s="42">
        <f t="shared" ca="1" si="100"/>
        <v>0.23617243248901332</v>
      </c>
      <c r="F128" s="42">
        <f t="shared" ca="1" si="100"/>
        <v>0.10209723653809211</v>
      </c>
      <c r="G128" s="42">
        <f t="shared" ca="1" si="100"/>
        <v>0.1818629135998111</v>
      </c>
      <c r="H128" s="42">
        <f t="shared" ca="1" si="100"/>
        <v>0.36001257666000674</v>
      </c>
      <c r="I128" s="42">
        <f t="shared" ca="1" si="100"/>
        <v>0.74386349367403892</v>
      </c>
      <c r="J128" s="43">
        <f ca="1">IF(I128&lt;Inputs!$B$54,1+Inputs!$B$55,1)</f>
        <v>1</v>
      </c>
      <c r="K128" s="42">
        <f t="shared" ref="K128:T137" ca="1" si="101">RAND()</f>
        <v>0.25604668073084302</v>
      </c>
      <c r="L128" s="42">
        <f t="shared" ca="1" si="101"/>
        <v>0.15400924478373379</v>
      </c>
      <c r="M128" s="42">
        <f t="shared" ca="1" si="101"/>
        <v>0.5079634359032994</v>
      </c>
      <c r="N128" s="42">
        <f t="shared" ca="1" si="101"/>
        <v>0.81262938424856923</v>
      </c>
      <c r="O128" s="42">
        <f t="shared" ca="1" si="101"/>
        <v>6.978631556541115E-2</v>
      </c>
      <c r="P128" s="42">
        <f t="shared" ca="1" si="101"/>
        <v>0.62095082080747266</v>
      </c>
      <c r="Q128" s="42">
        <f t="shared" ca="1" si="101"/>
        <v>0.26505922319380937</v>
      </c>
      <c r="R128" s="42">
        <f t="shared" ca="1" si="101"/>
        <v>0.48703042504613869</v>
      </c>
      <c r="S128" s="42">
        <f t="shared" ca="1" si="101"/>
        <v>0.47818245850756713</v>
      </c>
      <c r="T128" s="42">
        <f t="shared" ca="1" si="101"/>
        <v>0.75937436062115604</v>
      </c>
      <c r="U128" s="44">
        <f ca="1">(IF(D128&gt;=Inputs!$E$12,1,IF(K128&lt;=Inputs!$C$46,Inputs!$D$46,IF(K128&lt;=Inputs!$C$47,Inputs!$D$47,Inputs!$D$48))))*((Inputs!$B$28+(P128-0.5)*2*Inputs!$B$53)/Inputs!$B$28)</f>
        <v>1.0012241985911687</v>
      </c>
      <c r="V128" s="44">
        <f ca="1">(IF(E128&gt;=Inputs!$E$13,1,IF(L128&lt;=Inputs!$C$46,Inputs!$D$46,IF(L128&lt;=Inputs!$C$47,Inputs!$D$47,Inputs!$D$48))))*((Inputs!$B$29+(Q128-0.5)*2*Inputs!$B$53)/Inputs!$B$29)</f>
        <v>0.99763164539509885</v>
      </c>
      <c r="W128" s="44">
        <f ca="1">(IF(F128&gt;=Inputs!$E$14,1,IF(M128&lt;=Inputs!$C$46,Inputs!$D$46,IF(M128&lt;=Inputs!$C$47,Inputs!$D$47,Inputs!$D$48))))*((Inputs!$B$30+(R128-0.5)*2*Inputs!$B$53)/Inputs!$B$30)</f>
        <v>0.99986965251302651</v>
      </c>
      <c r="X128" s="44">
        <f ca="1">(IF(G128&gt;=Inputs!$E$15,1,IF(N128&lt;=Inputs!$C$46,Inputs!$D$46,IF(N128&lt;=Inputs!$C$47,Inputs!$D$47,Inputs!$D$48))))*((Inputs!$B$31+(S128-0.5)*2*Inputs!$B$53)/Inputs!$B$31)</f>
        <v>0.99977850211682817</v>
      </c>
      <c r="Y128" s="44">
        <f ca="1">(IF(H128&gt;=Inputs!$E$16,1,IF(O128&lt;=Inputs!$C$46,Inputs!$D$46,IF(O128&lt;=Inputs!$C$47,Inputs!$D$47,Inputs!$D$48))))*((Inputs!$B$32+(T128-0.5)*2*Inputs!$B$53)/Inputs!$B$32)</f>
        <v>1.0026094000062491</v>
      </c>
      <c r="Z128" s="45">
        <f ca="1">ILP_B_Moderate!$C$9*U128+ILP_B_Moderate!$C$10*V128+ILP_B_Moderate!$C$11*W128+ILP_B_Moderate!$C$12*X128+ILP_B_Moderate!$C$13*Y128</f>
        <v>17995.11394039679</v>
      </c>
      <c r="AA128" s="45">
        <f ca="1">ILP_B_Moderate!$D$9*U128+ILP_B_Moderate!$D$10*V128+ILP_B_Moderate!$D$11*W128+ILP_B_Moderate!$D$12*X128+ILP_B_Moderate!$D$13*Y128</f>
        <v>14987.341965839367</v>
      </c>
      <c r="AB128" s="45">
        <f ca="1">ILP_B_Moderate!$E$9*U128+ILP_B_Moderate!$E$10*V128+ILP_B_Moderate!$E$11*W128+ILP_B_Moderate!$E$12*X128+ILP_B_Moderate!$E$13*Y128</f>
        <v>12010.477560982854</v>
      </c>
      <c r="AC128" s="45">
        <f ca="1">Inputs!$B$6*$C128</f>
        <v>18000</v>
      </c>
      <c r="AD128" s="45">
        <f ca="1">Inputs!$B$7*$C128</f>
        <v>15000</v>
      </c>
      <c r="AE128" s="45">
        <f ca="1">Inputs!$B$8*$C128</f>
        <v>12000</v>
      </c>
      <c r="AF128" s="45">
        <f t="shared" ca="1" si="78"/>
        <v>4.8860596032100148</v>
      </c>
      <c r="AG128" s="45">
        <f t="shared" ca="1" si="79"/>
        <v>12.658034160633179</v>
      </c>
      <c r="AH128" s="45">
        <f t="shared" ca="1" si="80"/>
        <v>0</v>
      </c>
      <c r="AI128" s="45">
        <f t="shared" ca="1" si="81"/>
        <v>17.544093763843193</v>
      </c>
      <c r="AJ128" s="45">
        <f ca="1">U128*(Inputs!$B$12-ILP_B_Moderate!$F$9)+V128*(Inputs!$B$13-ILP_B_Moderate!$F$10)+W128*(Inputs!$B$14-ILP_B_Moderate!$F$11)+X128*(Inputs!$B$15-ILP_B_Moderate!$F$12)+Y128*(Inputs!$B$16-ILP_B_Moderate!$F$13)</f>
        <v>25028.285253936094</v>
      </c>
      <c r="AK128" s="45">
        <f t="shared" ca="1" si="82"/>
        <v>17.544093763843193</v>
      </c>
      <c r="AL128" s="45">
        <f t="shared" ca="1" si="83"/>
        <v>0</v>
      </c>
      <c r="AM128" s="45">
        <f t="shared" ca="1" si="84"/>
        <v>0</v>
      </c>
      <c r="AN128" s="45">
        <f t="shared" ca="1" si="85"/>
        <v>0</v>
      </c>
      <c r="AO128" s="45">
        <f ca="1">MIN(AL128,Inputs!$B$36)</f>
        <v>0</v>
      </c>
      <c r="AP128" s="45">
        <f ca="1">MIN(AN128,Inputs!$B$36-AO128)</f>
        <v>0</v>
      </c>
      <c r="AQ128" s="45">
        <f ca="1">MIN(AM128,Inputs!$B$36-AO128-AP128)</f>
        <v>0</v>
      </c>
      <c r="AR128" s="45">
        <f t="shared" ca="1" si="86"/>
        <v>0</v>
      </c>
      <c r="AS128" s="45">
        <f t="shared" ca="1" si="87"/>
        <v>0</v>
      </c>
      <c r="AT128" s="45">
        <f t="shared" ca="1" si="88"/>
        <v>0</v>
      </c>
      <c r="AU128" s="45">
        <f t="shared" ca="1" si="89"/>
        <v>0</v>
      </c>
      <c r="AV128" s="46">
        <f ca="1">AU128*Inputs!$B$35</f>
        <v>0</v>
      </c>
      <c r="AW128" s="46">
        <f ca="1">AR128*Inputs!$C$6+AT128*Inputs!$C$7+AS128*Inputs!$C$8</f>
        <v>0</v>
      </c>
      <c r="AX128" s="46">
        <f t="shared" ca="1" si="90"/>
        <v>47561954.320525527</v>
      </c>
      <c r="AY128" s="46">
        <f ca="1">IF(J128&gt;1,($CD$4)*Inputs!$B$55*((Z128+AA128+AB128)/(SUM(ILP_B_Moderate!$C$9:$E$13))),0)</f>
        <v>0</v>
      </c>
      <c r="AZ128" s="46">
        <f t="shared" ca="1" si="91"/>
        <v>0</v>
      </c>
      <c r="BA128" s="41">
        <f t="shared" ca="1" si="92"/>
        <v>0</v>
      </c>
      <c r="BB128" s="41">
        <f t="shared" ca="1" si="93"/>
        <v>1</v>
      </c>
      <c r="BC128" s="41">
        <f t="shared" ca="1" si="94"/>
        <v>1</v>
      </c>
      <c r="BD128" s="41">
        <f t="shared" ca="1" si="95"/>
        <v>1</v>
      </c>
    </row>
    <row r="129" spans="1:56" ht="15" customHeight="1" x14ac:dyDescent="0.3">
      <c r="A129" s="41">
        <v>122</v>
      </c>
      <c r="B129" s="42">
        <f t="shared" ca="1" si="77"/>
        <v>6.0010805421484292E-2</v>
      </c>
      <c r="C129" s="43">
        <f ca="1">IF(B129&lt;=Inputs!$C$40,Inputs!$D$40,IF(B129&lt;=Inputs!$C$41,Inputs!$D$41,Inputs!$D$42))</f>
        <v>0.9</v>
      </c>
      <c r="D129" s="42">
        <f t="shared" ca="1" si="100"/>
        <v>0.35527066556218334</v>
      </c>
      <c r="E129" s="42">
        <f t="shared" ca="1" si="100"/>
        <v>0.9783050190160727</v>
      </c>
      <c r="F129" s="42">
        <f t="shared" ca="1" si="100"/>
        <v>0.31240445637220338</v>
      </c>
      <c r="G129" s="42">
        <f t="shared" ca="1" si="100"/>
        <v>0.36026109708155218</v>
      </c>
      <c r="H129" s="42">
        <f t="shared" ca="1" si="100"/>
        <v>0.53613276634161522</v>
      </c>
      <c r="I129" s="42">
        <f t="shared" ca="1" si="100"/>
        <v>2.7415876850569898E-2</v>
      </c>
      <c r="J129" s="43">
        <f ca="1">IF(I129&lt;Inputs!$B$54,1+Inputs!$B$55,1)</f>
        <v>1.25</v>
      </c>
      <c r="K129" s="42">
        <f t="shared" ca="1" si="101"/>
        <v>0.35214803008924833</v>
      </c>
      <c r="L129" s="42">
        <f t="shared" ca="1" si="101"/>
        <v>0.64268978093742901</v>
      </c>
      <c r="M129" s="42">
        <f t="shared" ca="1" si="101"/>
        <v>0.2413826645676459</v>
      </c>
      <c r="N129" s="42">
        <f t="shared" ca="1" si="101"/>
        <v>0.88472907811742285</v>
      </c>
      <c r="O129" s="42">
        <f t="shared" ca="1" si="101"/>
        <v>8.4486422089079083E-2</v>
      </c>
      <c r="P129" s="42">
        <f t="shared" ca="1" si="101"/>
        <v>0.21232859761642153</v>
      </c>
      <c r="Q129" s="42">
        <f t="shared" ca="1" si="101"/>
        <v>0.68092454883584019</v>
      </c>
      <c r="R129" s="42">
        <f t="shared" ca="1" si="101"/>
        <v>0.90804312443786073</v>
      </c>
      <c r="S129" s="42">
        <f t="shared" ca="1" si="101"/>
        <v>0.965596321371886</v>
      </c>
      <c r="T129" s="42">
        <f t="shared" ca="1" si="101"/>
        <v>6.3808085738829234E-2</v>
      </c>
      <c r="U129" s="44">
        <f ca="1">(IF(D129&gt;=Inputs!$E$12,1,IF(K129&lt;=Inputs!$C$46,Inputs!$D$46,IF(K129&lt;=Inputs!$C$47,Inputs!$D$47,Inputs!$D$48))))*((Inputs!$B$28+(P129-0.5)*2*Inputs!$B$53)/Inputs!$B$28)</f>
        <v>0.99708834612972086</v>
      </c>
      <c r="V129" s="44">
        <f ca="1">(IF(E129&gt;=Inputs!$E$13,1,IF(L129&lt;=Inputs!$C$46,Inputs!$D$46,IF(L129&lt;=Inputs!$C$47,Inputs!$D$47,Inputs!$D$48))))*((Inputs!$B$29+(Q129-0.5)*2*Inputs!$B$53)/Inputs!$B$29)</f>
        <v>1.0018238361777807</v>
      </c>
      <c r="W129" s="44">
        <f ca="1">(IF(F129&gt;=Inputs!$E$14,1,IF(M129&lt;=Inputs!$C$46,Inputs!$D$46,IF(M129&lt;=Inputs!$C$47,Inputs!$D$47,Inputs!$D$48))))*((Inputs!$B$30+(R129-0.5)*2*Inputs!$B$53)/Inputs!$B$30)</f>
        <v>1.0041009359239985</v>
      </c>
      <c r="X129" s="44">
        <f ca="1">(IF(G129&gt;=Inputs!$E$15,1,IF(N129&lt;=Inputs!$C$46,Inputs!$D$46,IF(N129&lt;=Inputs!$C$47,Inputs!$D$47,Inputs!$D$48))))*((Inputs!$B$31+(S129-0.5)*2*Inputs!$B$53)/Inputs!$B$31)</f>
        <v>1.0047268662068212</v>
      </c>
      <c r="Y129" s="44">
        <f ca="1">(IF(H129&gt;=Inputs!$E$16,1,IF(O129&lt;=Inputs!$C$46,Inputs!$D$46,IF(O129&lt;=Inputs!$C$47,Inputs!$D$47,Inputs!$D$48))))*((Inputs!$B$32+(T129-0.5)*2*Inputs!$B$53)/Inputs!$B$32)</f>
        <v>0.99561175136558178</v>
      </c>
      <c r="Z129" s="45">
        <f ca="1">ILP_B_Moderate!$C$9*U129+ILP_B_Moderate!$C$10*V129+ILP_B_Moderate!$C$11*W129+ILP_B_Moderate!$C$12*X129+ILP_B_Moderate!$C$13*Y129</f>
        <v>18034.672728494967</v>
      </c>
      <c r="AA129" s="45">
        <f ca="1">ILP_B_Moderate!$D$9*U129+ILP_B_Moderate!$D$10*V129+ILP_B_Moderate!$D$11*W129+ILP_B_Moderate!$D$12*X129+ILP_B_Moderate!$D$13*Y129</f>
        <v>15013.381993923684</v>
      </c>
      <c r="AB129" s="45">
        <f ca="1">ILP_B_Moderate!$E$9*U129+ILP_B_Moderate!$E$10*V129+ILP_B_Moderate!$E$11*W129+ILP_B_Moderate!$E$12*X129+ILP_B_Moderate!$E$13*Y129</f>
        <v>11971.830190359309</v>
      </c>
      <c r="AC129" s="45">
        <f ca="1">Inputs!$B$6*$C129</f>
        <v>16200</v>
      </c>
      <c r="AD129" s="45">
        <f ca="1">Inputs!$B$7*$C129</f>
        <v>13500</v>
      </c>
      <c r="AE129" s="45">
        <f ca="1">Inputs!$B$8*$C129</f>
        <v>10800</v>
      </c>
      <c r="AF129" s="45">
        <f t="shared" ca="1" si="78"/>
        <v>0</v>
      </c>
      <c r="AG129" s="45">
        <f t="shared" ca="1" si="79"/>
        <v>0</v>
      </c>
      <c r="AH129" s="45">
        <f t="shared" ca="1" si="80"/>
        <v>0</v>
      </c>
      <c r="AI129" s="45">
        <f t="shared" ca="1" si="81"/>
        <v>0</v>
      </c>
      <c r="AJ129" s="45">
        <f ca="1">U129*(Inputs!$B$12-ILP_B_Moderate!$F$9)+V129*(Inputs!$B$13-ILP_B_Moderate!$F$10)+W129*(Inputs!$B$14-ILP_B_Moderate!$F$11)+X129*(Inputs!$B$15-ILP_B_Moderate!$F$12)+Y129*(Inputs!$B$16-ILP_B_Moderate!$F$13)</f>
        <v>25003.273163764068</v>
      </c>
      <c r="AK129" s="45">
        <f t="shared" ca="1" si="82"/>
        <v>0</v>
      </c>
      <c r="AL129" s="45">
        <f t="shared" ca="1" si="83"/>
        <v>0</v>
      </c>
      <c r="AM129" s="45">
        <f t="shared" ca="1" si="84"/>
        <v>0</v>
      </c>
      <c r="AN129" s="45">
        <f t="shared" ca="1" si="85"/>
        <v>0</v>
      </c>
      <c r="AO129" s="45">
        <f ca="1">MIN(AL129,Inputs!$B$36)</f>
        <v>0</v>
      </c>
      <c r="AP129" s="45">
        <f ca="1">MIN(AN129,Inputs!$B$36-AO129)</f>
        <v>0</v>
      </c>
      <c r="AQ129" s="45">
        <f ca="1">MIN(AM129,Inputs!$B$36-AO129-AP129)</f>
        <v>0</v>
      </c>
      <c r="AR129" s="45">
        <f t="shared" ca="1" si="86"/>
        <v>0</v>
      </c>
      <c r="AS129" s="45">
        <f t="shared" ca="1" si="87"/>
        <v>0</v>
      </c>
      <c r="AT129" s="45">
        <f t="shared" ca="1" si="88"/>
        <v>0</v>
      </c>
      <c r="AU129" s="45">
        <f t="shared" ca="1" si="89"/>
        <v>0</v>
      </c>
      <c r="AV129" s="46">
        <f ca="1">AU129*Inputs!$B$35</f>
        <v>0</v>
      </c>
      <c r="AW129" s="46">
        <f ca="1">AR129*Inputs!$C$6+AT129*Inputs!$C$7+AS129*Inputs!$C$8</f>
        <v>0</v>
      </c>
      <c r="AX129" s="46">
        <f t="shared" ca="1" si="90"/>
        <v>47587577.430417642</v>
      </c>
      <c r="AY129" s="46">
        <f ca="1">IF(J129&gt;1,($CD$4)*Inputs!$B$55*((Z129+AA129+AB129)/(SUM(ILP_B_Moderate!$C$9:$E$13))),0)</f>
        <v>570962.18930158904</v>
      </c>
      <c r="AZ129" s="46">
        <f t="shared" ca="1" si="91"/>
        <v>0</v>
      </c>
      <c r="BA129" s="41">
        <f t="shared" ca="1" si="92"/>
        <v>0</v>
      </c>
      <c r="BB129" s="41">
        <f t="shared" ca="1" si="93"/>
        <v>1</v>
      </c>
      <c r="BC129" s="41">
        <f t="shared" ca="1" si="94"/>
        <v>1</v>
      </c>
      <c r="BD129" s="41">
        <f t="shared" ca="1" si="95"/>
        <v>1</v>
      </c>
    </row>
    <row r="130" spans="1:56" ht="15" customHeight="1" x14ac:dyDescent="0.3">
      <c r="A130" s="41">
        <v>123</v>
      </c>
      <c r="B130" s="42">
        <f t="shared" ca="1" si="77"/>
        <v>0.70981648216158266</v>
      </c>
      <c r="C130" s="43">
        <f ca="1">IF(B130&lt;=Inputs!$C$40,Inputs!$D$40,IF(B130&lt;=Inputs!$C$41,Inputs!$D$41,Inputs!$D$42))</f>
        <v>1</v>
      </c>
      <c r="D130" s="42">
        <f t="shared" ca="1" si="100"/>
        <v>0.74781270222715046</v>
      </c>
      <c r="E130" s="42">
        <f t="shared" ca="1" si="100"/>
        <v>0.17529416002511933</v>
      </c>
      <c r="F130" s="42">
        <f t="shared" ca="1" si="100"/>
        <v>0.52623126768584016</v>
      </c>
      <c r="G130" s="42">
        <f t="shared" ca="1" si="100"/>
        <v>0.44338710194379838</v>
      </c>
      <c r="H130" s="42">
        <f t="shared" ca="1" si="100"/>
        <v>0.27460110712618147</v>
      </c>
      <c r="I130" s="42">
        <f t="shared" ca="1" si="100"/>
        <v>4.1269976159441502E-3</v>
      </c>
      <c r="J130" s="43">
        <f ca="1">IF(I130&lt;Inputs!$B$54,1+Inputs!$B$55,1)</f>
        <v>1.25</v>
      </c>
      <c r="K130" s="42">
        <f t="shared" ca="1" si="101"/>
        <v>0.28366160274574481</v>
      </c>
      <c r="L130" s="42">
        <f t="shared" ca="1" si="101"/>
        <v>0.95233234218406904</v>
      </c>
      <c r="M130" s="42">
        <f t="shared" ca="1" si="101"/>
        <v>0.16804249625483236</v>
      </c>
      <c r="N130" s="42">
        <f t="shared" ca="1" si="101"/>
        <v>0.65942647447487013</v>
      </c>
      <c r="O130" s="42">
        <f t="shared" ca="1" si="101"/>
        <v>6.1841820002215386E-2</v>
      </c>
      <c r="P130" s="42">
        <f t="shared" ca="1" si="101"/>
        <v>0.82147848268380896</v>
      </c>
      <c r="Q130" s="42">
        <f t="shared" ca="1" si="101"/>
        <v>0.49026595449464438</v>
      </c>
      <c r="R130" s="42">
        <f t="shared" ca="1" si="101"/>
        <v>0.5122896145636765</v>
      </c>
      <c r="S130" s="42">
        <f t="shared" ca="1" si="101"/>
        <v>0.41044436743961532</v>
      </c>
      <c r="T130" s="42">
        <f t="shared" ca="1" si="101"/>
        <v>0.77071933574067342</v>
      </c>
      <c r="U130" s="44">
        <f ca="1">(IF(D130&gt;=Inputs!$E$12,1,IF(K130&lt;=Inputs!$C$46,Inputs!$D$46,IF(K130&lt;=Inputs!$C$47,Inputs!$D$47,Inputs!$D$48))))*((Inputs!$B$28+(P130-0.5)*2*Inputs!$B$53)/Inputs!$B$28)</f>
        <v>1.003253830796395</v>
      </c>
      <c r="V130" s="44">
        <f ca="1">(IF(E130&gt;=Inputs!$E$13,1,IF(L130&lt;=Inputs!$C$46,Inputs!$D$46,IF(L130&lt;=Inputs!$C$47,Inputs!$D$47,Inputs!$D$48))))*((Inputs!$B$29+(Q130-0.5)*2*Inputs!$B$53)/Inputs!$B$29)</f>
        <v>0.99990187454127666</v>
      </c>
      <c r="W130" s="44">
        <f ca="1">(IF(F130&gt;=Inputs!$E$14,1,IF(M130&lt;=Inputs!$C$46,Inputs!$D$46,IF(M130&lt;=Inputs!$C$47,Inputs!$D$47,Inputs!$D$48))))*((Inputs!$B$30+(R130-0.5)*2*Inputs!$B$53)/Inputs!$B$30)</f>
        <v>1.0001235137142077</v>
      </c>
      <c r="X130" s="44">
        <f ca="1">(IF(G130&gt;=Inputs!$E$15,1,IF(N130&lt;=Inputs!$C$46,Inputs!$D$46,IF(N130&lt;=Inputs!$C$47,Inputs!$D$47,Inputs!$D$48))))*((Inputs!$B$31+(S130-0.5)*2*Inputs!$B$53)/Inputs!$B$31)</f>
        <v>0.99909080576080822</v>
      </c>
      <c r="Y130" s="44">
        <f ca="1">(IF(H130&gt;=Inputs!$E$16,1,IF(O130&lt;=Inputs!$C$46,Inputs!$D$46,IF(O130&lt;=Inputs!$C$47,Inputs!$D$47,Inputs!$D$48))))*((Inputs!$B$32+(T130-0.5)*2*Inputs!$B$53)/Inputs!$B$32)</f>
        <v>1.0027235345647956</v>
      </c>
      <c r="Z130" s="45">
        <f ca="1">ILP_B_Moderate!$C$9*U130+ILP_B_Moderate!$C$10*V130+ILP_B_Moderate!$C$11*W130+ILP_B_Moderate!$C$12*X130+ILP_B_Moderate!$C$13*Y130</f>
        <v>18008.12295439501</v>
      </c>
      <c r="AA130" s="45">
        <f ca="1">ILP_B_Moderate!$D$9*U130+ILP_B_Moderate!$D$10*V130+ILP_B_Moderate!$D$11*W130+ILP_B_Moderate!$D$12*X130+ILP_B_Moderate!$D$13*Y130</f>
        <v>15011.928059432183</v>
      </c>
      <c r="AB130" s="45">
        <f ca="1">ILP_B_Moderate!$E$9*U130+ILP_B_Moderate!$E$10*V130+ILP_B_Moderate!$E$11*W130+ILP_B_Moderate!$E$12*X130+ILP_B_Moderate!$E$13*Y130</f>
        <v>12028.764895547969</v>
      </c>
      <c r="AC130" s="45">
        <f ca="1">Inputs!$B$6*$C130</f>
        <v>18000</v>
      </c>
      <c r="AD130" s="45">
        <f ca="1">Inputs!$B$7*$C130</f>
        <v>15000</v>
      </c>
      <c r="AE130" s="45">
        <f ca="1">Inputs!$B$8*$C130</f>
        <v>12000</v>
      </c>
      <c r="AF130" s="45">
        <f t="shared" ca="1" si="78"/>
        <v>0</v>
      </c>
      <c r="AG130" s="45">
        <f t="shared" ca="1" si="79"/>
        <v>0</v>
      </c>
      <c r="AH130" s="45">
        <f t="shared" ca="1" si="80"/>
        <v>0</v>
      </c>
      <c r="AI130" s="45">
        <f t="shared" ca="1" si="81"/>
        <v>0</v>
      </c>
      <c r="AJ130" s="45">
        <f ca="1">U130*(Inputs!$B$12-ILP_B_Moderate!$F$9)+V130*(Inputs!$B$13-ILP_B_Moderate!$F$10)+W130*(Inputs!$B$14-ILP_B_Moderate!$F$11)+X130*(Inputs!$B$15-ILP_B_Moderate!$F$12)+Y130*(Inputs!$B$16-ILP_B_Moderate!$F$13)</f>
        <v>25033.419992831361</v>
      </c>
      <c r="AK130" s="45">
        <f t="shared" ca="1" si="82"/>
        <v>0</v>
      </c>
      <c r="AL130" s="45">
        <f t="shared" ca="1" si="83"/>
        <v>0</v>
      </c>
      <c r="AM130" s="45">
        <f t="shared" ca="1" si="84"/>
        <v>0</v>
      </c>
      <c r="AN130" s="45">
        <f t="shared" ca="1" si="85"/>
        <v>0</v>
      </c>
      <c r="AO130" s="45">
        <f ca="1">MIN(AL130,Inputs!$B$36)</f>
        <v>0</v>
      </c>
      <c r="AP130" s="45">
        <f ca="1">MIN(AN130,Inputs!$B$36-AO130)</f>
        <v>0</v>
      </c>
      <c r="AQ130" s="45">
        <f ca="1">MIN(AM130,Inputs!$B$36-AO130-AP130)</f>
        <v>0</v>
      </c>
      <c r="AR130" s="45">
        <f t="shared" ca="1" si="86"/>
        <v>0</v>
      </c>
      <c r="AS130" s="45">
        <f t="shared" ca="1" si="87"/>
        <v>0</v>
      </c>
      <c r="AT130" s="45">
        <f t="shared" ca="1" si="88"/>
        <v>0</v>
      </c>
      <c r="AU130" s="45">
        <f t="shared" ca="1" si="89"/>
        <v>0</v>
      </c>
      <c r="AV130" s="46">
        <f ca="1">AU130*Inputs!$B$35</f>
        <v>0</v>
      </c>
      <c r="AW130" s="46">
        <f ca="1">AR130*Inputs!$C$6+AT130*Inputs!$C$7+AS130*Inputs!$C$8</f>
        <v>0</v>
      </c>
      <c r="AX130" s="46">
        <f t="shared" ca="1" si="90"/>
        <v>47621386.622392654</v>
      </c>
      <c r="AY130" s="46">
        <f ca="1">IF(J130&gt;1,($CD$4)*Inputs!$B$55*((Z130+AA130+AB130)/(SUM(ILP_B_Moderate!$C$9:$E$13))),0)</f>
        <v>571329.10505865549</v>
      </c>
      <c r="AZ130" s="46">
        <f t="shared" ca="1" si="91"/>
        <v>0</v>
      </c>
      <c r="BA130" s="41">
        <f t="shared" ca="1" si="92"/>
        <v>0</v>
      </c>
      <c r="BB130" s="41">
        <f t="shared" ca="1" si="93"/>
        <v>1</v>
      </c>
      <c r="BC130" s="41">
        <f t="shared" ca="1" si="94"/>
        <v>1</v>
      </c>
      <c r="BD130" s="41">
        <f t="shared" ca="1" si="95"/>
        <v>1</v>
      </c>
    </row>
    <row r="131" spans="1:56" ht="15" customHeight="1" x14ac:dyDescent="0.3">
      <c r="A131" s="41">
        <v>124</v>
      </c>
      <c r="B131" s="42">
        <f t="shared" ca="1" si="77"/>
        <v>0.93761240733455475</v>
      </c>
      <c r="C131" s="43">
        <f ca="1">IF(B131&lt;=Inputs!$C$40,Inputs!$D$40,IF(B131&lt;=Inputs!$C$41,Inputs!$D$41,Inputs!$D$42))</f>
        <v>1.1499999999999999</v>
      </c>
      <c r="D131" s="42">
        <f t="shared" ca="1" si="100"/>
        <v>0.23858960869863988</v>
      </c>
      <c r="E131" s="42">
        <f t="shared" ca="1" si="100"/>
        <v>4.9449028233342185E-2</v>
      </c>
      <c r="F131" s="42">
        <f t="shared" ca="1" si="100"/>
        <v>0.12020687770868121</v>
      </c>
      <c r="G131" s="42">
        <f t="shared" ca="1" si="100"/>
        <v>0.96329729422088572</v>
      </c>
      <c r="H131" s="42">
        <f t="shared" ca="1" si="100"/>
        <v>0.36198952951011931</v>
      </c>
      <c r="I131" s="42">
        <f t="shared" ca="1" si="100"/>
        <v>1.02123977254579E-2</v>
      </c>
      <c r="J131" s="43">
        <f ca="1">IF(I131&lt;Inputs!$B$54,1+Inputs!$B$55,1)</f>
        <v>1.25</v>
      </c>
      <c r="K131" s="42">
        <f t="shared" ca="1" si="101"/>
        <v>0.37925263502440987</v>
      </c>
      <c r="L131" s="42">
        <f t="shared" ca="1" si="101"/>
        <v>0.50247343310195647</v>
      </c>
      <c r="M131" s="42">
        <f t="shared" ca="1" si="101"/>
        <v>4.0371814837873665E-2</v>
      </c>
      <c r="N131" s="42">
        <f t="shared" ca="1" si="101"/>
        <v>0.68180065940063406</v>
      </c>
      <c r="O131" s="42">
        <f t="shared" ca="1" si="101"/>
        <v>0.16030796887733534</v>
      </c>
      <c r="P131" s="42">
        <f t="shared" ca="1" si="101"/>
        <v>0.52031116174680314</v>
      </c>
      <c r="Q131" s="42">
        <f t="shared" ca="1" si="101"/>
        <v>0.59977924165818874</v>
      </c>
      <c r="R131" s="42">
        <f t="shared" ca="1" si="101"/>
        <v>0.37267134714737993</v>
      </c>
      <c r="S131" s="42">
        <f t="shared" ca="1" si="101"/>
        <v>0.3617428202650087</v>
      </c>
      <c r="T131" s="42">
        <f t="shared" ca="1" si="101"/>
        <v>0.6091516055647348</v>
      </c>
      <c r="U131" s="44">
        <f ca="1">(IF(D131&gt;=Inputs!$E$12,1,IF(K131&lt;=Inputs!$C$46,Inputs!$D$46,IF(K131&lt;=Inputs!$C$47,Inputs!$D$47,Inputs!$D$48))))*((Inputs!$B$28+(P131-0.5)*2*Inputs!$B$53)/Inputs!$B$28)</f>
        <v>1.0002055785601902</v>
      </c>
      <c r="V131" s="44">
        <f ca="1">(IF(E131&gt;=Inputs!$E$13,1,IF(L131&lt;=Inputs!$C$46,Inputs!$D$46,IF(L131&lt;=Inputs!$C$47,Inputs!$D$47,Inputs!$D$48))))*((Inputs!$B$29+(Q131-0.5)*2*Inputs!$B$53)/Inputs!$B$29)</f>
        <v>0.30030175173888563</v>
      </c>
      <c r="W131" s="44">
        <f ca="1">(IF(F131&gt;=Inputs!$E$14,1,IF(M131&lt;=Inputs!$C$46,Inputs!$D$46,IF(M131&lt;=Inputs!$C$47,Inputs!$D$47,Inputs!$D$48))))*((Inputs!$B$30+(R131-0.5)*2*Inputs!$B$53)/Inputs!$B$30)</f>
        <v>0.99872031504670733</v>
      </c>
      <c r="X131" s="44">
        <f ca="1">(IF(G131&gt;=Inputs!$E$15,1,IF(N131&lt;=Inputs!$C$46,Inputs!$D$46,IF(N131&lt;=Inputs!$C$47,Inputs!$D$47,Inputs!$D$48))))*((Inputs!$B$31+(S131-0.5)*2*Inputs!$B$53)/Inputs!$B$31)</f>
        <v>0.99859637380979704</v>
      </c>
      <c r="Y131" s="44">
        <f ca="1">(IF(H131&gt;=Inputs!$E$16,1,IF(O131&lt;=Inputs!$C$46,Inputs!$D$46,IF(O131&lt;=Inputs!$C$47,Inputs!$D$47,Inputs!$D$48))))*((Inputs!$B$32+(T131-0.5)*2*Inputs!$B$53)/Inputs!$B$32)</f>
        <v>1.0010981046837499</v>
      </c>
      <c r="Z131" s="45">
        <f ca="1">ILP_B_Moderate!$C$9*U131+ILP_B_Moderate!$C$10*V131+ILP_B_Moderate!$C$11*W131+ILP_B_Moderate!$C$12*X131+ILP_B_Moderate!$C$13*Y131</f>
        <v>15279.189953877794</v>
      </c>
      <c r="AA131" s="45">
        <f ca="1">ILP_B_Moderate!$D$9*U131+ILP_B_Moderate!$D$10*V131+ILP_B_Moderate!$D$11*W131+ILP_B_Moderate!$D$12*X131+ILP_B_Moderate!$D$13*Y131</f>
        <v>9749.2670198469605</v>
      </c>
      <c r="AB131" s="45">
        <f ca="1">ILP_B_Moderate!$E$9*U131+ILP_B_Moderate!$E$10*V131+ILP_B_Moderate!$E$11*W131+ILP_B_Moderate!$E$12*X131+ILP_B_Moderate!$E$13*Y131</f>
        <v>10244.618475454363</v>
      </c>
      <c r="AC131" s="45">
        <f ca="1">Inputs!$B$6*$C131</f>
        <v>20700</v>
      </c>
      <c r="AD131" s="45">
        <f ca="1">Inputs!$B$7*$C131</f>
        <v>17250</v>
      </c>
      <c r="AE131" s="45">
        <f ca="1">Inputs!$B$8*$C131</f>
        <v>13799.999999999998</v>
      </c>
      <c r="AF131" s="45">
        <f t="shared" ca="1" si="78"/>
        <v>5420.8100461222057</v>
      </c>
      <c r="AG131" s="45">
        <f t="shared" ca="1" si="79"/>
        <v>7500.7329801530395</v>
      </c>
      <c r="AH131" s="45">
        <f t="shared" ca="1" si="80"/>
        <v>3555.3815245456353</v>
      </c>
      <c r="AI131" s="45">
        <f t="shared" ca="1" si="81"/>
        <v>16476.924550820881</v>
      </c>
      <c r="AJ131" s="45">
        <f ca="1">U131*(Inputs!$B$12-ILP_B_Moderate!$F$9)+V131*(Inputs!$B$13-ILP_B_Moderate!$F$10)+W131*(Inputs!$B$14-ILP_B_Moderate!$F$11)+X131*(Inputs!$B$15-ILP_B_Moderate!$F$12)+Y131*(Inputs!$B$16-ILP_B_Moderate!$F$13)</f>
        <v>24917.430483709337</v>
      </c>
      <c r="AK131" s="45">
        <f t="shared" ca="1" si="82"/>
        <v>16476.924550820881</v>
      </c>
      <c r="AL131" s="45">
        <f t="shared" ca="1" si="83"/>
        <v>0</v>
      </c>
      <c r="AM131" s="45">
        <f t="shared" ca="1" si="84"/>
        <v>0</v>
      </c>
      <c r="AN131" s="45">
        <f t="shared" ca="1" si="85"/>
        <v>0</v>
      </c>
      <c r="AO131" s="45">
        <f ca="1">MIN(AL131,Inputs!$B$36)</f>
        <v>0</v>
      </c>
      <c r="AP131" s="45">
        <f ca="1">MIN(AN131,Inputs!$B$36-AO131)</f>
        <v>0</v>
      </c>
      <c r="AQ131" s="45">
        <f ca="1">MIN(AM131,Inputs!$B$36-AO131-AP131)</f>
        <v>0</v>
      </c>
      <c r="AR131" s="45">
        <f t="shared" ca="1" si="86"/>
        <v>0</v>
      </c>
      <c r="AS131" s="45">
        <f t="shared" ca="1" si="87"/>
        <v>0</v>
      </c>
      <c r="AT131" s="45">
        <f t="shared" ca="1" si="88"/>
        <v>0</v>
      </c>
      <c r="AU131" s="45">
        <f t="shared" ca="1" si="89"/>
        <v>0</v>
      </c>
      <c r="AV131" s="46">
        <f ca="1">AU131*Inputs!$B$35</f>
        <v>0</v>
      </c>
      <c r="AW131" s="46">
        <f ca="1">AR131*Inputs!$C$6+AT131*Inputs!$C$7+AS131*Inputs!$C$8</f>
        <v>0</v>
      </c>
      <c r="AX131" s="46">
        <f t="shared" ca="1" si="90"/>
        <v>37304224.315523423</v>
      </c>
      <c r="AY131" s="46">
        <f ca="1">IF(J131&gt;1,($CD$4)*Inputs!$B$55*((Z131+AA131+AB131)/(SUM(ILP_B_Moderate!$C$9:$E$13))),0)</f>
        <v>447348.8197689114</v>
      </c>
      <c r="AZ131" s="46">
        <f t="shared" ca="1" si="91"/>
        <v>0</v>
      </c>
      <c r="BA131" s="41">
        <f t="shared" ca="1" si="92"/>
        <v>0</v>
      </c>
      <c r="BB131" s="41">
        <f t="shared" ca="1" si="93"/>
        <v>1</v>
      </c>
      <c r="BC131" s="41">
        <f t="shared" ca="1" si="94"/>
        <v>1</v>
      </c>
      <c r="BD131" s="41">
        <f t="shared" ca="1" si="95"/>
        <v>1</v>
      </c>
    </row>
    <row r="132" spans="1:56" ht="15" customHeight="1" x14ac:dyDescent="0.3">
      <c r="A132" s="41">
        <v>125</v>
      </c>
      <c r="B132" s="42">
        <f t="shared" ca="1" si="77"/>
        <v>0.38619022136938441</v>
      </c>
      <c r="C132" s="43">
        <f ca="1">IF(B132&lt;=Inputs!$C$40,Inputs!$D$40,IF(B132&lt;=Inputs!$C$41,Inputs!$D$41,Inputs!$D$42))</f>
        <v>1</v>
      </c>
      <c r="D132" s="42">
        <f t="shared" ca="1" si="100"/>
        <v>0.87963222496605276</v>
      </c>
      <c r="E132" s="42">
        <f t="shared" ca="1" si="100"/>
        <v>0.18288307387136449</v>
      </c>
      <c r="F132" s="42">
        <f t="shared" ca="1" si="100"/>
        <v>0.92640510170017887</v>
      </c>
      <c r="G132" s="42">
        <f t="shared" ca="1" si="100"/>
        <v>0.77339755646463271</v>
      </c>
      <c r="H132" s="42">
        <f t="shared" ca="1" si="100"/>
        <v>0.89985433872749665</v>
      </c>
      <c r="I132" s="42">
        <f t="shared" ca="1" si="100"/>
        <v>0.36912852387165274</v>
      </c>
      <c r="J132" s="43">
        <f ca="1">IF(I132&lt;Inputs!$B$54,1+Inputs!$B$55,1)</f>
        <v>1</v>
      </c>
      <c r="K132" s="42">
        <f t="shared" ca="1" si="101"/>
        <v>0.42112536433511116</v>
      </c>
      <c r="L132" s="42">
        <f t="shared" ca="1" si="101"/>
        <v>0.453130250198988</v>
      </c>
      <c r="M132" s="42">
        <f t="shared" ca="1" si="101"/>
        <v>0.22380741018554839</v>
      </c>
      <c r="N132" s="42">
        <f t="shared" ca="1" si="101"/>
        <v>0.59686103773924448</v>
      </c>
      <c r="O132" s="42">
        <f t="shared" ca="1" si="101"/>
        <v>0.7942912760145725</v>
      </c>
      <c r="P132" s="42">
        <f t="shared" ca="1" si="101"/>
        <v>0.2788298552382068</v>
      </c>
      <c r="Q132" s="42">
        <f t="shared" ca="1" si="101"/>
        <v>0.65466579185918061</v>
      </c>
      <c r="R132" s="42">
        <f t="shared" ca="1" si="101"/>
        <v>0.61743149386919705</v>
      </c>
      <c r="S132" s="42">
        <f t="shared" ca="1" si="101"/>
        <v>0.53398330254557269</v>
      </c>
      <c r="T132" s="42">
        <f t="shared" ca="1" si="101"/>
        <v>4.8810030908096991E-2</v>
      </c>
      <c r="U132" s="44">
        <f ca="1">(IF(D132&gt;=Inputs!$E$12,1,IF(K132&lt;=Inputs!$C$46,Inputs!$D$46,IF(K132&lt;=Inputs!$C$47,Inputs!$D$47,Inputs!$D$48))))*((Inputs!$B$28+(P132-0.5)*2*Inputs!$B$53)/Inputs!$B$28)</f>
        <v>0.99776143578176324</v>
      </c>
      <c r="V132" s="44">
        <f ca="1">(IF(E132&gt;=Inputs!$E$13,1,IF(L132&lt;=Inputs!$C$46,Inputs!$D$46,IF(L132&lt;=Inputs!$C$47,Inputs!$D$47,Inputs!$D$48))))*((Inputs!$B$29+(Q132-0.5)*2*Inputs!$B$53)/Inputs!$B$29)</f>
        <v>1.0015591309663223</v>
      </c>
      <c r="W132" s="44">
        <f ca="1">(IF(F132&gt;=Inputs!$E$14,1,IF(M132&lt;=Inputs!$C$46,Inputs!$D$46,IF(M132&lt;=Inputs!$C$47,Inputs!$D$47,Inputs!$D$48))))*((Inputs!$B$30+(R132-0.5)*2*Inputs!$B$53)/Inputs!$B$30)</f>
        <v>1.0011802160187859</v>
      </c>
      <c r="X132" s="44">
        <f ca="1">(IF(G132&gt;=Inputs!$E$15,1,IF(N132&lt;=Inputs!$C$46,Inputs!$D$46,IF(N132&lt;=Inputs!$C$47,Inputs!$D$47,Inputs!$D$48))))*((Inputs!$B$31+(S132-0.5)*2*Inputs!$B$53)/Inputs!$B$31)</f>
        <v>1.0003450081476708</v>
      </c>
      <c r="Y132" s="44">
        <f ca="1">(IF(H132&gt;=Inputs!$E$16,1,IF(O132&lt;=Inputs!$C$46,Inputs!$D$46,IF(O132&lt;=Inputs!$C$47,Inputs!$D$47,Inputs!$D$48))))*((Inputs!$B$32+(T132-0.5)*2*Inputs!$B$53)/Inputs!$B$32)</f>
        <v>0.99546086550209356</v>
      </c>
      <c r="Z132" s="45">
        <f ca="1">ILP_B_Moderate!$C$9*U132+ILP_B_Moderate!$C$10*V132+ILP_B_Moderate!$C$11*W132+ILP_B_Moderate!$C$12*X132+ILP_B_Moderate!$C$13*Y132</f>
        <v>17997.66267111952</v>
      </c>
      <c r="AA132" s="45">
        <f ca="1">ILP_B_Moderate!$D$9*U132+ILP_B_Moderate!$D$10*V132+ILP_B_Moderate!$D$11*W132+ILP_B_Moderate!$D$12*X132+ILP_B_Moderate!$D$13*Y132</f>
        <v>15002.189924682501</v>
      </c>
      <c r="AB132" s="45">
        <f ca="1">ILP_B_Moderate!$E$9*U132+ILP_B_Moderate!$E$10*V132+ILP_B_Moderate!$E$11*W132+ILP_B_Moderate!$E$12*X132+ILP_B_Moderate!$E$13*Y132</f>
        <v>11974.67704361114</v>
      </c>
      <c r="AC132" s="45">
        <f ca="1">Inputs!$B$6*$C132</f>
        <v>18000</v>
      </c>
      <c r="AD132" s="45">
        <f ca="1">Inputs!$B$7*$C132</f>
        <v>15000</v>
      </c>
      <c r="AE132" s="45">
        <f ca="1">Inputs!$B$8*$C132</f>
        <v>12000</v>
      </c>
      <c r="AF132" s="45">
        <f t="shared" ca="1" si="78"/>
        <v>2.3373288804796175</v>
      </c>
      <c r="AG132" s="45">
        <f t="shared" ca="1" si="79"/>
        <v>0</v>
      </c>
      <c r="AH132" s="45">
        <f t="shared" ca="1" si="80"/>
        <v>25.322956388859893</v>
      </c>
      <c r="AI132" s="45">
        <f t="shared" ca="1" si="81"/>
        <v>27.660285269339511</v>
      </c>
      <c r="AJ132" s="45">
        <f ca="1">U132*(Inputs!$B$12-ILP_B_Moderate!$F$9)+V132*(Inputs!$B$13-ILP_B_Moderate!$F$10)+W132*(Inputs!$B$14-ILP_B_Moderate!$F$11)+X132*(Inputs!$B$15-ILP_B_Moderate!$F$12)+Y132*(Inputs!$B$16-ILP_B_Moderate!$F$13)</f>
        <v>24962.877055171233</v>
      </c>
      <c r="AK132" s="45">
        <f t="shared" ca="1" si="82"/>
        <v>27.660285269339511</v>
      </c>
      <c r="AL132" s="45">
        <f t="shared" ca="1" si="83"/>
        <v>0</v>
      </c>
      <c r="AM132" s="45">
        <f t="shared" ca="1" si="84"/>
        <v>0</v>
      </c>
      <c r="AN132" s="45">
        <f t="shared" ca="1" si="85"/>
        <v>0</v>
      </c>
      <c r="AO132" s="45">
        <f ca="1">MIN(AL132,Inputs!$B$36)</f>
        <v>0</v>
      </c>
      <c r="AP132" s="45">
        <f ca="1">MIN(AN132,Inputs!$B$36-AO132)</f>
        <v>0</v>
      </c>
      <c r="AQ132" s="45">
        <f ca="1">MIN(AM132,Inputs!$B$36-AO132-AP132)</f>
        <v>0</v>
      </c>
      <c r="AR132" s="45">
        <f t="shared" ca="1" si="86"/>
        <v>0</v>
      </c>
      <c r="AS132" s="45">
        <f t="shared" ca="1" si="87"/>
        <v>0</v>
      </c>
      <c r="AT132" s="45">
        <f t="shared" ca="1" si="88"/>
        <v>0</v>
      </c>
      <c r="AU132" s="45">
        <f t="shared" ca="1" si="89"/>
        <v>0</v>
      </c>
      <c r="AV132" s="46">
        <f ca="1">AU132*Inputs!$B$35</f>
        <v>0</v>
      </c>
      <c r="AW132" s="46">
        <f ca="1">AR132*Inputs!$C$6+AT132*Inputs!$C$7+AS132*Inputs!$C$8</f>
        <v>0</v>
      </c>
      <c r="AX132" s="46">
        <f t="shared" ca="1" si="90"/>
        <v>47540762.349742681</v>
      </c>
      <c r="AY132" s="46">
        <f ca="1">IF(J132&gt;1,($CD$4)*Inputs!$B$55*((Z132+AA132+AB132)/(SUM(ILP_B_Moderate!$C$9:$E$13))),0)</f>
        <v>0</v>
      </c>
      <c r="AZ132" s="46">
        <f t="shared" ca="1" si="91"/>
        <v>0</v>
      </c>
      <c r="BA132" s="41">
        <f t="shared" ca="1" si="92"/>
        <v>0</v>
      </c>
      <c r="BB132" s="41">
        <f t="shared" ca="1" si="93"/>
        <v>1</v>
      </c>
      <c r="BC132" s="41">
        <f t="shared" ca="1" si="94"/>
        <v>1</v>
      </c>
      <c r="BD132" s="41">
        <f t="shared" ca="1" si="95"/>
        <v>1</v>
      </c>
    </row>
    <row r="133" spans="1:56" ht="15" customHeight="1" x14ac:dyDescent="0.3">
      <c r="A133" s="41">
        <v>126</v>
      </c>
      <c r="B133" s="42">
        <f t="shared" ca="1" si="77"/>
        <v>9.3528588058518047E-2</v>
      </c>
      <c r="C133" s="43">
        <f ca="1">IF(B133&lt;=Inputs!$C$40,Inputs!$D$40,IF(B133&lt;=Inputs!$C$41,Inputs!$D$41,Inputs!$D$42))</f>
        <v>0.9</v>
      </c>
      <c r="D133" s="42">
        <f t="shared" ca="1" si="100"/>
        <v>0.39290753041273896</v>
      </c>
      <c r="E133" s="42">
        <f t="shared" ca="1" si="100"/>
        <v>0.58762007909996106</v>
      </c>
      <c r="F133" s="42">
        <f t="shared" ca="1" si="100"/>
        <v>0.53309537860767908</v>
      </c>
      <c r="G133" s="42">
        <f t="shared" ca="1" si="100"/>
        <v>0.99499984709221656</v>
      </c>
      <c r="H133" s="42">
        <f t="shared" ca="1" si="100"/>
        <v>0.21704145013728982</v>
      </c>
      <c r="I133" s="42">
        <f t="shared" ca="1" si="100"/>
        <v>0.67075334743491999</v>
      </c>
      <c r="J133" s="43">
        <f ca="1">IF(I133&lt;Inputs!$B$54,1+Inputs!$B$55,1)</f>
        <v>1</v>
      </c>
      <c r="K133" s="42">
        <f t="shared" ca="1" si="101"/>
        <v>0.33133710885253909</v>
      </c>
      <c r="L133" s="42">
        <f t="shared" ca="1" si="101"/>
        <v>0.86773846149219003</v>
      </c>
      <c r="M133" s="42">
        <f t="shared" ca="1" si="101"/>
        <v>0.8137228828543599</v>
      </c>
      <c r="N133" s="42">
        <f t="shared" ca="1" si="101"/>
        <v>0.13572280526266578</v>
      </c>
      <c r="O133" s="42">
        <f t="shared" ca="1" si="101"/>
        <v>0.78011900475152507</v>
      </c>
      <c r="P133" s="42">
        <f t="shared" ca="1" si="101"/>
        <v>1.4302837949133673E-2</v>
      </c>
      <c r="Q133" s="42">
        <f t="shared" ca="1" si="101"/>
        <v>0.4941404937733519</v>
      </c>
      <c r="R133" s="42">
        <f t="shared" ca="1" si="101"/>
        <v>0.61374866645536041</v>
      </c>
      <c r="S133" s="42">
        <f t="shared" ca="1" si="101"/>
        <v>0.66689215918365086</v>
      </c>
      <c r="T133" s="42">
        <f t="shared" ca="1" si="101"/>
        <v>0.49002810337336911</v>
      </c>
      <c r="U133" s="44">
        <f ca="1">(IF(D133&gt;=Inputs!$E$12,1,IF(K133&lt;=Inputs!$C$46,Inputs!$D$46,IF(K133&lt;=Inputs!$C$47,Inputs!$D$47,Inputs!$D$48))))*((Inputs!$B$28+(P133-0.5)*2*Inputs!$B$53)/Inputs!$B$28)</f>
        <v>0.9950840368213475</v>
      </c>
      <c r="V133" s="44">
        <f ca="1">(IF(E133&gt;=Inputs!$E$13,1,IF(L133&lt;=Inputs!$C$46,Inputs!$D$46,IF(L133&lt;=Inputs!$C$47,Inputs!$D$47,Inputs!$D$48))))*((Inputs!$B$29+(Q133-0.5)*2*Inputs!$B$53)/Inputs!$B$29)</f>
        <v>0.99994093239690884</v>
      </c>
      <c r="W133" s="44">
        <f ca="1">(IF(F133&gt;=Inputs!$E$14,1,IF(M133&lt;=Inputs!$C$46,Inputs!$D$46,IF(M133&lt;=Inputs!$C$47,Inputs!$D$47,Inputs!$D$48))))*((Inputs!$B$30+(R133-0.5)*2*Inputs!$B$53)/Inputs!$B$30)</f>
        <v>1.0011432026779432</v>
      </c>
      <c r="X133" s="44">
        <f ca="1">(IF(G133&gt;=Inputs!$E$15,1,IF(N133&lt;=Inputs!$C$46,Inputs!$D$46,IF(N133&lt;=Inputs!$C$47,Inputs!$D$47,Inputs!$D$48))))*((Inputs!$B$31+(S133-0.5)*2*Inputs!$B$53)/Inputs!$B$31)</f>
        <v>1.0016943366414583</v>
      </c>
      <c r="Y133" s="44">
        <f ca="1">(IF(H133&gt;=Inputs!$E$16,1,IF(O133&lt;=Inputs!$C$46,Inputs!$D$46,IF(O133&lt;=Inputs!$C$47,Inputs!$D$47,Inputs!$D$48))))*((Inputs!$B$32+(T133-0.5)*2*Inputs!$B$53)/Inputs!$B$32)</f>
        <v>0.99989967910838407</v>
      </c>
      <c r="Z133" s="45">
        <f ca="1">ILP_B_Moderate!$C$9*U133+ILP_B_Moderate!$C$10*V133+ILP_B_Moderate!$C$11*W133+ILP_B_Moderate!$C$12*X133+ILP_B_Moderate!$C$13*Y133</f>
        <v>17989.811260833827</v>
      </c>
      <c r="AA133" s="45">
        <f ca="1">ILP_B_Moderate!$D$9*U133+ILP_B_Moderate!$D$10*V133+ILP_B_Moderate!$D$11*W133+ILP_B_Moderate!$D$12*X133+ILP_B_Moderate!$D$13*Y133</f>
        <v>14981.328314629636</v>
      </c>
      <c r="AB133" s="45">
        <f ca="1">ILP_B_Moderate!$E$9*U133+ILP_B_Moderate!$E$10*V133+ILP_B_Moderate!$E$11*W133+ILP_B_Moderate!$E$12*X133+ILP_B_Moderate!$E$13*Y133</f>
        <v>11970.006088852318</v>
      </c>
      <c r="AC133" s="45">
        <f ca="1">Inputs!$B$6*$C133</f>
        <v>16200</v>
      </c>
      <c r="AD133" s="45">
        <f ca="1">Inputs!$B$7*$C133</f>
        <v>13500</v>
      </c>
      <c r="AE133" s="45">
        <f ca="1">Inputs!$B$8*$C133</f>
        <v>10800</v>
      </c>
      <c r="AF133" s="45">
        <f t="shared" ca="1" si="78"/>
        <v>0</v>
      </c>
      <c r="AG133" s="45">
        <f t="shared" ca="1" si="79"/>
        <v>0</v>
      </c>
      <c r="AH133" s="45">
        <f t="shared" ca="1" si="80"/>
        <v>0</v>
      </c>
      <c r="AI133" s="45">
        <f t="shared" ca="1" si="81"/>
        <v>0</v>
      </c>
      <c r="AJ133" s="45">
        <f ca="1">U133*(Inputs!$B$12-ILP_B_Moderate!$F$9)+V133*(Inputs!$B$13-ILP_B_Moderate!$F$10)+W133*(Inputs!$B$14-ILP_B_Moderate!$F$11)+X133*(Inputs!$B$15-ILP_B_Moderate!$F$12)+Y133*(Inputs!$B$16-ILP_B_Moderate!$F$13)</f>
        <v>25013.060839519028</v>
      </c>
      <c r="AK133" s="45">
        <f t="shared" ca="1" si="82"/>
        <v>0</v>
      </c>
      <c r="AL133" s="45">
        <f t="shared" ca="1" si="83"/>
        <v>0</v>
      </c>
      <c r="AM133" s="45">
        <f t="shared" ca="1" si="84"/>
        <v>0</v>
      </c>
      <c r="AN133" s="45">
        <f t="shared" ca="1" si="85"/>
        <v>0</v>
      </c>
      <c r="AO133" s="45">
        <f ca="1">MIN(AL133,Inputs!$B$36)</f>
        <v>0</v>
      </c>
      <c r="AP133" s="45">
        <f ca="1">MIN(AN133,Inputs!$B$36-AO133)</f>
        <v>0</v>
      </c>
      <c r="AQ133" s="45">
        <f ca="1">MIN(AM133,Inputs!$B$36-AO133-AP133)</f>
        <v>0</v>
      </c>
      <c r="AR133" s="45">
        <f t="shared" ca="1" si="86"/>
        <v>0</v>
      </c>
      <c r="AS133" s="45">
        <f t="shared" ca="1" si="87"/>
        <v>0</v>
      </c>
      <c r="AT133" s="45">
        <f t="shared" ca="1" si="88"/>
        <v>0</v>
      </c>
      <c r="AU133" s="45">
        <f t="shared" ca="1" si="89"/>
        <v>0</v>
      </c>
      <c r="AV133" s="46">
        <f ca="1">AU133*Inputs!$B$35</f>
        <v>0</v>
      </c>
      <c r="AW133" s="46">
        <f ca="1">AR133*Inputs!$C$6+AT133*Inputs!$C$7+AS133*Inputs!$C$8</f>
        <v>0</v>
      </c>
      <c r="AX133" s="46">
        <f t="shared" ca="1" si="90"/>
        <v>47505569.918965496</v>
      </c>
      <c r="AY133" s="46">
        <f ca="1">IF(J133&gt;1,($CD$4)*Inputs!$B$55*((Z133+AA133+AB133)/(SUM(ILP_B_Moderate!$C$9:$E$13))),0)</f>
        <v>0</v>
      </c>
      <c r="AZ133" s="46">
        <f t="shared" ca="1" si="91"/>
        <v>0</v>
      </c>
      <c r="BA133" s="41">
        <f t="shared" ca="1" si="92"/>
        <v>0</v>
      </c>
      <c r="BB133" s="41">
        <f t="shared" ca="1" si="93"/>
        <v>1</v>
      </c>
      <c r="BC133" s="41">
        <f t="shared" ca="1" si="94"/>
        <v>1</v>
      </c>
      <c r="BD133" s="41">
        <f t="shared" ca="1" si="95"/>
        <v>1</v>
      </c>
    </row>
    <row r="134" spans="1:56" ht="15" customHeight="1" x14ac:dyDescent="0.3">
      <c r="A134" s="41">
        <v>127</v>
      </c>
      <c r="B134" s="42">
        <f t="shared" ca="1" si="77"/>
        <v>0.93511940725093756</v>
      </c>
      <c r="C134" s="43">
        <f ca="1">IF(B134&lt;=Inputs!$C$40,Inputs!$D$40,IF(B134&lt;=Inputs!$C$41,Inputs!$D$41,Inputs!$D$42))</f>
        <v>1.1499999999999999</v>
      </c>
      <c r="D134" s="42">
        <f t="shared" ca="1" si="100"/>
        <v>0.79689300441265987</v>
      </c>
      <c r="E134" s="42">
        <f t="shared" ca="1" si="100"/>
        <v>0.99403809304754276</v>
      </c>
      <c r="F134" s="42">
        <f t="shared" ca="1" si="100"/>
        <v>0.39597913973583521</v>
      </c>
      <c r="G134" s="42">
        <f t="shared" ca="1" si="100"/>
        <v>0.78421518871289975</v>
      </c>
      <c r="H134" s="42">
        <f t="shared" ca="1" si="100"/>
        <v>0.6586831814093359</v>
      </c>
      <c r="I134" s="42">
        <f t="shared" ca="1" si="100"/>
        <v>5.9223982651593454E-2</v>
      </c>
      <c r="J134" s="43">
        <f ca="1">IF(I134&lt;Inputs!$B$54,1+Inputs!$B$55,1)</f>
        <v>1.25</v>
      </c>
      <c r="K134" s="42">
        <f t="shared" ca="1" si="101"/>
        <v>9.2820307958273895E-2</v>
      </c>
      <c r="L134" s="42">
        <f t="shared" ca="1" si="101"/>
        <v>0.71541338026733792</v>
      </c>
      <c r="M134" s="42">
        <f t="shared" ca="1" si="101"/>
        <v>0.16674042916626441</v>
      </c>
      <c r="N134" s="42">
        <f t="shared" ca="1" si="101"/>
        <v>0.71580964400038827</v>
      </c>
      <c r="O134" s="42">
        <f t="shared" ca="1" si="101"/>
        <v>0.3077688471587795</v>
      </c>
      <c r="P134" s="42">
        <f t="shared" ca="1" si="101"/>
        <v>0.39291311876840029</v>
      </c>
      <c r="Q134" s="42">
        <f t="shared" ca="1" si="101"/>
        <v>0.60242616050337927</v>
      </c>
      <c r="R134" s="42">
        <f t="shared" ca="1" si="101"/>
        <v>0.89535973264700164</v>
      </c>
      <c r="S134" s="42">
        <f t="shared" ca="1" si="101"/>
        <v>0.84309348698317688</v>
      </c>
      <c r="T134" s="42">
        <f t="shared" ca="1" si="101"/>
        <v>0.61105066821842791</v>
      </c>
      <c r="U134" s="44">
        <f ca="1">(IF(D134&gt;=Inputs!$E$12,1,IF(K134&lt;=Inputs!$C$46,Inputs!$D$46,IF(K134&lt;=Inputs!$C$47,Inputs!$D$47,Inputs!$D$48))))*((Inputs!$B$28+(P134-0.5)*2*Inputs!$B$53)/Inputs!$B$28)</f>
        <v>0.99891612468389068</v>
      </c>
      <c r="V134" s="44">
        <f ca="1">(IF(E134&gt;=Inputs!$E$13,1,IF(L134&lt;=Inputs!$C$46,Inputs!$D$46,IF(L134&lt;=Inputs!$C$47,Inputs!$D$47,Inputs!$D$48))))*((Inputs!$B$29+(Q134-0.5)*2*Inputs!$B$53)/Inputs!$B$29)</f>
        <v>1.0010325217792679</v>
      </c>
      <c r="W134" s="44">
        <f ca="1">(IF(F134&gt;=Inputs!$E$14,1,IF(M134&lt;=Inputs!$C$46,Inputs!$D$46,IF(M134&lt;=Inputs!$C$47,Inputs!$D$47,Inputs!$D$48))))*((Inputs!$B$30+(R134-0.5)*2*Inputs!$B$53)/Inputs!$B$30)</f>
        <v>1.0039734646497187</v>
      </c>
      <c r="X134" s="44">
        <f ca="1">(IF(G134&gt;=Inputs!$E$15,1,IF(N134&lt;=Inputs!$C$46,Inputs!$D$46,IF(N134&lt;=Inputs!$C$47,Inputs!$D$47,Inputs!$D$48))))*((Inputs!$B$31+(S134-0.5)*2*Inputs!$B$53)/Inputs!$B$31)</f>
        <v>1.0034831826089663</v>
      </c>
      <c r="Y134" s="44">
        <f ca="1">(IF(H134&gt;=Inputs!$E$16,1,IF(O134&lt;=Inputs!$C$46,Inputs!$D$46,IF(O134&lt;=Inputs!$C$47,Inputs!$D$47,Inputs!$D$48))))*((Inputs!$B$32+(T134-0.5)*2*Inputs!$B$53)/Inputs!$B$32)</f>
        <v>1.0011172099418353</v>
      </c>
      <c r="Z134" s="45">
        <f ca="1">ILP_B_Moderate!$C$9*U134+ILP_B_Moderate!$C$10*V134+ILP_B_Moderate!$C$11*W134+ILP_B_Moderate!$C$12*X134+ILP_B_Moderate!$C$13*Y134</f>
        <v>18029.788455189017</v>
      </c>
      <c r="AA134" s="45">
        <f ca="1">ILP_B_Moderate!$D$9*U134+ILP_B_Moderate!$D$10*V134+ILP_B_Moderate!$D$11*W134+ILP_B_Moderate!$D$12*X134+ILP_B_Moderate!$D$13*Y134</f>
        <v>15012.493951822402</v>
      </c>
      <c r="AB134" s="45">
        <f ca="1">ILP_B_Moderate!$E$9*U134+ILP_B_Moderate!$E$10*V134+ILP_B_Moderate!$E$11*W134+ILP_B_Moderate!$E$12*X134+ILP_B_Moderate!$E$13*Y134</f>
        <v>11999.986932337337</v>
      </c>
      <c r="AC134" s="45">
        <f ca="1">Inputs!$B$6*$C134</f>
        <v>20700</v>
      </c>
      <c r="AD134" s="45">
        <f ca="1">Inputs!$B$7*$C134</f>
        <v>17250</v>
      </c>
      <c r="AE134" s="45">
        <f ca="1">Inputs!$B$8*$C134</f>
        <v>13799.999999999998</v>
      </c>
      <c r="AF134" s="45">
        <f t="shared" ca="1" si="78"/>
        <v>2670.2115448109835</v>
      </c>
      <c r="AG134" s="45">
        <f t="shared" ca="1" si="79"/>
        <v>2237.5060481775981</v>
      </c>
      <c r="AH134" s="45">
        <f t="shared" ca="1" si="80"/>
        <v>1800.0130676626613</v>
      </c>
      <c r="AI134" s="45">
        <f t="shared" ca="1" si="81"/>
        <v>6707.7306606512429</v>
      </c>
      <c r="AJ134" s="45">
        <f ca="1">U134*(Inputs!$B$12-ILP_B_Moderate!$F$9)+V134*(Inputs!$B$13-ILP_B_Moderate!$F$10)+W134*(Inputs!$B$14-ILP_B_Moderate!$F$11)+X134*(Inputs!$B$15-ILP_B_Moderate!$F$12)+Y134*(Inputs!$B$16-ILP_B_Moderate!$F$13)</f>
        <v>25065.055341384716</v>
      </c>
      <c r="AK134" s="45">
        <f t="shared" ca="1" si="82"/>
        <v>6707.7306606512429</v>
      </c>
      <c r="AL134" s="45">
        <f t="shared" ca="1" si="83"/>
        <v>0</v>
      </c>
      <c r="AM134" s="45">
        <f t="shared" ca="1" si="84"/>
        <v>0</v>
      </c>
      <c r="AN134" s="45">
        <f t="shared" ca="1" si="85"/>
        <v>0</v>
      </c>
      <c r="AO134" s="45">
        <f ca="1">MIN(AL134,Inputs!$B$36)</f>
        <v>0</v>
      </c>
      <c r="AP134" s="45">
        <f ca="1">MIN(AN134,Inputs!$B$36-AO134)</f>
        <v>0</v>
      </c>
      <c r="AQ134" s="45">
        <f ca="1">MIN(AM134,Inputs!$B$36-AO134-AP134)</f>
        <v>0</v>
      </c>
      <c r="AR134" s="45">
        <f t="shared" ca="1" si="86"/>
        <v>0</v>
      </c>
      <c r="AS134" s="45">
        <f t="shared" ca="1" si="87"/>
        <v>0</v>
      </c>
      <c r="AT134" s="45">
        <f t="shared" ca="1" si="88"/>
        <v>0</v>
      </c>
      <c r="AU134" s="45">
        <f t="shared" ca="1" si="89"/>
        <v>0</v>
      </c>
      <c r="AV134" s="46">
        <f ca="1">AU134*Inputs!$B$35</f>
        <v>0</v>
      </c>
      <c r="AW134" s="46">
        <f ca="1">AR134*Inputs!$C$6+AT134*Inputs!$C$7+AS134*Inputs!$C$8</f>
        <v>0</v>
      </c>
      <c r="AX134" s="46">
        <f t="shared" ca="1" si="90"/>
        <v>47612625.511167578</v>
      </c>
      <c r="AY134" s="46">
        <f ca="1">IF(J134&gt;1,($CD$4)*Inputs!$B$55*((Z134+AA134+AB134)/(SUM(ILP_B_Moderate!$C$9:$E$13))),0)</f>
        <v>571246.07854799391</v>
      </c>
      <c r="AZ134" s="46">
        <f t="shared" ca="1" si="91"/>
        <v>0</v>
      </c>
      <c r="BA134" s="41">
        <f t="shared" ca="1" si="92"/>
        <v>0</v>
      </c>
      <c r="BB134" s="41">
        <f t="shared" ca="1" si="93"/>
        <v>1</v>
      </c>
      <c r="BC134" s="41">
        <f t="shared" ca="1" si="94"/>
        <v>1</v>
      </c>
      <c r="BD134" s="41">
        <f t="shared" ca="1" si="95"/>
        <v>1</v>
      </c>
    </row>
    <row r="135" spans="1:56" ht="15" customHeight="1" x14ac:dyDescent="0.3">
      <c r="A135" s="41">
        <v>128</v>
      </c>
      <c r="B135" s="42">
        <f t="shared" ca="1" si="77"/>
        <v>0.56108693171177515</v>
      </c>
      <c r="C135" s="43">
        <f ca="1">IF(B135&lt;=Inputs!$C$40,Inputs!$D$40,IF(B135&lt;=Inputs!$C$41,Inputs!$D$41,Inputs!$D$42))</f>
        <v>1</v>
      </c>
      <c r="D135" s="42">
        <f t="shared" ca="1" si="100"/>
        <v>0.27508133746309016</v>
      </c>
      <c r="E135" s="42">
        <f t="shared" ca="1" si="100"/>
        <v>0.64155809302856626</v>
      </c>
      <c r="F135" s="42">
        <f t="shared" ca="1" si="100"/>
        <v>2.2965763376336934E-2</v>
      </c>
      <c r="G135" s="42">
        <f t="shared" ca="1" si="100"/>
        <v>8.4988879226224889E-2</v>
      </c>
      <c r="H135" s="42">
        <f t="shared" ca="1" si="100"/>
        <v>0.90000861786195152</v>
      </c>
      <c r="I135" s="42">
        <f t="shared" ca="1" si="100"/>
        <v>0.91660909954920533</v>
      </c>
      <c r="J135" s="43">
        <f ca="1">IF(I135&lt;Inputs!$B$54,1+Inputs!$B$55,1)</f>
        <v>1</v>
      </c>
      <c r="K135" s="42">
        <f t="shared" ca="1" si="101"/>
        <v>0.35930870514235069</v>
      </c>
      <c r="L135" s="42">
        <f t="shared" ca="1" si="101"/>
        <v>0.82291207426997826</v>
      </c>
      <c r="M135" s="42">
        <f t="shared" ca="1" si="101"/>
        <v>0.8686425143598876</v>
      </c>
      <c r="N135" s="42">
        <f t="shared" ca="1" si="101"/>
        <v>0.31561524128706842</v>
      </c>
      <c r="O135" s="42">
        <f t="shared" ca="1" si="101"/>
        <v>0.85167247646575006</v>
      </c>
      <c r="P135" s="42">
        <f t="shared" ca="1" si="101"/>
        <v>0.15545625897496029</v>
      </c>
      <c r="Q135" s="42">
        <f t="shared" ca="1" si="101"/>
        <v>0.80966190601399068</v>
      </c>
      <c r="R135" s="42">
        <f t="shared" ca="1" si="101"/>
        <v>0.51759536711419318</v>
      </c>
      <c r="S135" s="42">
        <f t="shared" ca="1" si="101"/>
        <v>0.6397949594322464</v>
      </c>
      <c r="T135" s="42">
        <f t="shared" ca="1" si="101"/>
        <v>0.48862873212445213</v>
      </c>
      <c r="U135" s="44">
        <f ca="1">(IF(D135&gt;=Inputs!$E$12,1,IF(K135&lt;=Inputs!$C$46,Inputs!$D$46,IF(K135&lt;=Inputs!$C$47,Inputs!$D$47,Inputs!$D$48))))*((Inputs!$B$28+(P135-0.5)*2*Inputs!$B$53)/Inputs!$B$28)</f>
        <v>0.99651271517181139</v>
      </c>
      <c r="V135" s="44">
        <f ca="1">(IF(E135&gt;=Inputs!$E$13,1,IF(L135&lt;=Inputs!$C$46,Inputs!$D$46,IF(L135&lt;=Inputs!$C$47,Inputs!$D$47,Inputs!$D$48))))*((Inputs!$B$29+(Q135-0.5)*2*Inputs!$B$53)/Inputs!$B$29)</f>
        <v>1.0031215917944958</v>
      </c>
      <c r="W135" s="44">
        <f ca="1">(IF(F135&gt;=Inputs!$E$14,1,IF(M135&lt;=Inputs!$C$46,Inputs!$D$46,IF(M135&lt;=Inputs!$C$47,Inputs!$D$47,Inputs!$D$48))))*((Inputs!$B$30+(R135-0.5)*2*Inputs!$B$53)/Inputs!$B$30)</f>
        <v>0</v>
      </c>
      <c r="X135" s="44">
        <f ca="1">(IF(G135&gt;=Inputs!$E$15,1,IF(N135&lt;=Inputs!$C$46,Inputs!$D$46,IF(N135&lt;=Inputs!$C$47,Inputs!$D$47,Inputs!$D$48))))*((Inputs!$B$31+(S135-0.5)*2*Inputs!$B$53)/Inputs!$B$31)</f>
        <v>0.60085154290009479</v>
      </c>
      <c r="Y135" s="44">
        <f ca="1">(IF(H135&gt;=Inputs!$E$16,1,IF(O135&lt;=Inputs!$C$46,Inputs!$D$46,IF(O135&lt;=Inputs!$C$47,Inputs!$D$47,Inputs!$D$48))))*((Inputs!$B$32+(T135-0.5)*2*Inputs!$B$53)/Inputs!$B$32)</f>
        <v>0.99988560092680534</v>
      </c>
      <c r="Z135" s="45">
        <f ca="1">ILP_B_Moderate!$C$9*U135+ILP_B_Moderate!$C$10*V135+ILP_B_Moderate!$C$11*W135+ILP_B_Moderate!$C$12*X135+ILP_B_Moderate!$C$13*Y135</f>
        <v>14401.86789293019</v>
      </c>
      <c r="AA135" s="45">
        <f ca="1">ILP_B_Moderate!$D$9*U135+ILP_B_Moderate!$D$10*V135+ILP_B_Moderate!$D$11*W135+ILP_B_Moderate!$D$12*X135+ILP_B_Moderate!$D$13*Y135</f>
        <v>13881.492796441064</v>
      </c>
      <c r="AB135" s="45">
        <f ca="1">ILP_B_Moderate!$E$9*U135+ILP_B_Moderate!$E$10*V135+ILP_B_Moderate!$E$11*W135+ILP_B_Moderate!$E$12*X135+ILP_B_Moderate!$E$13*Y135</f>
        <v>11986.53164961481</v>
      </c>
      <c r="AC135" s="45">
        <f ca="1">Inputs!$B$6*$C135</f>
        <v>18000</v>
      </c>
      <c r="AD135" s="45">
        <f ca="1">Inputs!$B$7*$C135</f>
        <v>15000</v>
      </c>
      <c r="AE135" s="45">
        <f ca="1">Inputs!$B$8*$C135</f>
        <v>12000</v>
      </c>
      <c r="AF135" s="45">
        <f t="shared" ca="1" si="78"/>
        <v>3598.1321070698104</v>
      </c>
      <c r="AG135" s="45">
        <f t="shared" ca="1" si="79"/>
        <v>1118.5072035589365</v>
      </c>
      <c r="AH135" s="45">
        <f t="shared" ca="1" si="80"/>
        <v>13.468350385190206</v>
      </c>
      <c r="AI135" s="45">
        <f t="shared" ca="1" si="81"/>
        <v>4730.1076610139371</v>
      </c>
      <c r="AJ135" s="45">
        <f ca="1">U135*(Inputs!$B$12-ILP_B_Moderate!$F$9)+V135*(Inputs!$B$13-ILP_B_Moderate!$F$10)+W135*(Inputs!$B$14-ILP_B_Moderate!$F$11)+X135*(Inputs!$B$15-ILP_B_Moderate!$F$12)+Y135*(Inputs!$B$16-ILP_B_Moderate!$F$13)</f>
        <v>11926.515917589079</v>
      </c>
      <c r="AK135" s="45">
        <f t="shared" ca="1" si="82"/>
        <v>4730.1076610139371</v>
      </c>
      <c r="AL135" s="45">
        <f t="shared" ca="1" si="83"/>
        <v>0</v>
      </c>
      <c r="AM135" s="45">
        <f t="shared" ca="1" si="84"/>
        <v>0</v>
      </c>
      <c r="AN135" s="45">
        <f t="shared" ca="1" si="85"/>
        <v>0</v>
      </c>
      <c r="AO135" s="45">
        <f ca="1">MIN(AL135,Inputs!$B$36)</f>
        <v>0</v>
      </c>
      <c r="AP135" s="45">
        <f ca="1">MIN(AN135,Inputs!$B$36-AO135)</f>
        <v>0</v>
      </c>
      <c r="AQ135" s="45">
        <f ca="1">MIN(AM135,Inputs!$B$36-AO135-AP135)</f>
        <v>0</v>
      </c>
      <c r="AR135" s="45">
        <f t="shared" ca="1" si="86"/>
        <v>0</v>
      </c>
      <c r="AS135" s="45">
        <f t="shared" ca="1" si="87"/>
        <v>0</v>
      </c>
      <c r="AT135" s="45">
        <f t="shared" ca="1" si="88"/>
        <v>0</v>
      </c>
      <c r="AU135" s="45">
        <f t="shared" ca="1" si="89"/>
        <v>0</v>
      </c>
      <c r="AV135" s="46">
        <f ca="1">AU135*Inputs!$B$35</f>
        <v>0</v>
      </c>
      <c r="AW135" s="46">
        <f ca="1">AR135*Inputs!$C$6+AT135*Inputs!$C$7+AS135*Inputs!$C$8</f>
        <v>0</v>
      </c>
      <c r="AX135" s="46">
        <f t="shared" ca="1" si="90"/>
        <v>42665633.750547618</v>
      </c>
      <c r="AY135" s="46">
        <f ca="1">IF(J135&gt;1,($CD$4)*Inputs!$B$55*((Z135+AA135+AB135)/(SUM(ILP_B_Moderate!$C$9:$E$13))),0)</f>
        <v>0</v>
      </c>
      <c r="AZ135" s="46">
        <f t="shared" ca="1" si="91"/>
        <v>0</v>
      </c>
      <c r="BA135" s="41">
        <f t="shared" ca="1" si="92"/>
        <v>0</v>
      </c>
      <c r="BB135" s="41">
        <f t="shared" ca="1" si="93"/>
        <v>1</v>
      </c>
      <c r="BC135" s="41">
        <f t="shared" ca="1" si="94"/>
        <v>1</v>
      </c>
      <c r="BD135" s="41">
        <f t="shared" ca="1" si="95"/>
        <v>1</v>
      </c>
    </row>
    <row r="136" spans="1:56" ht="15" customHeight="1" x14ac:dyDescent="0.3">
      <c r="A136" s="41">
        <v>129</v>
      </c>
      <c r="B136" s="42">
        <f t="shared" ref="B136:B157" ca="1" si="102">RAND()</f>
        <v>0.75897374362269676</v>
      </c>
      <c r="C136" s="43">
        <f ca="1">IF(B136&lt;=Inputs!$C$40,Inputs!$D$40,IF(B136&lt;=Inputs!$C$41,Inputs!$D$41,Inputs!$D$42))</f>
        <v>1.1499999999999999</v>
      </c>
      <c r="D136" s="42">
        <f t="shared" ca="1" si="100"/>
        <v>0.77693906644487642</v>
      </c>
      <c r="E136" s="42">
        <f t="shared" ca="1" si="100"/>
        <v>0.7346098703671039</v>
      </c>
      <c r="F136" s="42">
        <f t="shared" ca="1" si="100"/>
        <v>0.77831927020921565</v>
      </c>
      <c r="G136" s="42">
        <f t="shared" ca="1" si="100"/>
        <v>0.76838615679798106</v>
      </c>
      <c r="H136" s="42">
        <f t="shared" ca="1" si="100"/>
        <v>0.77883003967602393</v>
      </c>
      <c r="I136" s="42">
        <f t="shared" ca="1" si="100"/>
        <v>0.92488755947524259</v>
      </c>
      <c r="J136" s="43">
        <f ca="1">IF(I136&lt;Inputs!$B$54,1+Inputs!$B$55,1)</f>
        <v>1</v>
      </c>
      <c r="K136" s="42">
        <f t="shared" ca="1" si="101"/>
        <v>0.67795764285018345</v>
      </c>
      <c r="L136" s="42">
        <f t="shared" ca="1" si="101"/>
        <v>0.34776295784449718</v>
      </c>
      <c r="M136" s="42">
        <f t="shared" ca="1" si="101"/>
        <v>0.74792509967585441</v>
      </c>
      <c r="N136" s="42">
        <f t="shared" ca="1" si="101"/>
        <v>0.88391339816120196</v>
      </c>
      <c r="O136" s="42">
        <f t="shared" ca="1" si="101"/>
        <v>0.56184139844744285</v>
      </c>
      <c r="P136" s="42">
        <f t="shared" ca="1" si="101"/>
        <v>0.45125141328220275</v>
      </c>
      <c r="Q136" s="42">
        <f t="shared" ca="1" si="101"/>
        <v>0.32848781302341501</v>
      </c>
      <c r="R136" s="42">
        <f t="shared" ca="1" si="101"/>
        <v>0.26329180221705528</v>
      </c>
      <c r="S136" s="42">
        <f t="shared" ca="1" si="101"/>
        <v>0.1328835858426789</v>
      </c>
      <c r="T136" s="42">
        <f t="shared" ca="1" si="101"/>
        <v>0.35736451221262877</v>
      </c>
      <c r="U136" s="44">
        <f ca="1">(IF(D136&gt;=Inputs!$E$12,1,IF(K136&lt;=Inputs!$C$46,Inputs!$D$46,IF(K136&lt;=Inputs!$C$47,Inputs!$D$47,Inputs!$D$48))))*((Inputs!$B$28+(P136-0.5)*2*Inputs!$B$53)/Inputs!$B$28)</f>
        <v>0.99950659325184421</v>
      </c>
      <c r="V136" s="44">
        <f ca="1">(IF(E136&gt;=Inputs!$E$13,1,IF(L136&lt;=Inputs!$C$46,Inputs!$D$46,IF(L136&lt;=Inputs!$C$47,Inputs!$D$47,Inputs!$D$48))))*((Inputs!$B$29+(Q136-0.5)*2*Inputs!$B$53)/Inputs!$B$29)</f>
        <v>0.99827104650225218</v>
      </c>
      <c r="W136" s="44">
        <f ca="1">(IF(F136&gt;=Inputs!$E$14,1,IF(M136&lt;=Inputs!$C$46,Inputs!$D$46,IF(M136&lt;=Inputs!$C$47,Inputs!$D$47,Inputs!$D$48))))*((Inputs!$B$30+(R136-0.5)*2*Inputs!$B$53)/Inputs!$B$30)</f>
        <v>0.99762102313785983</v>
      </c>
      <c r="X136" s="44">
        <f ca="1">(IF(G136&gt;=Inputs!$E$15,1,IF(N136&lt;=Inputs!$C$46,Inputs!$D$46,IF(N136&lt;=Inputs!$C$47,Inputs!$D$47,Inputs!$D$48))))*((Inputs!$B$31+(S136-0.5)*2*Inputs!$B$53)/Inputs!$B$31)</f>
        <v>0.99627292980550941</v>
      </c>
      <c r="Y136" s="44">
        <f ca="1">(IF(H136&gt;=Inputs!$E$16,1,IF(O136&lt;=Inputs!$C$46,Inputs!$D$46,IF(O136&lt;=Inputs!$C$47,Inputs!$D$47,Inputs!$D$48))))*((Inputs!$B$32+(T136-0.5)*2*Inputs!$B$53)/Inputs!$B$32)</f>
        <v>0.9985650353341311</v>
      </c>
      <c r="Z136" s="45">
        <f ca="1">ILP_B_Moderate!$C$9*U136+ILP_B_Moderate!$C$10*V136+ILP_B_Moderate!$C$11*W136+ILP_B_Moderate!$C$12*X136+ILP_B_Moderate!$C$13*Y136</f>
        <v>17957.231670501762</v>
      </c>
      <c r="AA136" s="45">
        <f ca="1">ILP_B_Moderate!$D$9*U136+ILP_B_Moderate!$D$10*V136+ILP_B_Moderate!$D$11*W136+ILP_B_Moderate!$D$12*X136+ILP_B_Moderate!$D$13*Y136</f>
        <v>14974.213367237058</v>
      </c>
      <c r="AB136" s="45">
        <f ca="1">ILP_B_Moderate!$E$9*U136+ILP_B_Moderate!$E$10*V136+ILP_B_Moderate!$E$11*W136+ILP_B_Moderate!$E$12*X136+ILP_B_Moderate!$E$13*Y136</f>
        <v>11987.690095614844</v>
      </c>
      <c r="AC136" s="45">
        <f ca="1">Inputs!$B$6*$C136</f>
        <v>20700</v>
      </c>
      <c r="AD136" s="45">
        <f ca="1">Inputs!$B$7*$C136</f>
        <v>17250</v>
      </c>
      <c r="AE136" s="45">
        <f ca="1">Inputs!$B$8*$C136</f>
        <v>13799.999999999998</v>
      </c>
      <c r="AF136" s="45">
        <f t="shared" ref="AF136:AF157" ca="1" si="103">MAX(0,AC136-Z136)</f>
        <v>2742.768329498238</v>
      </c>
      <c r="AG136" s="45">
        <f t="shared" ref="AG136:AG157" ca="1" si="104">MAX(0,AD136-AA136)</f>
        <v>2275.7866327629417</v>
      </c>
      <c r="AH136" s="45">
        <f t="shared" ref="AH136:AH157" ca="1" si="105">MAX(0,AE136-AB136)</f>
        <v>1812.3099043851544</v>
      </c>
      <c r="AI136" s="45">
        <f t="shared" ref="AI136:AI157" ca="1" si="106">SUM(AF136:AH136)</f>
        <v>6830.8648666463341</v>
      </c>
      <c r="AJ136" s="45">
        <f ca="1">U136*(Inputs!$B$12-ILP_B_Moderate!$F$9)+V136*(Inputs!$B$13-ILP_B_Moderate!$F$10)+W136*(Inputs!$B$14-ILP_B_Moderate!$F$11)+X136*(Inputs!$B$15-ILP_B_Moderate!$F$12)+Y136*(Inputs!$B$16-ILP_B_Moderate!$F$13)</f>
        <v>24951.588998177627</v>
      </c>
      <c r="AK136" s="45">
        <f t="shared" ref="AK136:AK157" ca="1" si="107">MIN(AI136,MAX(0,AJ136))</f>
        <v>6830.8648666463341</v>
      </c>
      <c r="AL136" s="45">
        <f t="shared" ref="AL136:AL157" ca="1" si="108">AF136*(1-(IF(AI136&gt;0,AK136/AI136,0)))</f>
        <v>0</v>
      </c>
      <c r="AM136" s="45">
        <f t="shared" ref="AM136:AM157" ca="1" si="109">AG136*(1-(IF(AI136&gt;0,AK136/AI136,0)))</f>
        <v>0</v>
      </c>
      <c r="AN136" s="45">
        <f t="shared" ref="AN136:AN157" ca="1" si="110">AH136*(1-(IF(AI136&gt;0,AK136/AI136,0)))</f>
        <v>0</v>
      </c>
      <c r="AO136" s="45">
        <f ca="1">MIN(AL136,Inputs!$B$36)</f>
        <v>0</v>
      </c>
      <c r="AP136" s="45">
        <f ca="1">MIN(AN136,Inputs!$B$36-AO136)</f>
        <v>0</v>
      </c>
      <c r="AQ136" s="45">
        <f ca="1">MIN(AM136,Inputs!$B$36-AO136-AP136)</f>
        <v>0</v>
      </c>
      <c r="AR136" s="45">
        <f t="shared" ref="AR136:AR157" ca="1" si="111">AL136-AO136</f>
        <v>0</v>
      </c>
      <c r="AS136" s="45">
        <f t="shared" ref="AS136:AS157" ca="1" si="112">AN136-AP136</f>
        <v>0</v>
      </c>
      <c r="AT136" s="45">
        <f t="shared" ref="AT136:AT157" ca="1" si="113">AM136-AQ136</f>
        <v>0</v>
      </c>
      <c r="AU136" s="45">
        <f t="shared" ref="AU136:AU157" ca="1" si="114">AO136+AP136+AQ136</f>
        <v>0</v>
      </c>
      <c r="AV136" s="46">
        <f ca="1">AU136*Inputs!$B$35</f>
        <v>0</v>
      </c>
      <c r="AW136" s="46">
        <f ca="1">AR136*Inputs!$C$6+AT136*Inputs!$C$7+AS136*Inputs!$C$8</f>
        <v>0</v>
      </c>
      <c r="AX136" s="46">
        <f t="shared" ref="AX136:AX157" ca="1" si="115">Z136*$CA$4+AA136*$CB$4+AB136*$CC$4</f>
        <v>47483960.58138635</v>
      </c>
      <c r="AY136" s="46">
        <f ca="1">IF(J136&gt;1,($CD$4)*Inputs!$B$55*((Z136+AA136+AB136)/(SUM(ILP_B_Moderate!$C$9:$E$13))),0)</f>
        <v>0</v>
      </c>
      <c r="AZ136" s="46">
        <f t="shared" ref="AZ136:AZ157" ca="1" si="116">AV136+AW136</f>
        <v>0</v>
      </c>
      <c r="BA136" s="41">
        <f t="shared" ref="BA136:BA157" ca="1" si="117">IF(AR136+AT136+AS136&gt;0,1,0)</f>
        <v>0</v>
      </c>
      <c r="BB136" s="41">
        <f t="shared" ref="BB136:BB157" ca="1" si="118">IF(AR136=0,1,0)</f>
        <v>1</v>
      </c>
      <c r="BC136" s="41">
        <f t="shared" ref="BC136:BC157" ca="1" si="119">IF(AT136=0,1,0)</f>
        <v>1</v>
      </c>
      <c r="BD136" s="41">
        <f t="shared" ref="BD136:BD157" ca="1" si="120">IF(AS136=0,1,0)</f>
        <v>1</v>
      </c>
    </row>
    <row r="137" spans="1:56" ht="15" customHeight="1" x14ac:dyDescent="0.3">
      <c r="A137" s="41">
        <v>130</v>
      </c>
      <c r="B137" s="42">
        <f t="shared" ca="1" si="102"/>
        <v>0.24872159404721161</v>
      </c>
      <c r="C137" s="43">
        <f ca="1">IF(B137&lt;=Inputs!$C$40,Inputs!$D$40,IF(B137&lt;=Inputs!$C$41,Inputs!$D$41,Inputs!$D$42))</f>
        <v>1</v>
      </c>
      <c r="D137" s="42">
        <f t="shared" ca="1" si="100"/>
        <v>0.97737766282290062</v>
      </c>
      <c r="E137" s="42">
        <f t="shared" ca="1" si="100"/>
        <v>0.99502165497585882</v>
      </c>
      <c r="F137" s="42">
        <f t="shared" ca="1" si="100"/>
        <v>0.94160643064132843</v>
      </c>
      <c r="G137" s="42">
        <f t="shared" ca="1" si="100"/>
        <v>0.17056165670863299</v>
      </c>
      <c r="H137" s="42">
        <f t="shared" ca="1" si="100"/>
        <v>0.76264174604511847</v>
      </c>
      <c r="I137" s="42">
        <f t="shared" ca="1" si="100"/>
        <v>0.16290744354510955</v>
      </c>
      <c r="J137" s="43">
        <f ca="1">IF(I137&lt;Inputs!$B$54,1+Inputs!$B$55,1)</f>
        <v>1</v>
      </c>
      <c r="K137" s="42">
        <f t="shared" ca="1" si="101"/>
        <v>0.43759699848796307</v>
      </c>
      <c r="L137" s="42">
        <f t="shared" ca="1" si="101"/>
        <v>0.71741652846236936</v>
      </c>
      <c r="M137" s="42">
        <f t="shared" ca="1" si="101"/>
        <v>0.11967184448877644</v>
      </c>
      <c r="N137" s="42">
        <f t="shared" ca="1" si="101"/>
        <v>0.86523636976377793</v>
      </c>
      <c r="O137" s="42">
        <f t="shared" ca="1" si="101"/>
        <v>0.79398842565827465</v>
      </c>
      <c r="P137" s="42">
        <f t="shared" ca="1" si="101"/>
        <v>0.44708670750798929</v>
      </c>
      <c r="Q137" s="42">
        <f t="shared" ca="1" si="101"/>
        <v>0.65891428574539002</v>
      </c>
      <c r="R137" s="42">
        <f t="shared" ca="1" si="101"/>
        <v>0.55052395049894998</v>
      </c>
      <c r="S137" s="42">
        <f t="shared" ca="1" si="101"/>
        <v>0.87994383226601158</v>
      </c>
      <c r="T137" s="42">
        <f t="shared" ca="1" si="101"/>
        <v>2.8856538077721705E-3</v>
      </c>
      <c r="U137" s="44">
        <f ca="1">(IF(D137&gt;=Inputs!$E$12,1,IF(K137&lt;=Inputs!$C$46,Inputs!$D$46,IF(K137&lt;=Inputs!$C$47,Inputs!$D$47,Inputs!$D$48))))*((Inputs!$B$28+(P137-0.5)*2*Inputs!$B$53)/Inputs!$B$28)</f>
        <v>0.99946444035939264</v>
      </c>
      <c r="V137" s="44">
        <f ca="1">(IF(E137&gt;=Inputs!$E$13,1,IF(L137&lt;=Inputs!$C$46,Inputs!$D$46,IF(L137&lt;=Inputs!$C$47,Inputs!$D$47,Inputs!$D$48))))*((Inputs!$B$29+(Q137-0.5)*2*Inputs!$B$53)/Inputs!$B$29)</f>
        <v>1.0016019585256593</v>
      </c>
      <c r="W137" s="44">
        <f ca="1">(IF(F137&gt;=Inputs!$E$14,1,IF(M137&lt;=Inputs!$C$46,Inputs!$D$46,IF(M137&lt;=Inputs!$C$47,Inputs!$D$47,Inputs!$D$48))))*((Inputs!$B$30+(R137-0.5)*2*Inputs!$B$53)/Inputs!$B$30)</f>
        <v>1.0005077783969745</v>
      </c>
      <c r="X137" s="44">
        <f ca="1">(IF(G137&gt;=Inputs!$E$15,1,IF(N137&lt;=Inputs!$C$46,Inputs!$D$46,IF(N137&lt;=Inputs!$C$47,Inputs!$D$47,Inputs!$D$48))))*((Inputs!$B$31+(S137-0.5)*2*Inputs!$B$53)/Inputs!$B$31)</f>
        <v>0</v>
      </c>
      <c r="Y137" s="44">
        <f ca="1">(IF(H137&gt;=Inputs!$E$16,1,IF(O137&lt;=Inputs!$C$46,Inputs!$D$46,IF(O137&lt;=Inputs!$C$47,Inputs!$D$47,Inputs!$D$48))))*((Inputs!$B$32+(T137-0.5)*2*Inputs!$B$53)/Inputs!$B$32)</f>
        <v>0.99499884963589302</v>
      </c>
      <c r="Z137" s="45">
        <f ca="1">ILP_B_Moderate!$C$9*U137+ILP_B_Moderate!$C$10*V137+ILP_B_Moderate!$C$11*W137+ILP_B_Moderate!$C$12*X137+ILP_B_Moderate!$C$13*Y137</f>
        <v>9003.456433574318</v>
      </c>
      <c r="AA137" s="45">
        <f ca="1">ILP_B_Moderate!$D$9*U137+ILP_B_Moderate!$D$10*V137+ILP_B_Moderate!$D$11*W137+ILP_B_Moderate!$D$12*X137+ILP_B_Moderate!$D$13*Y137</f>
        <v>12189.5082698244</v>
      </c>
      <c r="AB137" s="45">
        <f ca="1">ILP_B_Moderate!$E$9*U137+ILP_B_Moderate!$E$10*V137+ILP_B_Moderate!$E$11*W137+ILP_B_Moderate!$E$12*X137+ILP_B_Moderate!$E$13*Y137</f>
        <v>11983.393161938366</v>
      </c>
      <c r="AC137" s="45">
        <f ca="1">Inputs!$B$6*$C137</f>
        <v>18000</v>
      </c>
      <c r="AD137" s="45">
        <f ca="1">Inputs!$B$7*$C137</f>
        <v>15000</v>
      </c>
      <c r="AE137" s="45">
        <f ca="1">Inputs!$B$8*$C137</f>
        <v>12000</v>
      </c>
      <c r="AF137" s="45">
        <f t="shared" ca="1" si="103"/>
        <v>8996.543566425682</v>
      </c>
      <c r="AG137" s="45">
        <f t="shared" ca="1" si="104"/>
        <v>2810.4917301755995</v>
      </c>
      <c r="AH137" s="45">
        <f t="shared" ca="1" si="105"/>
        <v>16.606838061634335</v>
      </c>
      <c r="AI137" s="45">
        <f t="shared" ca="1" si="106"/>
        <v>11823.642134662916</v>
      </c>
      <c r="AJ137" s="45">
        <f ca="1">U137*(Inputs!$B$12-ILP_B_Moderate!$F$9)+V137*(Inputs!$B$13-ILP_B_Moderate!$F$10)+W137*(Inputs!$B$14-ILP_B_Moderate!$F$11)+X137*(Inputs!$B$15-ILP_B_Moderate!$F$12)+Y137*(Inputs!$B$16-ILP_B_Moderate!$F$13)</f>
        <v>24769.084463471489</v>
      </c>
      <c r="AK137" s="45">
        <f t="shared" ca="1" si="107"/>
        <v>11823.642134662916</v>
      </c>
      <c r="AL137" s="45">
        <f t="shared" ca="1" si="108"/>
        <v>0</v>
      </c>
      <c r="AM137" s="45">
        <f t="shared" ca="1" si="109"/>
        <v>0</v>
      </c>
      <c r="AN137" s="45">
        <f t="shared" ca="1" si="110"/>
        <v>0</v>
      </c>
      <c r="AO137" s="45">
        <f ca="1">MIN(AL137,Inputs!$B$36)</f>
        <v>0</v>
      </c>
      <c r="AP137" s="45">
        <f ca="1">MIN(AN137,Inputs!$B$36-AO137)</f>
        <v>0</v>
      </c>
      <c r="AQ137" s="45">
        <f ca="1">MIN(AM137,Inputs!$B$36-AO137-AP137)</f>
        <v>0</v>
      </c>
      <c r="AR137" s="45">
        <f t="shared" ca="1" si="111"/>
        <v>0</v>
      </c>
      <c r="AS137" s="45">
        <f t="shared" ca="1" si="112"/>
        <v>0</v>
      </c>
      <c r="AT137" s="45">
        <f t="shared" ca="1" si="113"/>
        <v>0</v>
      </c>
      <c r="AU137" s="45">
        <f t="shared" ca="1" si="114"/>
        <v>0</v>
      </c>
      <c r="AV137" s="46">
        <f ca="1">AU137*Inputs!$B$35</f>
        <v>0</v>
      </c>
      <c r="AW137" s="46">
        <f ca="1">AR137*Inputs!$C$6+AT137*Inputs!$C$7+AS137*Inputs!$C$8</f>
        <v>0</v>
      </c>
      <c r="AX137" s="46">
        <f t="shared" ca="1" si="115"/>
        <v>35313516.339082159</v>
      </c>
      <c r="AY137" s="46">
        <f ca="1">IF(J137&gt;1,($CD$4)*Inputs!$B$55*((Z137+AA137+AB137)/(SUM(ILP_B_Moderate!$C$9:$E$13))),0)</f>
        <v>0</v>
      </c>
      <c r="AZ137" s="46">
        <f t="shared" ca="1" si="116"/>
        <v>0</v>
      </c>
      <c r="BA137" s="41">
        <f t="shared" ca="1" si="117"/>
        <v>0</v>
      </c>
      <c r="BB137" s="41">
        <f t="shared" ca="1" si="118"/>
        <v>1</v>
      </c>
      <c r="BC137" s="41">
        <f t="shared" ca="1" si="119"/>
        <v>1</v>
      </c>
      <c r="BD137" s="41">
        <f t="shared" ca="1" si="120"/>
        <v>1</v>
      </c>
    </row>
    <row r="138" spans="1:56" ht="15" customHeight="1" x14ac:dyDescent="0.3">
      <c r="A138" s="41">
        <v>131</v>
      </c>
      <c r="B138" s="42">
        <f t="shared" ca="1" si="102"/>
        <v>0.23735880029545409</v>
      </c>
      <c r="C138" s="43">
        <f ca="1">IF(B138&lt;=Inputs!$C$40,Inputs!$D$40,IF(B138&lt;=Inputs!$C$41,Inputs!$D$41,Inputs!$D$42))</f>
        <v>1</v>
      </c>
      <c r="D138" s="42">
        <f t="shared" ref="D138:I147" ca="1" si="121">RAND()</f>
        <v>0.82180408628680801</v>
      </c>
      <c r="E138" s="42">
        <f t="shared" ca="1" si="121"/>
        <v>0.39396263055331471</v>
      </c>
      <c r="F138" s="42">
        <f t="shared" ca="1" si="121"/>
        <v>8.6738420978523356E-2</v>
      </c>
      <c r="G138" s="42">
        <f t="shared" ca="1" si="121"/>
        <v>0.45549044981477438</v>
      </c>
      <c r="H138" s="42">
        <f t="shared" ca="1" si="121"/>
        <v>0.51440088114241955</v>
      </c>
      <c r="I138" s="42">
        <f t="shared" ca="1" si="121"/>
        <v>0.59148364100520912</v>
      </c>
      <c r="J138" s="43">
        <f ca="1">IF(I138&lt;Inputs!$B$54,1+Inputs!$B$55,1)</f>
        <v>1</v>
      </c>
      <c r="K138" s="42">
        <f t="shared" ref="K138:T147" ca="1" si="122">RAND()</f>
        <v>0.86868568747171271</v>
      </c>
      <c r="L138" s="42">
        <f t="shared" ca="1" si="122"/>
        <v>0.38180441123748343</v>
      </c>
      <c r="M138" s="42">
        <f t="shared" ca="1" si="122"/>
        <v>0.86536885318838819</v>
      </c>
      <c r="N138" s="42">
        <f t="shared" ca="1" si="122"/>
        <v>0.73417347681095035</v>
      </c>
      <c r="O138" s="42">
        <f t="shared" ca="1" si="122"/>
        <v>0.81067035146749922</v>
      </c>
      <c r="P138" s="42">
        <f t="shared" ca="1" si="122"/>
        <v>3.9596675281903693E-2</v>
      </c>
      <c r="Q138" s="42">
        <f t="shared" ca="1" si="122"/>
        <v>0.46229650726766047</v>
      </c>
      <c r="R138" s="42">
        <f t="shared" ca="1" si="122"/>
        <v>8.5639786484221769E-2</v>
      </c>
      <c r="S138" s="42">
        <f t="shared" ca="1" si="122"/>
        <v>0.27063568164979523</v>
      </c>
      <c r="T138" s="42">
        <f t="shared" ca="1" si="122"/>
        <v>0.44825686165108092</v>
      </c>
      <c r="U138" s="44">
        <f ca="1">(IF(D138&gt;=Inputs!$E$12,1,IF(K138&lt;=Inputs!$C$46,Inputs!$D$46,IF(K138&lt;=Inputs!$C$47,Inputs!$D$47,Inputs!$D$48))))*((Inputs!$B$28+(P138-0.5)*2*Inputs!$B$53)/Inputs!$B$28)</f>
        <v>0.99534004732066705</v>
      </c>
      <c r="V138" s="44">
        <f ca="1">(IF(E138&gt;=Inputs!$E$13,1,IF(L138&lt;=Inputs!$C$46,Inputs!$D$46,IF(L138&lt;=Inputs!$C$47,Inputs!$D$47,Inputs!$D$48))))*((Inputs!$B$29+(Q138-0.5)*2*Inputs!$B$53)/Inputs!$B$29)</f>
        <v>0.99961992446842396</v>
      </c>
      <c r="W138" s="44">
        <f ca="1">(IF(F138&gt;=Inputs!$E$14,1,IF(M138&lt;=Inputs!$C$46,Inputs!$D$46,IF(M138&lt;=Inputs!$C$47,Inputs!$D$47,Inputs!$D$48))))*((Inputs!$B$30+(R138-0.5)*2*Inputs!$B$53)/Inputs!$B$30)</f>
        <v>0.99583557574356008</v>
      </c>
      <c r="X138" s="44">
        <f ca="1">(IF(G138&gt;=Inputs!$E$15,1,IF(N138&lt;=Inputs!$C$46,Inputs!$D$46,IF(N138&lt;=Inputs!$C$47,Inputs!$D$47,Inputs!$D$48))))*((Inputs!$B$31+(S138-0.5)*2*Inputs!$B$53)/Inputs!$B$31)</f>
        <v>0.99767142824009947</v>
      </c>
      <c r="Y138" s="44">
        <f ca="1">(IF(H138&gt;=Inputs!$E$16,1,IF(O138&lt;=Inputs!$C$46,Inputs!$D$46,IF(O138&lt;=Inputs!$C$47,Inputs!$D$47,Inputs!$D$48))))*((Inputs!$B$32+(T138-0.5)*2*Inputs!$B$53)/Inputs!$B$32)</f>
        <v>0.99947944528824029</v>
      </c>
      <c r="Z138" s="45">
        <f ca="1">ILP_B_Moderate!$C$9*U138+ILP_B_Moderate!$C$10*V138+ILP_B_Moderate!$C$11*W138+ILP_B_Moderate!$C$12*X138+ILP_B_Moderate!$C$13*Y138</f>
        <v>17953.674964363014</v>
      </c>
      <c r="AA138" s="45">
        <f ca="1">ILP_B_Moderate!$D$9*U138+ILP_B_Moderate!$D$10*V138+ILP_B_Moderate!$D$11*W138+ILP_B_Moderate!$D$12*X138+ILP_B_Moderate!$D$13*Y138</f>
        <v>14968.774282610982</v>
      </c>
      <c r="AB138" s="45">
        <f ca="1">ILP_B_Moderate!$E$9*U138+ILP_B_Moderate!$E$10*V138+ILP_B_Moderate!$E$11*W138+ILP_B_Moderate!$E$12*X138+ILP_B_Moderate!$E$13*Y138</f>
        <v>11969.270401270785</v>
      </c>
      <c r="AC138" s="45">
        <f ca="1">Inputs!$B$6*$C138</f>
        <v>18000</v>
      </c>
      <c r="AD138" s="45">
        <f ca="1">Inputs!$B$7*$C138</f>
        <v>15000</v>
      </c>
      <c r="AE138" s="45">
        <f ca="1">Inputs!$B$8*$C138</f>
        <v>12000</v>
      </c>
      <c r="AF138" s="45">
        <f t="shared" ca="1" si="103"/>
        <v>46.325035636986286</v>
      </c>
      <c r="AG138" s="45">
        <f t="shared" ca="1" si="104"/>
        <v>31.225717389017518</v>
      </c>
      <c r="AH138" s="45">
        <f t="shared" ca="1" si="105"/>
        <v>30.729598729214558</v>
      </c>
      <c r="AI138" s="45">
        <f t="shared" ca="1" si="106"/>
        <v>108.28035175521836</v>
      </c>
      <c r="AJ138" s="45">
        <f ca="1">U138*(Inputs!$B$12-ILP_B_Moderate!$F$9)+V138*(Inputs!$B$13-ILP_B_Moderate!$F$10)+W138*(Inputs!$B$14-ILP_B_Moderate!$F$11)+X138*(Inputs!$B$15-ILP_B_Moderate!$F$12)+Y138*(Inputs!$B$16-ILP_B_Moderate!$F$13)</f>
        <v>24938.511354314905</v>
      </c>
      <c r="AK138" s="45">
        <f t="shared" ca="1" si="107"/>
        <v>108.28035175521836</v>
      </c>
      <c r="AL138" s="45">
        <f t="shared" ca="1" si="108"/>
        <v>0</v>
      </c>
      <c r="AM138" s="45">
        <f t="shared" ca="1" si="109"/>
        <v>0</v>
      </c>
      <c r="AN138" s="45">
        <f t="shared" ca="1" si="110"/>
        <v>0</v>
      </c>
      <c r="AO138" s="45">
        <f ca="1">MIN(AL138,Inputs!$B$36)</f>
        <v>0</v>
      </c>
      <c r="AP138" s="45">
        <f ca="1">MIN(AN138,Inputs!$B$36-AO138)</f>
        <v>0</v>
      </c>
      <c r="AQ138" s="45">
        <f ca="1">MIN(AM138,Inputs!$B$36-AO138-AP138)</f>
        <v>0</v>
      </c>
      <c r="AR138" s="45">
        <f t="shared" ca="1" si="111"/>
        <v>0</v>
      </c>
      <c r="AS138" s="45">
        <f t="shared" ca="1" si="112"/>
        <v>0</v>
      </c>
      <c r="AT138" s="45">
        <f t="shared" ca="1" si="113"/>
        <v>0</v>
      </c>
      <c r="AU138" s="45">
        <f t="shared" ca="1" si="114"/>
        <v>0</v>
      </c>
      <c r="AV138" s="46">
        <f ca="1">AU138*Inputs!$B$35</f>
        <v>0</v>
      </c>
      <c r="AW138" s="46">
        <f ca="1">AR138*Inputs!$C$6+AT138*Inputs!$C$7+AS138*Inputs!$C$8</f>
        <v>0</v>
      </c>
      <c r="AX138" s="46">
        <f t="shared" ca="1" si="115"/>
        <v>47454276.368103005</v>
      </c>
      <c r="AY138" s="46">
        <f ca="1">IF(J138&gt;1,($CD$4)*Inputs!$B$55*((Z138+AA138+AB138)/(SUM(ILP_B_Moderate!$C$9:$E$13))),0)</f>
        <v>0</v>
      </c>
      <c r="AZ138" s="46">
        <f t="shared" ca="1" si="116"/>
        <v>0</v>
      </c>
      <c r="BA138" s="41">
        <f t="shared" ca="1" si="117"/>
        <v>0</v>
      </c>
      <c r="BB138" s="41">
        <f t="shared" ca="1" si="118"/>
        <v>1</v>
      </c>
      <c r="BC138" s="41">
        <f t="shared" ca="1" si="119"/>
        <v>1</v>
      </c>
      <c r="BD138" s="41">
        <f t="shared" ca="1" si="120"/>
        <v>1</v>
      </c>
    </row>
    <row r="139" spans="1:56" ht="15" customHeight="1" x14ac:dyDescent="0.3">
      <c r="A139" s="41">
        <v>132</v>
      </c>
      <c r="B139" s="42">
        <f t="shared" ca="1" si="102"/>
        <v>2.7306554803654182E-2</v>
      </c>
      <c r="C139" s="43">
        <f ca="1">IF(B139&lt;=Inputs!$C$40,Inputs!$D$40,IF(B139&lt;=Inputs!$C$41,Inputs!$D$41,Inputs!$D$42))</f>
        <v>0.9</v>
      </c>
      <c r="D139" s="42">
        <f t="shared" ca="1" si="121"/>
        <v>0.29354858258689631</v>
      </c>
      <c r="E139" s="42">
        <f t="shared" ca="1" si="121"/>
        <v>0.76713268785547961</v>
      </c>
      <c r="F139" s="42">
        <f t="shared" ca="1" si="121"/>
        <v>2.116860559790068E-2</v>
      </c>
      <c r="G139" s="42">
        <f t="shared" ca="1" si="121"/>
        <v>0.48646731597986792</v>
      </c>
      <c r="H139" s="42">
        <f t="shared" ca="1" si="121"/>
        <v>0.62149470837804799</v>
      </c>
      <c r="I139" s="42">
        <f t="shared" ca="1" si="121"/>
        <v>0.84650417141846213</v>
      </c>
      <c r="J139" s="43">
        <f ca="1">IF(I139&lt;Inputs!$B$54,1+Inputs!$B$55,1)</f>
        <v>1</v>
      </c>
      <c r="K139" s="42">
        <f t="shared" ca="1" si="122"/>
        <v>0.86494282243629583</v>
      </c>
      <c r="L139" s="42">
        <f t="shared" ca="1" si="122"/>
        <v>0.90360633756191033</v>
      </c>
      <c r="M139" s="42">
        <f t="shared" ca="1" si="122"/>
        <v>0.29832848778218168</v>
      </c>
      <c r="N139" s="42">
        <f t="shared" ca="1" si="122"/>
        <v>0.52544613741960666</v>
      </c>
      <c r="O139" s="42">
        <f t="shared" ca="1" si="122"/>
        <v>0.71509339830305396</v>
      </c>
      <c r="P139" s="42">
        <f t="shared" ca="1" si="122"/>
        <v>0.87497501405171352</v>
      </c>
      <c r="Q139" s="42">
        <f t="shared" ca="1" si="122"/>
        <v>0.52819256451276975</v>
      </c>
      <c r="R139" s="42">
        <f t="shared" ca="1" si="122"/>
        <v>0.44681686907952289</v>
      </c>
      <c r="S139" s="42">
        <f t="shared" ca="1" si="122"/>
        <v>0.61545260311727756</v>
      </c>
      <c r="T139" s="42">
        <f t="shared" ca="1" si="122"/>
        <v>0.26002487840746202</v>
      </c>
      <c r="U139" s="44">
        <f ca="1">(IF(D139&gt;=Inputs!$E$12,1,IF(K139&lt;=Inputs!$C$46,Inputs!$D$46,IF(K139&lt;=Inputs!$C$47,Inputs!$D$47,Inputs!$D$48))))*((Inputs!$B$28+(P139-0.5)*2*Inputs!$B$53)/Inputs!$B$28)</f>
        <v>1.0037952936644909</v>
      </c>
      <c r="V139" s="44">
        <f ca="1">(IF(E139&gt;=Inputs!$E$13,1,IF(L139&lt;=Inputs!$C$46,Inputs!$D$46,IF(L139&lt;=Inputs!$C$47,Inputs!$D$47,Inputs!$D$48))))*((Inputs!$B$29+(Q139-0.5)*2*Inputs!$B$53)/Inputs!$B$29)</f>
        <v>1.0002841992390401</v>
      </c>
      <c r="W139" s="44">
        <f ca="1">(IF(F139&gt;=Inputs!$E$14,1,IF(M139&lt;=Inputs!$C$46,Inputs!$D$46,IF(M139&lt;=Inputs!$C$47,Inputs!$D$47,Inputs!$D$48))))*((Inputs!$B$30+(R139-0.5)*2*Inputs!$B$53)/Inputs!$B$30)</f>
        <v>0.59967929770299211</v>
      </c>
      <c r="X139" s="44">
        <f ca="1">(IF(G139&gt;=Inputs!$E$15,1,IF(N139&lt;=Inputs!$C$46,Inputs!$D$46,IF(N139&lt;=Inputs!$C$47,Inputs!$D$47,Inputs!$D$48))))*((Inputs!$B$31+(S139-0.5)*2*Inputs!$B$53)/Inputs!$B$31)</f>
        <v>1.0011721076458608</v>
      </c>
      <c r="Y139" s="44">
        <f ca="1">(IF(H139&gt;=Inputs!$E$16,1,IF(O139&lt;=Inputs!$C$46,Inputs!$D$46,IF(O139&lt;=Inputs!$C$47,Inputs!$D$47,Inputs!$D$48))))*((Inputs!$B$32+(T139-0.5)*2*Inputs!$B$53)/Inputs!$B$32)</f>
        <v>0.99758576336426019</v>
      </c>
      <c r="Z139" s="45">
        <f ca="1">ILP_B_Moderate!$C$9*U139+ILP_B_Moderate!$C$10*V139+ILP_B_Moderate!$C$11*W139+ILP_B_Moderate!$C$12*X139+ILP_B_Moderate!$C$13*Y139</f>
        <v>18031.111654177817</v>
      </c>
      <c r="AA139" s="45">
        <f ca="1">ILP_B_Moderate!$D$9*U139+ILP_B_Moderate!$D$10*V139+ILP_B_Moderate!$D$11*W139+ILP_B_Moderate!$D$12*X139+ILP_B_Moderate!$D$13*Y139</f>
        <v>15023.198812203946</v>
      </c>
      <c r="AB139" s="45">
        <f ca="1">ILP_B_Moderate!$E$9*U139+ILP_B_Moderate!$E$10*V139+ILP_B_Moderate!$E$11*W139+ILP_B_Moderate!$E$12*X139+ILP_B_Moderate!$E$13*Y139</f>
        <v>12015.075606833452</v>
      </c>
      <c r="AC139" s="45">
        <f ca="1">Inputs!$B$6*$C139</f>
        <v>16200</v>
      </c>
      <c r="AD139" s="45">
        <f ca="1">Inputs!$B$7*$C139</f>
        <v>13500</v>
      </c>
      <c r="AE139" s="45">
        <f ca="1">Inputs!$B$8*$C139</f>
        <v>10800</v>
      </c>
      <c r="AF139" s="45">
        <f t="shared" ca="1" si="103"/>
        <v>0</v>
      </c>
      <c r="AG139" s="45">
        <f t="shared" ca="1" si="104"/>
        <v>0</v>
      </c>
      <c r="AH139" s="45">
        <f t="shared" ca="1" si="105"/>
        <v>0</v>
      </c>
      <c r="AI139" s="45">
        <f t="shared" ca="1" si="106"/>
        <v>0</v>
      </c>
      <c r="AJ139" s="45">
        <f ca="1">U139*(Inputs!$B$12-ILP_B_Moderate!$F$9)+V139*(Inputs!$B$13-ILP_B_Moderate!$F$10)+W139*(Inputs!$B$14-ILP_B_Moderate!$F$11)+X139*(Inputs!$B$15-ILP_B_Moderate!$F$12)+Y139*(Inputs!$B$16-ILP_B_Moderate!$F$13)</f>
        <v>19769.00002711633</v>
      </c>
      <c r="AK139" s="45">
        <f t="shared" ca="1" si="107"/>
        <v>0</v>
      </c>
      <c r="AL139" s="45">
        <f t="shared" ca="1" si="108"/>
        <v>0</v>
      </c>
      <c r="AM139" s="45">
        <f t="shared" ca="1" si="109"/>
        <v>0</v>
      </c>
      <c r="AN139" s="45">
        <f t="shared" ca="1" si="110"/>
        <v>0</v>
      </c>
      <c r="AO139" s="45">
        <f ca="1">MIN(AL139,Inputs!$B$36)</f>
        <v>0</v>
      </c>
      <c r="AP139" s="45">
        <f ca="1">MIN(AN139,Inputs!$B$36-AO139)</f>
        <v>0</v>
      </c>
      <c r="AQ139" s="45">
        <f ca="1">MIN(AM139,Inputs!$B$36-AO139-AP139)</f>
        <v>0</v>
      </c>
      <c r="AR139" s="45">
        <f t="shared" ca="1" si="111"/>
        <v>0</v>
      </c>
      <c r="AS139" s="45">
        <f t="shared" ca="1" si="112"/>
        <v>0</v>
      </c>
      <c r="AT139" s="45">
        <f t="shared" ca="1" si="113"/>
        <v>0</v>
      </c>
      <c r="AU139" s="45">
        <f t="shared" ca="1" si="114"/>
        <v>0</v>
      </c>
      <c r="AV139" s="46">
        <f ca="1">AU139*Inputs!$B$35</f>
        <v>0</v>
      </c>
      <c r="AW139" s="46">
        <f ca="1">AR139*Inputs!$C$6+AT139*Inputs!$C$7+AS139*Inputs!$C$8</f>
        <v>0</v>
      </c>
      <c r="AX139" s="46">
        <f t="shared" ca="1" si="115"/>
        <v>47641875.833946094</v>
      </c>
      <c r="AY139" s="46">
        <f ca="1">IF(J139&gt;1,($CD$4)*Inputs!$B$55*((Z139+AA139+AB139)/(SUM(ILP_B_Moderate!$C$9:$E$13))),0)</f>
        <v>0</v>
      </c>
      <c r="AZ139" s="46">
        <f t="shared" ca="1" si="116"/>
        <v>0</v>
      </c>
      <c r="BA139" s="41">
        <f t="shared" ca="1" si="117"/>
        <v>0</v>
      </c>
      <c r="BB139" s="41">
        <f t="shared" ca="1" si="118"/>
        <v>1</v>
      </c>
      <c r="BC139" s="41">
        <f t="shared" ca="1" si="119"/>
        <v>1</v>
      </c>
      <c r="BD139" s="41">
        <f t="shared" ca="1" si="120"/>
        <v>1</v>
      </c>
    </row>
    <row r="140" spans="1:56" ht="15" customHeight="1" x14ac:dyDescent="0.3">
      <c r="A140" s="41">
        <v>133</v>
      </c>
      <c r="B140" s="42">
        <f t="shared" ca="1" si="102"/>
        <v>0.60968828439578548</v>
      </c>
      <c r="C140" s="43">
        <f ca="1">IF(B140&lt;=Inputs!$C$40,Inputs!$D$40,IF(B140&lt;=Inputs!$C$41,Inputs!$D$41,Inputs!$D$42))</f>
        <v>1</v>
      </c>
      <c r="D140" s="42">
        <f t="shared" ca="1" si="121"/>
        <v>0.10747747137551966</v>
      </c>
      <c r="E140" s="42">
        <f t="shared" ca="1" si="121"/>
        <v>0.12770438139934526</v>
      </c>
      <c r="F140" s="42">
        <f t="shared" ca="1" si="121"/>
        <v>0.56673669694891293</v>
      </c>
      <c r="G140" s="42">
        <f t="shared" ca="1" si="121"/>
        <v>0.7125722205105155</v>
      </c>
      <c r="H140" s="42">
        <f t="shared" ca="1" si="121"/>
        <v>2.1508977777314309E-2</v>
      </c>
      <c r="I140" s="42">
        <f t="shared" ca="1" si="121"/>
        <v>3.9460640049876261E-2</v>
      </c>
      <c r="J140" s="43">
        <f ca="1">IF(I140&lt;Inputs!$B$54,1+Inputs!$B$55,1)</f>
        <v>1.25</v>
      </c>
      <c r="K140" s="42">
        <f t="shared" ca="1" si="122"/>
        <v>0.20773620695124184</v>
      </c>
      <c r="L140" s="42">
        <f t="shared" ca="1" si="122"/>
        <v>0.11235997750518345</v>
      </c>
      <c r="M140" s="42">
        <f t="shared" ca="1" si="122"/>
        <v>0.16107463018528767</v>
      </c>
      <c r="N140" s="42">
        <f t="shared" ca="1" si="122"/>
        <v>0.72429365292634873</v>
      </c>
      <c r="O140" s="42">
        <f t="shared" ca="1" si="122"/>
        <v>0.96695421572147666</v>
      </c>
      <c r="P140" s="42">
        <f t="shared" ca="1" si="122"/>
        <v>0.16313924180715844</v>
      </c>
      <c r="Q140" s="42">
        <f t="shared" ca="1" si="122"/>
        <v>0.82134810045808682</v>
      </c>
      <c r="R140" s="42">
        <f t="shared" ca="1" si="122"/>
        <v>0.45522319318972804</v>
      </c>
      <c r="S140" s="42">
        <f t="shared" ca="1" si="122"/>
        <v>0.58471368459483786</v>
      </c>
      <c r="T140" s="42">
        <f t="shared" ca="1" si="122"/>
        <v>0.71826564796216452</v>
      </c>
      <c r="U140" s="44">
        <f ca="1">(IF(D140&gt;=Inputs!$E$12,1,IF(K140&lt;=Inputs!$C$46,Inputs!$D$46,IF(K140&lt;=Inputs!$C$47,Inputs!$D$47,Inputs!$D$48))))*((Inputs!$B$28+(P140-0.5)*2*Inputs!$B$53)/Inputs!$B$28)</f>
        <v>0.99659047815594293</v>
      </c>
      <c r="V140" s="44">
        <f ca="1">(IF(E140&gt;=Inputs!$E$13,1,IF(L140&lt;=Inputs!$C$46,Inputs!$D$46,IF(L140&lt;=Inputs!$C$47,Inputs!$D$47,Inputs!$D$48))))*((Inputs!$B$29+(Q140-0.5)*2*Inputs!$B$53)/Inputs!$B$29)</f>
        <v>1.0032393961739727</v>
      </c>
      <c r="W140" s="44">
        <f ca="1">(IF(F140&gt;=Inputs!$E$14,1,IF(M140&lt;=Inputs!$C$46,Inputs!$D$46,IF(M140&lt;=Inputs!$C$47,Inputs!$D$47,Inputs!$D$48))))*((Inputs!$B$30+(R140-0.5)*2*Inputs!$B$53)/Inputs!$B$30)</f>
        <v>0.99954998184110277</v>
      </c>
      <c r="X140" s="44">
        <f ca="1">(IF(G140&gt;=Inputs!$E$15,1,IF(N140&lt;=Inputs!$C$46,Inputs!$D$46,IF(N140&lt;=Inputs!$C$47,Inputs!$D$47,Inputs!$D$48))))*((Inputs!$B$31+(S140-0.5)*2*Inputs!$B$53)/Inputs!$B$31)</f>
        <v>1.0008600374070542</v>
      </c>
      <c r="Y140" s="44">
        <f ca="1">(IF(H140&gt;=Inputs!$E$16,1,IF(O140&lt;=Inputs!$C$46,Inputs!$D$46,IF(O140&lt;=Inputs!$C$47,Inputs!$D$47,Inputs!$D$48))))*((Inputs!$B$32+(T140-0.5)*2*Inputs!$B$53)/Inputs!$B$32)</f>
        <v>0</v>
      </c>
      <c r="Z140" s="45">
        <f ca="1">ILP_B_Moderate!$C$9*U140+ILP_B_Moderate!$C$10*V140+ILP_B_Moderate!$C$11*W140+ILP_B_Moderate!$C$12*X140+ILP_B_Moderate!$C$13*Y140</f>
        <v>18002.799250632786</v>
      </c>
      <c r="AA140" s="45">
        <f ca="1">ILP_B_Moderate!$D$9*U140+ILP_B_Moderate!$D$10*V140+ILP_B_Moderate!$D$11*W140+ILP_B_Moderate!$D$12*X140+ILP_B_Moderate!$D$13*Y140</f>
        <v>15010.764214562503</v>
      </c>
      <c r="AB140" s="45">
        <f ca="1">ILP_B_Moderate!$E$9*U140+ILP_B_Moderate!$E$10*V140+ILP_B_Moderate!$E$11*W140+ILP_B_Moderate!$E$12*X140+ILP_B_Moderate!$E$13*Y140</f>
        <v>8503.6931897093727</v>
      </c>
      <c r="AC140" s="45">
        <f ca="1">Inputs!$B$6*$C140</f>
        <v>18000</v>
      </c>
      <c r="AD140" s="45">
        <f ca="1">Inputs!$B$7*$C140</f>
        <v>15000</v>
      </c>
      <c r="AE140" s="45">
        <f ca="1">Inputs!$B$8*$C140</f>
        <v>12000</v>
      </c>
      <c r="AF140" s="45">
        <f t="shared" ca="1" si="103"/>
        <v>0</v>
      </c>
      <c r="AG140" s="45">
        <f t="shared" ca="1" si="104"/>
        <v>0</v>
      </c>
      <c r="AH140" s="45">
        <f t="shared" ca="1" si="105"/>
        <v>3496.3068102906273</v>
      </c>
      <c r="AI140" s="45">
        <f t="shared" ca="1" si="106"/>
        <v>3496.3068102906273</v>
      </c>
      <c r="AJ140" s="45">
        <f ca="1">U140*(Inputs!$B$12-ILP_B_Moderate!$F$9)+V140*(Inputs!$B$13-ILP_B_Moderate!$F$10)+W140*(Inputs!$B$14-ILP_B_Moderate!$F$11)+X140*(Inputs!$B$15-ILP_B_Moderate!$F$12)+Y140*(Inputs!$B$16-ILP_B_Moderate!$F$13)</f>
        <v>13478.012754845031</v>
      </c>
      <c r="AK140" s="45">
        <f t="shared" ca="1" si="107"/>
        <v>3496.3068102906273</v>
      </c>
      <c r="AL140" s="45">
        <f t="shared" ca="1" si="108"/>
        <v>0</v>
      </c>
      <c r="AM140" s="45">
        <f t="shared" ca="1" si="109"/>
        <v>0</v>
      </c>
      <c r="AN140" s="45">
        <f t="shared" ca="1" si="110"/>
        <v>0</v>
      </c>
      <c r="AO140" s="45">
        <f ca="1">MIN(AL140,Inputs!$B$36)</f>
        <v>0</v>
      </c>
      <c r="AP140" s="45">
        <f ca="1">MIN(AN140,Inputs!$B$36-AO140)</f>
        <v>0</v>
      </c>
      <c r="AQ140" s="45">
        <f ca="1">MIN(AM140,Inputs!$B$36-AO140-AP140)</f>
        <v>0</v>
      </c>
      <c r="AR140" s="45">
        <f t="shared" ca="1" si="111"/>
        <v>0</v>
      </c>
      <c r="AS140" s="45">
        <f t="shared" ca="1" si="112"/>
        <v>0</v>
      </c>
      <c r="AT140" s="45">
        <f t="shared" ca="1" si="113"/>
        <v>0</v>
      </c>
      <c r="AU140" s="45">
        <f t="shared" ca="1" si="114"/>
        <v>0</v>
      </c>
      <c r="AV140" s="46">
        <f ca="1">AU140*Inputs!$B$35</f>
        <v>0</v>
      </c>
      <c r="AW140" s="46">
        <f ca="1">AR140*Inputs!$C$6+AT140*Inputs!$C$7+AS140*Inputs!$C$8</f>
        <v>0</v>
      </c>
      <c r="AX140" s="46">
        <f t="shared" ca="1" si="115"/>
        <v>43731058.690997273</v>
      </c>
      <c r="AY140" s="46">
        <f ca="1">IF(J140&gt;1,($CD$4)*Inputs!$B$55*((Z140+AA140+AB140)/(SUM(ILP_B_Moderate!$C$9:$E$13))),0)</f>
        <v>526540.3010115698</v>
      </c>
      <c r="AZ140" s="46">
        <f t="shared" ca="1" si="116"/>
        <v>0</v>
      </c>
      <c r="BA140" s="41">
        <f t="shared" ca="1" si="117"/>
        <v>0</v>
      </c>
      <c r="BB140" s="41">
        <f t="shared" ca="1" si="118"/>
        <v>1</v>
      </c>
      <c r="BC140" s="41">
        <f t="shared" ca="1" si="119"/>
        <v>1</v>
      </c>
      <c r="BD140" s="41">
        <f t="shared" ca="1" si="120"/>
        <v>1</v>
      </c>
    </row>
    <row r="141" spans="1:56" ht="15" customHeight="1" x14ac:dyDescent="0.3">
      <c r="A141" s="41">
        <v>134</v>
      </c>
      <c r="B141" s="42">
        <f t="shared" ca="1" si="102"/>
        <v>0.85894386493538555</v>
      </c>
      <c r="C141" s="43">
        <f ca="1">IF(B141&lt;=Inputs!$C$40,Inputs!$D$40,IF(B141&lt;=Inputs!$C$41,Inputs!$D$41,Inputs!$D$42))</f>
        <v>1.1499999999999999</v>
      </c>
      <c r="D141" s="42">
        <f t="shared" ca="1" si="121"/>
        <v>0.30368955372379092</v>
      </c>
      <c r="E141" s="42">
        <f t="shared" ca="1" si="121"/>
        <v>0.85692056221307134</v>
      </c>
      <c r="F141" s="42">
        <f t="shared" ca="1" si="121"/>
        <v>0.73492833974874272</v>
      </c>
      <c r="G141" s="42">
        <f t="shared" ca="1" si="121"/>
        <v>0.94361470781631318</v>
      </c>
      <c r="H141" s="42">
        <f t="shared" ca="1" si="121"/>
        <v>0.4449119139682044</v>
      </c>
      <c r="I141" s="42">
        <f t="shared" ca="1" si="121"/>
        <v>0.28644341591946809</v>
      </c>
      <c r="J141" s="43">
        <f ca="1">IF(I141&lt;Inputs!$B$54,1+Inputs!$B$55,1)</f>
        <v>1</v>
      </c>
      <c r="K141" s="42">
        <f t="shared" ca="1" si="122"/>
        <v>0.98798855595966317</v>
      </c>
      <c r="L141" s="42">
        <f t="shared" ca="1" si="122"/>
        <v>0.7961255082157449</v>
      </c>
      <c r="M141" s="42">
        <f t="shared" ca="1" si="122"/>
        <v>0.68328936742887725</v>
      </c>
      <c r="N141" s="42">
        <f t="shared" ca="1" si="122"/>
        <v>8.253340872977355E-3</v>
      </c>
      <c r="O141" s="42">
        <f t="shared" ca="1" si="122"/>
        <v>0.58298590245214466</v>
      </c>
      <c r="P141" s="42">
        <f t="shared" ca="1" si="122"/>
        <v>0.74696182056558502</v>
      </c>
      <c r="Q141" s="42">
        <f t="shared" ca="1" si="122"/>
        <v>1.0871382712285604E-2</v>
      </c>
      <c r="R141" s="42">
        <f t="shared" ca="1" si="122"/>
        <v>6.0494365922258653E-2</v>
      </c>
      <c r="S141" s="42">
        <f t="shared" ca="1" si="122"/>
        <v>0.14306578243251034</v>
      </c>
      <c r="T141" s="42">
        <f t="shared" ca="1" si="122"/>
        <v>0.29116204158634273</v>
      </c>
      <c r="U141" s="44">
        <f ca="1">(IF(D141&gt;=Inputs!$E$12,1,IF(K141&lt;=Inputs!$C$46,Inputs!$D$46,IF(K141&lt;=Inputs!$C$47,Inputs!$D$47,Inputs!$D$48))))*((Inputs!$B$28+(P141-0.5)*2*Inputs!$B$53)/Inputs!$B$28)</f>
        <v>1.0024996135684776</v>
      </c>
      <c r="V141" s="44">
        <f ca="1">(IF(E141&gt;=Inputs!$E$13,1,IF(L141&lt;=Inputs!$C$46,Inputs!$D$46,IF(L141&lt;=Inputs!$C$47,Inputs!$D$47,Inputs!$D$48))))*((Inputs!$B$29+(Q141-0.5)*2*Inputs!$B$53)/Inputs!$B$29)</f>
        <v>0.99506926797089001</v>
      </c>
      <c r="W141" s="44">
        <f ca="1">(IF(F141&gt;=Inputs!$E$14,1,IF(M141&lt;=Inputs!$C$46,Inputs!$D$46,IF(M141&lt;=Inputs!$C$47,Inputs!$D$47,Inputs!$D$48))))*((Inputs!$B$30+(R141-0.5)*2*Inputs!$B$53)/Inputs!$B$30)</f>
        <v>0.99558285794896739</v>
      </c>
      <c r="X141" s="44">
        <f ca="1">(IF(G141&gt;=Inputs!$E$15,1,IF(N141&lt;=Inputs!$C$46,Inputs!$D$46,IF(N141&lt;=Inputs!$C$47,Inputs!$D$47,Inputs!$D$48))))*((Inputs!$B$31+(S141-0.5)*2*Inputs!$B$53)/Inputs!$B$31)</f>
        <v>0.99637630235972086</v>
      </c>
      <c r="Y141" s="44">
        <f ca="1">(IF(H141&gt;=Inputs!$E$16,1,IF(O141&lt;=Inputs!$C$46,Inputs!$D$46,IF(O141&lt;=Inputs!$C$47,Inputs!$D$47,Inputs!$D$48))))*((Inputs!$B$32+(T141-0.5)*2*Inputs!$B$53)/Inputs!$B$32)</f>
        <v>0.99789901450288077</v>
      </c>
      <c r="Z141" s="45">
        <f ca="1">ILP_B_Moderate!$C$9*U141+ILP_B_Moderate!$C$10*V141+ILP_B_Moderate!$C$11*W141+ILP_B_Moderate!$C$12*X141+ILP_B_Moderate!$C$13*Y141</f>
        <v>17961.11294519993</v>
      </c>
      <c r="AA141" s="45">
        <f ca="1">ILP_B_Moderate!$D$9*U141+ILP_B_Moderate!$D$10*V141+ILP_B_Moderate!$D$11*W141+ILP_B_Moderate!$D$12*X141+ILP_B_Moderate!$D$13*Y141</f>
        <v>14964.498873936564</v>
      </c>
      <c r="AB141" s="45">
        <f ca="1">ILP_B_Moderate!$E$9*U141+ILP_B_Moderate!$E$10*V141+ILP_B_Moderate!$E$11*W141+ILP_B_Moderate!$E$12*X141+ILP_B_Moderate!$E$13*Y141</f>
        <v>11995.272126153661</v>
      </c>
      <c r="AC141" s="45">
        <f ca="1">Inputs!$B$6*$C141</f>
        <v>20700</v>
      </c>
      <c r="AD141" s="45">
        <f ca="1">Inputs!$B$7*$C141</f>
        <v>17250</v>
      </c>
      <c r="AE141" s="45">
        <f ca="1">Inputs!$B$8*$C141</f>
        <v>13799.999999999998</v>
      </c>
      <c r="AF141" s="45">
        <f t="shared" ca="1" si="103"/>
        <v>2738.8870548000705</v>
      </c>
      <c r="AG141" s="45">
        <f t="shared" ca="1" si="104"/>
        <v>2285.5011260634365</v>
      </c>
      <c r="AH141" s="45">
        <f t="shared" ca="1" si="105"/>
        <v>1804.7278738463374</v>
      </c>
      <c r="AI141" s="45">
        <f t="shared" ca="1" si="106"/>
        <v>6829.1160547098443</v>
      </c>
      <c r="AJ141" s="45">
        <f ca="1">U141*(Inputs!$B$12-ILP_B_Moderate!$F$9)+V141*(Inputs!$B$13-ILP_B_Moderate!$F$10)+W141*(Inputs!$B$14-ILP_B_Moderate!$F$11)+X141*(Inputs!$B$15-ILP_B_Moderate!$F$12)+Y141*(Inputs!$B$16-ILP_B_Moderate!$F$13)</f>
        <v>24917.657622594386</v>
      </c>
      <c r="AK141" s="45">
        <f t="shared" ca="1" si="107"/>
        <v>6829.1160547098443</v>
      </c>
      <c r="AL141" s="45">
        <f t="shared" ca="1" si="108"/>
        <v>0</v>
      </c>
      <c r="AM141" s="45">
        <f t="shared" ca="1" si="109"/>
        <v>0</v>
      </c>
      <c r="AN141" s="45">
        <f t="shared" ca="1" si="110"/>
        <v>0</v>
      </c>
      <c r="AO141" s="45">
        <f ca="1">MIN(AL141,Inputs!$B$36)</f>
        <v>0</v>
      </c>
      <c r="AP141" s="45">
        <f ca="1">MIN(AN141,Inputs!$B$36-AO141)</f>
        <v>0</v>
      </c>
      <c r="AQ141" s="45">
        <f ca="1">MIN(AM141,Inputs!$B$36-AO141-AP141)</f>
        <v>0</v>
      </c>
      <c r="AR141" s="45">
        <f t="shared" ca="1" si="111"/>
        <v>0</v>
      </c>
      <c r="AS141" s="45">
        <f t="shared" ca="1" si="112"/>
        <v>0</v>
      </c>
      <c r="AT141" s="45">
        <f t="shared" ca="1" si="113"/>
        <v>0</v>
      </c>
      <c r="AU141" s="45">
        <f t="shared" ca="1" si="114"/>
        <v>0</v>
      </c>
      <c r="AV141" s="46">
        <f ca="1">AU141*Inputs!$B$35</f>
        <v>0</v>
      </c>
      <c r="AW141" s="46">
        <f ca="1">AR141*Inputs!$C$6+AT141*Inputs!$C$7+AS141*Inputs!$C$8</f>
        <v>0</v>
      </c>
      <c r="AX141" s="46">
        <f t="shared" ca="1" si="115"/>
        <v>47486097.30603987</v>
      </c>
      <c r="AY141" s="46">
        <f ca="1">IF(J141&gt;1,($CD$4)*Inputs!$B$55*((Z141+AA141+AB141)/(SUM(ILP_B_Moderate!$C$9:$E$13))),0)</f>
        <v>0</v>
      </c>
      <c r="AZ141" s="46">
        <f t="shared" ca="1" si="116"/>
        <v>0</v>
      </c>
      <c r="BA141" s="41">
        <f t="shared" ca="1" si="117"/>
        <v>0</v>
      </c>
      <c r="BB141" s="41">
        <f t="shared" ca="1" si="118"/>
        <v>1</v>
      </c>
      <c r="BC141" s="41">
        <f t="shared" ca="1" si="119"/>
        <v>1</v>
      </c>
      <c r="BD141" s="41">
        <f t="shared" ca="1" si="120"/>
        <v>1</v>
      </c>
    </row>
    <row r="142" spans="1:56" ht="15" customHeight="1" x14ac:dyDescent="0.3">
      <c r="A142" s="41">
        <v>135</v>
      </c>
      <c r="B142" s="42">
        <f t="shared" ca="1" si="102"/>
        <v>0.47317021130918324</v>
      </c>
      <c r="C142" s="43">
        <f ca="1">IF(B142&lt;=Inputs!$C$40,Inputs!$D$40,IF(B142&lt;=Inputs!$C$41,Inputs!$D$41,Inputs!$D$42))</f>
        <v>1</v>
      </c>
      <c r="D142" s="42">
        <f t="shared" ca="1" si="121"/>
        <v>0.65460014832553259</v>
      </c>
      <c r="E142" s="42">
        <f t="shared" ca="1" si="121"/>
        <v>0.12473972286498392</v>
      </c>
      <c r="F142" s="42">
        <f t="shared" ca="1" si="121"/>
        <v>0.4227151770881743</v>
      </c>
      <c r="G142" s="42">
        <f t="shared" ca="1" si="121"/>
        <v>0.27989605892555713</v>
      </c>
      <c r="H142" s="42">
        <f t="shared" ca="1" si="121"/>
        <v>0.36859328264796298</v>
      </c>
      <c r="I142" s="42">
        <f t="shared" ca="1" si="121"/>
        <v>0.36522770415805439</v>
      </c>
      <c r="J142" s="43">
        <f ca="1">IF(I142&lt;Inputs!$B$54,1+Inputs!$B$55,1)</f>
        <v>1</v>
      </c>
      <c r="K142" s="42">
        <f t="shared" ca="1" si="122"/>
        <v>0.65350973729878314</v>
      </c>
      <c r="L142" s="42">
        <f t="shared" ca="1" si="122"/>
        <v>0.91370103945933379</v>
      </c>
      <c r="M142" s="42">
        <f t="shared" ca="1" si="122"/>
        <v>0.38407721757259161</v>
      </c>
      <c r="N142" s="42">
        <f t="shared" ca="1" si="122"/>
        <v>3.2531572949925813E-2</v>
      </c>
      <c r="O142" s="42">
        <f t="shared" ca="1" si="122"/>
        <v>0.8056408170504632</v>
      </c>
      <c r="P142" s="42">
        <f t="shared" ca="1" si="122"/>
        <v>0.3137085673702793</v>
      </c>
      <c r="Q142" s="42">
        <f t="shared" ca="1" si="122"/>
        <v>0.80261043001249022</v>
      </c>
      <c r="R142" s="42">
        <f t="shared" ca="1" si="122"/>
        <v>0.63141565506431752</v>
      </c>
      <c r="S142" s="42">
        <f t="shared" ca="1" si="122"/>
        <v>0.85424086846836034</v>
      </c>
      <c r="T142" s="42">
        <f t="shared" ca="1" si="122"/>
        <v>0.8899156114497474</v>
      </c>
      <c r="U142" s="44">
        <f ca="1">(IF(D142&gt;=Inputs!$E$12,1,IF(K142&lt;=Inputs!$C$46,Inputs!$D$46,IF(K142&lt;=Inputs!$C$47,Inputs!$D$47,Inputs!$D$48))))*((Inputs!$B$28+(P142-0.5)*2*Inputs!$B$53)/Inputs!$B$28)</f>
        <v>0.99811445918390962</v>
      </c>
      <c r="V142" s="44">
        <f ca="1">(IF(E142&gt;=Inputs!$E$13,1,IF(L142&lt;=Inputs!$C$46,Inputs!$D$46,IF(L142&lt;=Inputs!$C$47,Inputs!$D$47,Inputs!$D$48))))*((Inputs!$B$29+(Q142-0.5)*2*Inputs!$B$53)/Inputs!$B$29)</f>
        <v>1.0030505083670616</v>
      </c>
      <c r="W142" s="44">
        <f ca="1">(IF(F142&gt;=Inputs!$E$14,1,IF(M142&lt;=Inputs!$C$46,Inputs!$D$46,IF(M142&lt;=Inputs!$C$47,Inputs!$D$47,Inputs!$D$48))))*((Inputs!$B$30+(R142-0.5)*2*Inputs!$B$53)/Inputs!$B$30)</f>
        <v>1.0013207603524052</v>
      </c>
      <c r="X142" s="44">
        <f ca="1">(IF(G142&gt;=Inputs!$E$15,1,IF(N142&lt;=Inputs!$C$46,Inputs!$D$46,IF(N142&lt;=Inputs!$C$47,Inputs!$D$47,Inputs!$D$48))))*((Inputs!$B$31+(S142-0.5)*2*Inputs!$B$53)/Inputs!$B$31)</f>
        <v>1.0035963539946027</v>
      </c>
      <c r="Y142" s="44">
        <f ca="1">(IF(H142&gt;=Inputs!$E$16,1,IF(O142&lt;=Inputs!$C$46,Inputs!$D$46,IF(O142&lt;=Inputs!$C$47,Inputs!$D$47,Inputs!$D$48))))*((Inputs!$B$32+(T142-0.5)*2*Inputs!$B$53)/Inputs!$B$32)</f>
        <v>1.0039226922681062</v>
      </c>
      <c r="Z142" s="45">
        <f ca="1">ILP_B_Moderate!$C$9*U142+ILP_B_Moderate!$C$10*V142+ILP_B_Moderate!$C$11*W142+ILP_B_Moderate!$C$12*X142+ILP_B_Moderate!$C$13*Y142</f>
        <v>18034.509701043775</v>
      </c>
      <c r="AA142" s="45">
        <f ca="1">ILP_B_Moderate!$D$9*U142+ILP_B_Moderate!$D$10*V142+ILP_B_Moderate!$D$11*W142+ILP_B_Moderate!$D$12*X142+ILP_B_Moderate!$D$13*Y142</f>
        <v>15024.19619999844</v>
      </c>
      <c r="AB142" s="45">
        <f ca="1">ILP_B_Moderate!$E$9*U142+ILP_B_Moderate!$E$10*V142+ILP_B_Moderate!$E$11*W142+ILP_B_Moderate!$E$12*X142+ILP_B_Moderate!$E$13*Y142</f>
        <v>12010.028494017066</v>
      </c>
      <c r="AC142" s="45">
        <f ca="1">Inputs!$B$6*$C142</f>
        <v>18000</v>
      </c>
      <c r="AD142" s="45">
        <f ca="1">Inputs!$B$7*$C142</f>
        <v>15000</v>
      </c>
      <c r="AE142" s="45">
        <f ca="1">Inputs!$B$8*$C142</f>
        <v>12000</v>
      </c>
      <c r="AF142" s="45">
        <f t="shared" ca="1" si="103"/>
        <v>0</v>
      </c>
      <c r="AG142" s="45">
        <f t="shared" ca="1" si="104"/>
        <v>0</v>
      </c>
      <c r="AH142" s="45">
        <f t="shared" ca="1" si="105"/>
        <v>0</v>
      </c>
      <c r="AI142" s="45">
        <f t="shared" ca="1" si="106"/>
        <v>0</v>
      </c>
      <c r="AJ142" s="45">
        <f ca="1">U142*(Inputs!$B$12-ILP_B_Moderate!$F$9)+V142*(Inputs!$B$13-ILP_B_Moderate!$F$10)+W142*(Inputs!$B$14-ILP_B_Moderate!$F$11)+X142*(Inputs!$B$15-ILP_B_Moderate!$F$12)+Y142*(Inputs!$B$16-ILP_B_Moderate!$F$13)</f>
        <v>25062.97058556023</v>
      </c>
      <c r="AK142" s="45">
        <f t="shared" ca="1" si="107"/>
        <v>0</v>
      </c>
      <c r="AL142" s="45">
        <f t="shared" ca="1" si="108"/>
        <v>0</v>
      </c>
      <c r="AM142" s="45">
        <f t="shared" ca="1" si="109"/>
        <v>0</v>
      </c>
      <c r="AN142" s="45">
        <f t="shared" ca="1" si="110"/>
        <v>0</v>
      </c>
      <c r="AO142" s="45">
        <f ca="1">MIN(AL142,Inputs!$B$36)</f>
        <v>0</v>
      </c>
      <c r="AP142" s="45">
        <f ca="1">MIN(AN142,Inputs!$B$36-AO142)</f>
        <v>0</v>
      </c>
      <c r="AQ142" s="45">
        <f ca="1">MIN(AM142,Inputs!$B$36-AO142-AP142)</f>
        <v>0</v>
      </c>
      <c r="AR142" s="45">
        <f t="shared" ca="1" si="111"/>
        <v>0</v>
      </c>
      <c r="AS142" s="45">
        <f t="shared" ca="1" si="112"/>
        <v>0</v>
      </c>
      <c r="AT142" s="45">
        <f t="shared" ca="1" si="113"/>
        <v>0</v>
      </c>
      <c r="AU142" s="45">
        <f t="shared" ca="1" si="114"/>
        <v>0</v>
      </c>
      <c r="AV142" s="46">
        <f ca="1">AU142*Inputs!$B$35</f>
        <v>0</v>
      </c>
      <c r="AW142" s="46">
        <f ca="1">AR142*Inputs!$C$6+AT142*Inputs!$C$7+AS142*Inputs!$C$8</f>
        <v>0</v>
      </c>
      <c r="AX142" s="46">
        <f t="shared" ca="1" si="115"/>
        <v>47640869.850912757</v>
      </c>
      <c r="AY142" s="46">
        <f ca="1">IF(J142&gt;1,($CD$4)*Inputs!$B$55*((Z142+AA142+AB142)/(SUM(ILP_B_Moderate!$C$9:$E$13))),0)</f>
        <v>0</v>
      </c>
      <c r="AZ142" s="46">
        <f t="shared" ca="1" si="116"/>
        <v>0</v>
      </c>
      <c r="BA142" s="41">
        <f t="shared" ca="1" si="117"/>
        <v>0</v>
      </c>
      <c r="BB142" s="41">
        <f t="shared" ca="1" si="118"/>
        <v>1</v>
      </c>
      <c r="BC142" s="41">
        <f t="shared" ca="1" si="119"/>
        <v>1</v>
      </c>
      <c r="BD142" s="41">
        <f t="shared" ca="1" si="120"/>
        <v>1</v>
      </c>
    </row>
    <row r="143" spans="1:56" ht="15" customHeight="1" x14ac:dyDescent="0.3">
      <c r="A143" s="41">
        <v>136</v>
      </c>
      <c r="B143" s="42">
        <f t="shared" ca="1" si="102"/>
        <v>0.83015905468812334</v>
      </c>
      <c r="C143" s="43">
        <f ca="1">IF(B143&lt;=Inputs!$C$40,Inputs!$D$40,IF(B143&lt;=Inputs!$C$41,Inputs!$D$41,Inputs!$D$42))</f>
        <v>1.1499999999999999</v>
      </c>
      <c r="D143" s="42">
        <f t="shared" ca="1" si="121"/>
        <v>0.8376834304802695</v>
      </c>
      <c r="E143" s="42">
        <f t="shared" ca="1" si="121"/>
        <v>0.28768301029159715</v>
      </c>
      <c r="F143" s="42">
        <f t="shared" ca="1" si="121"/>
        <v>0.71047105463694904</v>
      </c>
      <c r="G143" s="42">
        <f t="shared" ca="1" si="121"/>
        <v>0.37565141740545727</v>
      </c>
      <c r="H143" s="42">
        <f t="shared" ca="1" si="121"/>
        <v>0.28065186030438638</v>
      </c>
      <c r="I143" s="42">
        <f t="shared" ca="1" si="121"/>
        <v>0.13433076997319149</v>
      </c>
      <c r="J143" s="43">
        <f ca="1">IF(I143&lt;Inputs!$B$54,1+Inputs!$B$55,1)</f>
        <v>1</v>
      </c>
      <c r="K143" s="42">
        <f t="shared" ca="1" si="122"/>
        <v>0.22005387755921046</v>
      </c>
      <c r="L143" s="42">
        <f t="shared" ca="1" si="122"/>
        <v>0.11303613696751635</v>
      </c>
      <c r="M143" s="42">
        <f t="shared" ca="1" si="122"/>
        <v>0.90082352557029988</v>
      </c>
      <c r="N143" s="42">
        <f t="shared" ca="1" si="122"/>
        <v>0.89483590862475926</v>
      </c>
      <c r="O143" s="42">
        <f t="shared" ca="1" si="122"/>
        <v>0.91663204778947305</v>
      </c>
      <c r="P143" s="42">
        <f t="shared" ca="1" si="122"/>
        <v>0.52694944586355608</v>
      </c>
      <c r="Q143" s="42">
        <f t="shared" ca="1" si="122"/>
        <v>0.51461680226151885</v>
      </c>
      <c r="R143" s="42">
        <f t="shared" ca="1" si="122"/>
        <v>0.20801048244706233</v>
      </c>
      <c r="S143" s="42">
        <f t="shared" ca="1" si="122"/>
        <v>0.1594028188697979</v>
      </c>
      <c r="T143" s="42">
        <f t="shared" ca="1" si="122"/>
        <v>0.62936237310714704</v>
      </c>
      <c r="U143" s="44">
        <f ca="1">(IF(D143&gt;=Inputs!$E$12,1,IF(K143&lt;=Inputs!$C$46,Inputs!$D$46,IF(K143&lt;=Inputs!$C$47,Inputs!$D$47,Inputs!$D$48))))*((Inputs!$B$28+(P143-0.5)*2*Inputs!$B$53)/Inputs!$B$28)</f>
        <v>1.0002727676706837</v>
      </c>
      <c r="V143" s="44">
        <f ca="1">(IF(E143&gt;=Inputs!$E$13,1,IF(L143&lt;=Inputs!$C$46,Inputs!$D$46,IF(L143&lt;=Inputs!$C$47,Inputs!$D$47,Inputs!$D$48))))*((Inputs!$B$29+(Q143-0.5)*2*Inputs!$B$53)/Inputs!$B$29)</f>
        <v>1.000147346796991</v>
      </c>
      <c r="W143" s="44">
        <f ca="1">(IF(F143&gt;=Inputs!$E$14,1,IF(M143&lt;=Inputs!$C$46,Inputs!$D$46,IF(M143&lt;=Inputs!$C$47,Inputs!$D$47,Inputs!$D$48))))*((Inputs!$B$30+(R143-0.5)*2*Inputs!$B$53)/Inputs!$B$30)</f>
        <v>0.99706543198439257</v>
      </c>
      <c r="X143" s="44">
        <f ca="1">(IF(G143&gt;=Inputs!$E$15,1,IF(N143&lt;=Inputs!$C$46,Inputs!$D$46,IF(N143&lt;=Inputs!$C$47,Inputs!$D$47,Inputs!$D$48))))*((Inputs!$B$31+(S143-0.5)*2*Inputs!$B$53)/Inputs!$B$31)</f>
        <v>0.99654216059766298</v>
      </c>
      <c r="Y143" s="44">
        <f ca="1">(IF(H143&gt;=Inputs!$E$16,1,IF(O143&lt;=Inputs!$C$46,Inputs!$D$46,IF(O143&lt;=Inputs!$C$47,Inputs!$D$47,Inputs!$D$48))))*((Inputs!$B$32+(T143-0.5)*2*Inputs!$B$53)/Inputs!$B$32)</f>
        <v>1.0013014323250216</v>
      </c>
      <c r="Z143" s="45">
        <f ca="1">ILP_B_Moderate!$C$9*U143+ILP_B_Moderate!$C$10*V143+ILP_B_Moderate!$C$11*W143+ILP_B_Moderate!$C$12*X143+ILP_B_Moderate!$C$13*Y143</f>
        <v>17970.84872479218</v>
      </c>
      <c r="AA143" s="45">
        <f ca="1">ILP_B_Moderate!$D$9*U143+ILP_B_Moderate!$D$10*V143+ILP_B_Moderate!$D$11*W143+ILP_B_Moderate!$D$12*X143+ILP_B_Moderate!$D$13*Y143</f>
        <v>14992.630546561641</v>
      </c>
      <c r="AB143" s="45">
        <f ca="1">ILP_B_Moderate!$E$9*U143+ILP_B_Moderate!$E$10*V143+ILP_B_Moderate!$E$11*W143+ILP_B_Moderate!$E$12*X143+ILP_B_Moderate!$E$13*Y143</f>
        <v>12006.541520785706</v>
      </c>
      <c r="AC143" s="45">
        <f ca="1">Inputs!$B$6*$C143</f>
        <v>20700</v>
      </c>
      <c r="AD143" s="45">
        <f ca="1">Inputs!$B$7*$C143</f>
        <v>17250</v>
      </c>
      <c r="AE143" s="45">
        <f ca="1">Inputs!$B$8*$C143</f>
        <v>13799.999999999998</v>
      </c>
      <c r="AF143" s="45">
        <f t="shared" ca="1" si="103"/>
        <v>2729.1512752078197</v>
      </c>
      <c r="AG143" s="45">
        <f t="shared" ca="1" si="104"/>
        <v>2257.3694534383594</v>
      </c>
      <c r="AH143" s="45">
        <f t="shared" ca="1" si="105"/>
        <v>1793.4584792142923</v>
      </c>
      <c r="AI143" s="45">
        <f t="shared" ca="1" si="106"/>
        <v>6779.9792078604714</v>
      </c>
      <c r="AJ143" s="45">
        <f ca="1">U143*(Inputs!$B$12-ILP_B_Moderate!$F$9)+V143*(Inputs!$B$13-ILP_B_Moderate!$F$10)+W143*(Inputs!$B$14-ILP_B_Moderate!$F$11)+X143*(Inputs!$B$15-ILP_B_Moderate!$F$12)+Y143*(Inputs!$B$16-ILP_B_Moderate!$F$13)</f>
        <v>24976.284373593662</v>
      </c>
      <c r="AK143" s="45">
        <f t="shared" ca="1" si="107"/>
        <v>6779.9792078604714</v>
      </c>
      <c r="AL143" s="45">
        <f t="shared" ca="1" si="108"/>
        <v>0</v>
      </c>
      <c r="AM143" s="45">
        <f t="shared" ca="1" si="109"/>
        <v>0</v>
      </c>
      <c r="AN143" s="45">
        <f t="shared" ca="1" si="110"/>
        <v>0</v>
      </c>
      <c r="AO143" s="45">
        <f ca="1">MIN(AL143,Inputs!$B$36)</f>
        <v>0</v>
      </c>
      <c r="AP143" s="45">
        <f ca="1">MIN(AN143,Inputs!$B$36-AO143)</f>
        <v>0</v>
      </c>
      <c r="AQ143" s="45">
        <f ca="1">MIN(AM143,Inputs!$B$36-AO143-AP143)</f>
        <v>0</v>
      </c>
      <c r="AR143" s="45">
        <f t="shared" ca="1" si="111"/>
        <v>0</v>
      </c>
      <c r="AS143" s="45">
        <f t="shared" ca="1" si="112"/>
        <v>0</v>
      </c>
      <c r="AT143" s="45">
        <f t="shared" ca="1" si="113"/>
        <v>0</v>
      </c>
      <c r="AU143" s="45">
        <f t="shared" ca="1" si="114"/>
        <v>0</v>
      </c>
      <c r="AV143" s="46">
        <f ca="1">AU143*Inputs!$B$35</f>
        <v>0</v>
      </c>
      <c r="AW143" s="46">
        <f ca="1">AR143*Inputs!$C$6+AT143*Inputs!$C$7+AS143*Inputs!$C$8</f>
        <v>0</v>
      </c>
      <c r="AX143" s="46">
        <f t="shared" ca="1" si="115"/>
        <v>47538151.556432888</v>
      </c>
      <c r="AY143" s="46">
        <f ca="1">IF(J143&gt;1,($CD$4)*Inputs!$B$55*((Z143+AA143+AB143)/(SUM(ILP_B_Moderate!$C$9:$E$13))),0)</f>
        <v>0</v>
      </c>
      <c r="AZ143" s="46">
        <f t="shared" ca="1" si="116"/>
        <v>0</v>
      </c>
      <c r="BA143" s="41">
        <f t="shared" ca="1" si="117"/>
        <v>0</v>
      </c>
      <c r="BB143" s="41">
        <f t="shared" ca="1" si="118"/>
        <v>1</v>
      </c>
      <c r="BC143" s="41">
        <f t="shared" ca="1" si="119"/>
        <v>1</v>
      </c>
      <c r="BD143" s="41">
        <f t="shared" ca="1" si="120"/>
        <v>1</v>
      </c>
    </row>
    <row r="144" spans="1:56" ht="15" customHeight="1" x14ac:dyDescent="0.3">
      <c r="A144" s="41">
        <v>137</v>
      </c>
      <c r="B144" s="42">
        <f t="shared" ca="1" si="102"/>
        <v>2.9218109254119495E-2</v>
      </c>
      <c r="C144" s="43">
        <f ca="1">IF(B144&lt;=Inputs!$C$40,Inputs!$D$40,IF(B144&lt;=Inputs!$C$41,Inputs!$D$41,Inputs!$D$42))</f>
        <v>0.9</v>
      </c>
      <c r="D144" s="42">
        <f t="shared" ca="1" si="121"/>
        <v>0.8817136460295727</v>
      </c>
      <c r="E144" s="42">
        <f t="shared" ca="1" si="121"/>
        <v>0.82955331061556359</v>
      </c>
      <c r="F144" s="42">
        <f t="shared" ca="1" si="121"/>
        <v>0.90383337971719546</v>
      </c>
      <c r="G144" s="42">
        <f t="shared" ca="1" si="121"/>
        <v>0.98325982816156132</v>
      </c>
      <c r="H144" s="42">
        <f t="shared" ca="1" si="121"/>
        <v>0.7895302404519362</v>
      </c>
      <c r="I144" s="42">
        <f t="shared" ca="1" si="121"/>
        <v>0.79773050021983993</v>
      </c>
      <c r="J144" s="43">
        <f ca="1">IF(I144&lt;Inputs!$B$54,1+Inputs!$B$55,1)</f>
        <v>1</v>
      </c>
      <c r="K144" s="42">
        <f t="shared" ca="1" si="122"/>
        <v>0.47155875077580123</v>
      </c>
      <c r="L144" s="42">
        <f t="shared" ca="1" si="122"/>
        <v>0.42216834701219885</v>
      </c>
      <c r="M144" s="42">
        <f t="shared" ca="1" si="122"/>
        <v>0.98061952880989656</v>
      </c>
      <c r="N144" s="42">
        <f t="shared" ca="1" si="122"/>
        <v>0.83267509408582141</v>
      </c>
      <c r="O144" s="42">
        <f t="shared" ca="1" si="122"/>
        <v>0.91980469188591163</v>
      </c>
      <c r="P144" s="42">
        <f t="shared" ca="1" si="122"/>
        <v>0.58235027509748638</v>
      </c>
      <c r="Q144" s="42">
        <f t="shared" ca="1" si="122"/>
        <v>0.75095612922149124</v>
      </c>
      <c r="R144" s="42">
        <f t="shared" ca="1" si="122"/>
        <v>0.15844642857601321</v>
      </c>
      <c r="S144" s="42">
        <f t="shared" ca="1" si="122"/>
        <v>0.49281755250693549</v>
      </c>
      <c r="T144" s="42">
        <f t="shared" ca="1" si="122"/>
        <v>0.18623050709073374</v>
      </c>
      <c r="U144" s="44">
        <f ca="1">(IF(D144&gt;=Inputs!$E$12,1,IF(K144&lt;=Inputs!$C$46,Inputs!$D$46,IF(K144&lt;=Inputs!$C$47,Inputs!$D$47,Inputs!$D$48))))*((Inputs!$B$28+(P144-0.5)*2*Inputs!$B$53)/Inputs!$B$28)</f>
        <v>1.0008335048086789</v>
      </c>
      <c r="V144" s="44">
        <f ca="1">(IF(E144&gt;=Inputs!$E$13,1,IF(L144&lt;=Inputs!$C$46,Inputs!$D$46,IF(L144&lt;=Inputs!$C$47,Inputs!$D$47,Inputs!$D$48))))*((Inputs!$B$29+(Q144-0.5)*2*Inputs!$B$53)/Inputs!$B$29)</f>
        <v>1.0025297996897329</v>
      </c>
      <c r="W144" s="44">
        <f ca="1">(IF(F144&gt;=Inputs!$E$14,1,IF(M144&lt;=Inputs!$C$46,Inputs!$D$46,IF(M144&lt;=Inputs!$C$47,Inputs!$D$47,Inputs!$D$48))))*((Inputs!$B$30+(R144-0.5)*2*Inputs!$B$53)/Inputs!$B$30)</f>
        <v>0.99656730078970868</v>
      </c>
      <c r="X144" s="44">
        <f ca="1">(IF(G144&gt;=Inputs!$E$15,1,IF(N144&lt;=Inputs!$C$46,Inputs!$D$46,IF(N144&lt;=Inputs!$C$47,Inputs!$D$47,Inputs!$D$48))))*((Inputs!$B$31+(S144-0.5)*2*Inputs!$B$53)/Inputs!$B$31)</f>
        <v>0.99992708175133949</v>
      </c>
      <c r="Y144" s="44">
        <f ca="1">(IF(H144&gt;=Inputs!$E$16,1,IF(O144&lt;=Inputs!$C$46,Inputs!$D$46,IF(O144&lt;=Inputs!$C$47,Inputs!$D$47,Inputs!$D$48))))*((Inputs!$B$32+(T144-0.5)*2*Inputs!$B$53)/Inputs!$B$32)</f>
        <v>0.99684336526248218</v>
      </c>
      <c r="Z144" s="45">
        <f ca="1">ILP_B_Moderate!$C$9*U144+ILP_B_Moderate!$C$10*V144+ILP_B_Moderate!$C$11*W144+ILP_B_Moderate!$C$12*X144+ILP_B_Moderate!$C$13*Y144</f>
        <v>18013.413332819604</v>
      </c>
      <c r="AA144" s="45">
        <f ca="1">ILP_B_Moderate!$D$9*U144+ILP_B_Moderate!$D$10*V144+ILP_B_Moderate!$D$11*W144+ILP_B_Moderate!$D$12*X144+ILP_B_Moderate!$D$13*Y144</f>
        <v>15022.668670716392</v>
      </c>
      <c r="AB144" s="45">
        <f ca="1">ILP_B_Moderate!$E$9*U144+ILP_B_Moderate!$E$10*V144+ILP_B_Moderate!$E$11*W144+ILP_B_Moderate!$E$12*X144+ILP_B_Moderate!$E$13*Y144</f>
        <v>12000.368289445929</v>
      </c>
      <c r="AC144" s="45">
        <f ca="1">Inputs!$B$6*$C144</f>
        <v>16200</v>
      </c>
      <c r="AD144" s="45">
        <f ca="1">Inputs!$B$7*$C144</f>
        <v>13500</v>
      </c>
      <c r="AE144" s="45">
        <f ca="1">Inputs!$B$8*$C144</f>
        <v>10800</v>
      </c>
      <c r="AF144" s="45">
        <f t="shared" ca="1" si="103"/>
        <v>0</v>
      </c>
      <c r="AG144" s="45">
        <f t="shared" ca="1" si="104"/>
        <v>0</v>
      </c>
      <c r="AH144" s="45">
        <f t="shared" ca="1" si="105"/>
        <v>0</v>
      </c>
      <c r="AI144" s="45">
        <f t="shared" ca="1" si="106"/>
        <v>0</v>
      </c>
      <c r="AJ144" s="45">
        <f ca="1">U144*(Inputs!$B$12-ILP_B_Moderate!$F$9)+V144*(Inputs!$B$13-ILP_B_Moderate!$F$10)+W144*(Inputs!$B$14-ILP_B_Moderate!$F$11)+X144*(Inputs!$B$15-ILP_B_Moderate!$F$12)+Y144*(Inputs!$B$16-ILP_B_Moderate!$F$13)</f>
        <v>24919.453349832715</v>
      </c>
      <c r="AK144" s="45">
        <f t="shared" ca="1" si="107"/>
        <v>0</v>
      </c>
      <c r="AL144" s="45">
        <f t="shared" ca="1" si="108"/>
        <v>0</v>
      </c>
      <c r="AM144" s="45">
        <f t="shared" ca="1" si="109"/>
        <v>0</v>
      </c>
      <c r="AN144" s="45">
        <f t="shared" ca="1" si="110"/>
        <v>0</v>
      </c>
      <c r="AO144" s="45">
        <f ca="1">MIN(AL144,Inputs!$B$36)</f>
        <v>0</v>
      </c>
      <c r="AP144" s="45">
        <f ca="1">MIN(AN144,Inputs!$B$36-AO144)</f>
        <v>0</v>
      </c>
      <c r="AQ144" s="45">
        <f ca="1">MIN(AM144,Inputs!$B$36-AO144-AP144)</f>
        <v>0</v>
      </c>
      <c r="AR144" s="45">
        <f t="shared" ca="1" si="111"/>
        <v>0</v>
      </c>
      <c r="AS144" s="45">
        <f t="shared" ca="1" si="112"/>
        <v>0</v>
      </c>
      <c r="AT144" s="45">
        <f t="shared" ca="1" si="113"/>
        <v>0</v>
      </c>
      <c r="AU144" s="45">
        <f t="shared" ca="1" si="114"/>
        <v>0</v>
      </c>
      <c r="AV144" s="46">
        <f ca="1">AU144*Inputs!$B$35</f>
        <v>0</v>
      </c>
      <c r="AW144" s="46">
        <f ca="1">AR144*Inputs!$C$6+AT144*Inputs!$C$7+AS144*Inputs!$C$8</f>
        <v>0</v>
      </c>
      <c r="AX144" s="46">
        <f t="shared" ca="1" si="115"/>
        <v>47606858.577768907</v>
      </c>
      <c r="AY144" s="46">
        <f ca="1">IF(J144&gt;1,($CD$4)*Inputs!$B$55*((Z144+AA144+AB144)/(SUM(ILP_B_Moderate!$C$9:$E$13))),0)</f>
        <v>0</v>
      </c>
      <c r="AZ144" s="46">
        <f t="shared" ca="1" si="116"/>
        <v>0</v>
      </c>
      <c r="BA144" s="41">
        <f t="shared" ca="1" si="117"/>
        <v>0</v>
      </c>
      <c r="BB144" s="41">
        <f t="shared" ca="1" si="118"/>
        <v>1</v>
      </c>
      <c r="BC144" s="41">
        <f t="shared" ca="1" si="119"/>
        <v>1</v>
      </c>
      <c r="BD144" s="41">
        <f t="shared" ca="1" si="120"/>
        <v>1</v>
      </c>
    </row>
    <row r="145" spans="1:56" ht="15" customHeight="1" x14ac:dyDescent="0.3">
      <c r="A145" s="41">
        <v>138</v>
      </c>
      <c r="B145" s="42">
        <f t="shared" ca="1" si="102"/>
        <v>0.69311935673324376</v>
      </c>
      <c r="C145" s="43">
        <f ca="1">IF(B145&lt;=Inputs!$C$40,Inputs!$D$40,IF(B145&lt;=Inputs!$C$41,Inputs!$D$41,Inputs!$D$42))</f>
        <v>1</v>
      </c>
      <c r="D145" s="42">
        <f t="shared" ca="1" si="121"/>
        <v>0.90470371888505763</v>
      </c>
      <c r="E145" s="42">
        <f t="shared" ca="1" si="121"/>
        <v>8.3992074075608936E-2</v>
      </c>
      <c r="F145" s="42">
        <f t="shared" ca="1" si="121"/>
        <v>8.0757804473111205E-2</v>
      </c>
      <c r="G145" s="42">
        <f t="shared" ca="1" si="121"/>
        <v>0.54920285394135671</v>
      </c>
      <c r="H145" s="42">
        <f t="shared" ca="1" si="121"/>
        <v>0.60695431316180126</v>
      </c>
      <c r="I145" s="42">
        <f t="shared" ca="1" si="121"/>
        <v>0.48394141542708546</v>
      </c>
      <c r="J145" s="43">
        <f ca="1">IF(I145&lt;Inputs!$B$54,1+Inputs!$B$55,1)</f>
        <v>1</v>
      </c>
      <c r="K145" s="42">
        <f t="shared" ca="1" si="122"/>
        <v>0.3346054554782486</v>
      </c>
      <c r="L145" s="42">
        <f t="shared" ca="1" si="122"/>
        <v>0.69580561673661878</v>
      </c>
      <c r="M145" s="42">
        <f t="shared" ca="1" si="122"/>
        <v>0.63613947668446769</v>
      </c>
      <c r="N145" s="42">
        <f t="shared" ca="1" si="122"/>
        <v>0.10539054288634342</v>
      </c>
      <c r="O145" s="42">
        <f t="shared" ca="1" si="122"/>
        <v>0.46062209284128952</v>
      </c>
      <c r="P145" s="42">
        <f t="shared" ca="1" si="122"/>
        <v>0.93033140988729057</v>
      </c>
      <c r="Q145" s="42">
        <f t="shared" ca="1" si="122"/>
        <v>0.5994754247999442</v>
      </c>
      <c r="R145" s="42">
        <f t="shared" ca="1" si="122"/>
        <v>9.9468586544463777E-2</v>
      </c>
      <c r="S145" s="42">
        <f t="shared" ca="1" si="122"/>
        <v>0.92849669125738188</v>
      </c>
      <c r="T145" s="42">
        <f t="shared" ca="1" si="122"/>
        <v>0.34561208843110036</v>
      </c>
      <c r="U145" s="44">
        <f ca="1">(IF(D145&gt;=Inputs!$E$12,1,IF(K145&lt;=Inputs!$C$46,Inputs!$D$46,IF(K145&lt;=Inputs!$C$47,Inputs!$D$47,Inputs!$D$48))))*((Inputs!$B$28+(P145-0.5)*2*Inputs!$B$53)/Inputs!$B$28)</f>
        <v>1.0043555810717337</v>
      </c>
      <c r="V145" s="44">
        <f ca="1">(IF(E145&gt;=Inputs!$E$13,1,IF(L145&lt;=Inputs!$C$46,Inputs!$D$46,IF(L145&lt;=Inputs!$C$47,Inputs!$D$47,Inputs!$D$48))))*((Inputs!$B$29+(Q145-0.5)*2*Inputs!$B$53)/Inputs!$B$29)</f>
        <v>0.30030083293790305</v>
      </c>
      <c r="W145" s="44">
        <f ca="1">(IF(F145&gt;=Inputs!$E$14,1,IF(M145&lt;=Inputs!$C$46,Inputs!$D$46,IF(M145&lt;=Inputs!$C$47,Inputs!$D$47,Inputs!$D$48))))*((Inputs!$B$30+(R145-0.5)*2*Inputs!$B$53)/Inputs!$B$30)</f>
        <v>0.9959745586587383</v>
      </c>
      <c r="X145" s="44">
        <f ca="1">(IF(G145&gt;=Inputs!$E$15,1,IF(N145&lt;=Inputs!$C$46,Inputs!$D$46,IF(N145&lt;=Inputs!$C$47,Inputs!$D$47,Inputs!$D$48))))*((Inputs!$B$31+(S145-0.5)*2*Inputs!$B$53)/Inputs!$B$31)</f>
        <v>1.004350220215811</v>
      </c>
      <c r="Y145" s="44">
        <f ca="1">(IF(H145&gt;=Inputs!$E$16,1,IF(O145&lt;=Inputs!$C$46,Inputs!$D$46,IF(O145&lt;=Inputs!$C$47,Inputs!$D$47,Inputs!$D$48))))*((Inputs!$B$32+(T145-0.5)*2*Inputs!$B$53)/Inputs!$B$32)</f>
        <v>0.99844680169447786</v>
      </c>
      <c r="Z145" s="45">
        <f ca="1">ILP_B_Moderate!$C$9*U145+ILP_B_Moderate!$C$10*V145+ILP_B_Moderate!$C$11*W145+ILP_B_Moderate!$C$12*X145+ILP_B_Moderate!$C$13*Y145</f>
        <v>15352.252226813711</v>
      </c>
      <c r="AA145" s="45">
        <f ca="1">ILP_B_Moderate!$D$9*U145+ILP_B_Moderate!$D$10*V145+ILP_B_Moderate!$D$11*W145+ILP_B_Moderate!$D$12*X145+ILP_B_Moderate!$D$13*Y145</f>
        <v>9784.9079874585732</v>
      </c>
      <c r="AB145" s="45">
        <f ca="1">ILP_B_Moderate!$E$9*U145+ILP_B_Moderate!$E$10*V145+ILP_B_Moderate!$E$11*W145+ILP_B_Moderate!$E$12*X145+ILP_B_Moderate!$E$13*Y145</f>
        <v>10260.279039205729</v>
      </c>
      <c r="AC145" s="45">
        <f ca="1">Inputs!$B$6*$C145</f>
        <v>18000</v>
      </c>
      <c r="AD145" s="45">
        <f ca="1">Inputs!$B$7*$C145</f>
        <v>15000</v>
      </c>
      <c r="AE145" s="45">
        <f ca="1">Inputs!$B$8*$C145</f>
        <v>12000</v>
      </c>
      <c r="AF145" s="45">
        <f t="shared" ca="1" si="103"/>
        <v>2647.7477731862891</v>
      </c>
      <c r="AG145" s="45">
        <f t="shared" ca="1" si="104"/>
        <v>5215.0920125414268</v>
      </c>
      <c r="AH145" s="45">
        <f t="shared" ca="1" si="105"/>
        <v>1739.7209607942714</v>
      </c>
      <c r="AI145" s="45">
        <f t="shared" ca="1" si="106"/>
        <v>9602.5607465219873</v>
      </c>
      <c r="AJ145" s="45">
        <f ca="1">U145*(Inputs!$B$12-ILP_B_Moderate!$F$9)+V145*(Inputs!$B$13-ILP_B_Moderate!$F$10)+W145*(Inputs!$B$14-ILP_B_Moderate!$F$11)+X145*(Inputs!$B$15-ILP_B_Moderate!$F$12)+Y145*(Inputs!$B$16-ILP_B_Moderate!$F$13)</f>
        <v>24853.03563537087</v>
      </c>
      <c r="AK145" s="45">
        <f t="shared" ca="1" si="107"/>
        <v>9602.5607465219873</v>
      </c>
      <c r="AL145" s="45">
        <f t="shared" ca="1" si="108"/>
        <v>0</v>
      </c>
      <c r="AM145" s="45">
        <f t="shared" ca="1" si="109"/>
        <v>0</v>
      </c>
      <c r="AN145" s="45">
        <f t="shared" ca="1" si="110"/>
        <v>0</v>
      </c>
      <c r="AO145" s="45">
        <f ca="1">MIN(AL145,Inputs!$B$36)</f>
        <v>0</v>
      </c>
      <c r="AP145" s="45">
        <f ca="1">MIN(AN145,Inputs!$B$36-AO145)</f>
        <v>0</v>
      </c>
      <c r="AQ145" s="45">
        <f ca="1">MIN(AM145,Inputs!$B$36-AO145-AP145)</f>
        <v>0</v>
      </c>
      <c r="AR145" s="45">
        <f t="shared" ca="1" si="111"/>
        <v>0</v>
      </c>
      <c r="AS145" s="45">
        <f t="shared" ca="1" si="112"/>
        <v>0</v>
      </c>
      <c r="AT145" s="45">
        <f t="shared" ca="1" si="113"/>
        <v>0</v>
      </c>
      <c r="AU145" s="45">
        <f t="shared" ca="1" si="114"/>
        <v>0</v>
      </c>
      <c r="AV145" s="46">
        <f ca="1">AU145*Inputs!$B$35</f>
        <v>0</v>
      </c>
      <c r="AW145" s="46">
        <f ca="1">AR145*Inputs!$C$6+AT145*Inputs!$C$7+AS145*Inputs!$C$8</f>
        <v>0</v>
      </c>
      <c r="AX145" s="46">
        <f t="shared" ca="1" si="115"/>
        <v>37434339.519652888</v>
      </c>
      <c r="AY145" s="46">
        <f ca="1">IF(J145&gt;1,($CD$4)*Inputs!$B$55*((Z145+AA145+AB145)/(SUM(ILP_B_Moderate!$C$9:$E$13))),0)</f>
        <v>0</v>
      </c>
      <c r="AZ145" s="46">
        <f t="shared" ca="1" si="116"/>
        <v>0</v>
      </c>
      <c r="BA145" s="41">
        <f t="shared" ca="1" si="117"/>
        <v>0</v>
      </c>
      <c r="BB145" s="41">
        <f t="shared" ca="1" si="118"/>
        <v>1</v>
      </c>
      <c r="BC145" s="41">
        <f t="shared" ca="1" si="119"/>
        <v>1</v>
      </c>
      <c r="BD145" s="41">
        <f t="shared" ca="1" si="120"/>
        <v>1</v>
      </c>
    </row>
    <row r="146" spans="1:56" ht="15" customHeight="1" x14ac:dyDescent="0.3">
      <c r="A146" s="41">
        <v>139</v>
      </c>
      <c r="B146" s="42">
        <f t="shared" ca="1" si="102"/>
        <v>0.22245938545164523</v>
      </c>
      <c r="C146" s="43">
        <f ca="1">IF(B146&lt;=Inputs!$C$40,Inputs!$D$40,IF(B146&lt;=Inputs!$C$41,Inputs!$D$41,Inputs!$D$42))</f>
        <v>1</v>
      </c>
      <c r="D146" s="42">
        <f t="shared" ca="1" si="121"/>
        <v>4.790320069469145E-2</v>
      </c>
      <c r="E146" s="42">
        <f t="shared" ca="1" si="121"/>
        <v>0.33361222261219192</v>
      </c>
      <c r="F146" s="42">
        <f t="shared" ca="1" si="121"/>
        <v>0.98048135724392349</v>
      </c>
      <c r="G146" s="42">
        <f t="shared" ca="1" si="121"/>
        <v>0.32519148542860488</v>
      </c>
      <c r="H146" s="42">
        <f t="shared" ca="1" si="121"/>
        <v>0.44354323405816964</v>
      </c>
      <c r="I146" s="42">
        <f t="shared" ca="1" si="121"/>
        <v>0.11739650721991224</v>
      </c>
      <c r="J146" s="43">
        <f ca="1">IF(I146&lt;Inputs!$B$54,1+Inputs!$B$55,1)</f>
        <v>1</v>
      </c>
      <c r="K146" s="42">
        <f t="shared" ca="1" si="122"/>
        <v>0.55617604585884883</v>
      </c>
      <c r="L146" s="42">
        <f t="shared" ca="1" si="122"/>
        <v>0.31726645837292611</v>
      </c>
      <c r="M146" s="42">
        <f t="shared" ca="1" si="122"/>
        <v>0.31005833906668701</v>
      </c>
      <c r="N146" s="42">
        <f t="shared" ca="1" si="122"/>
        <v>0.28925501175983515</v>
      </c>
      <c r="O146" s="42">
        <f t="shared" ca="1" si="122"/>
        <v>0.8708903881345722</v>
      </c>
      <c r="P146" s="42">
        <f t="shared" ca="1" si="122"/>
        <v>1.5374058390907441E-2</v>
      </c>
      <c r="Q146" s="42">
        <f t="shared" ca="1" si="122"/>
        <v>8.0744684043862924E-2</v>
      </c>
      <c r="R146" s="42">
        <f t="shared" ca="1" si="122"/>
        <v>0.69594065049797527</v>
      </c>
      <c r="S146" s="42">
        <f t="shared" ca="1" si="122"/>
        <v>0.26590088079191943</v>
      </c>
      <c r="T146" s="42">
        <f t="shared" ca="1" si="122"/>
        <v>0.50924253226453076</v>
      </c>
      <c r="U146" s="44">
        <f ca="1">(IF(D146&gt;=Inputs!$E$12,1,IF(K146&lt;=Inputs!$C$46,Inputs!$D$46,IF(K146&lt;=Inputs!$C$47,Inputs!$D$47,Inputs!$D$48))))*((Inputs!$B$28+(P146-0.5)*2*Inputs!$B$53)/Inputs!$B$28)</f>
        <v>0.29852846374005332</v>
      </c>
      <c r="V146" s="44">
        <f ca="1">(IF(E146&gt;=Inputs!$E$13,1,IF(L146&lt;=Inputs!$C$46,Inputs!$D$46,IF(L146&lt;=Inputs!$C$47,Inputs!$D$47,Inputs!$D$48))))*((Inputs!$B$29+(Q146-0.5)*2*Inputs!$B$53)/Inputs!$B$29)</f>
        <v>0.9957736359278615</v>
      </c>
      <c r="W146" s="44">
        <f ca="1">(IF(F146&gt;=Inputs!$E$14,1,IF(M146&lt;=Inputs!$C$46,Inputs!$D$46,IF(M146&lt;=Inputs!$C$47,Inputs!$D$47,Inputs!$D$48))))*((Inputs!$B$30+(R146-0.5)*2*Inputs!$B$53)/Inputs!$B$30)</f>
        <v>1.0019692527688238</v>
      </c>
      <c r="X146" s="44">
        <f ca="1">(IF(G146&gt;=Inputs!$E$15,1,IF(N146&lt;=Inputs!$C$46,Inputs!$D$46,IF(N146&lt;=Inputs!$C$47,Inputs!$D$47,Inputs!$D$48))))*((Inputs!$B$31+(S146-0.5)*2*Inputs!$B$53)/Inputs!$B$31)</f>
        <v>0.9976233591958571</v>
      </c>
      <c r="Y146" s="44">
        <f ca="1">(IF(H146&gt;=Inputs!$E$16,1,IF(O146&lt;=Inputs!$C$46,Inputs!$D$46,IF(O146&lt;=Inputs!$C$47,Inputs!$D$47,Inputs!$D$48))))*((Inputs!$B$32+(T146-0.5)*2*Inputs!$B$53)/Inputs!$B$32)</f>
        <v>1.0000929832219771</v>
      </c>
      <c r="Z146" s="45">
        <f ca="1">ILP_B_Moderate!$C$9*U146+ILP_B_Moderate!$C$10*V146+ILP_B_Moderate!$C$11*W146+ILP_B_Moderate!$C$12*X146+ILP_B_Moderate!$C$13*Y146</f>
        <v>14365.099713134387</v>
      </c>
      <c r="AA146" s="45">
        <f ca="1">ILP_B_Moderate!$D$9*U146+ILP_B_Moderate!$D$10*V146+ILP_B_Moderate!$D$11*W146+ILP_B_Moderate!$D$12*X146+ILP_B_Moderate!$D$13*Y146</f>
        <v>11678.713352694727</v>
      </c>
      <c r="AB146" s="45">
        <f ca="1">ILP_B_Moderate!$E$9*U146+ILP_B_Moderate!$E$10*V146+ILP_B_Moderate!$E$11*W146+ILP_B_Moderate!$E$12*X146+ILP_B_Moderate!$E$13*Y146</f>
        <v>7780.8612039801883</v>
      </c>
      <c r="AC146" s="45">
        <f ca="1">Inputs!$B$6*$C146</f>
        <v>18000</v>
      </c>
      <c r="AD146" s="45">
        <f ca="1">Inputs!$B$7*$C146</f>
        <v>15000</v>
      </c>
      <c r="AE146" s="45">
        <f ca="1">Inputs!$B$8*$C146</f>
        <v>12000</v>
      </c>
      <c r="AF146" s="45">
        <f t="shared" ca="1" si="103"/>
        <v>3634.9002868656135</v>
      </c>
      <c r="AG146" s="45">
        <f t="shared" ca="1" si="104"/>
        <v>3321.2866473052727</v>
      </c>
      <c r="AH146" s="45">
        <f t="shared" ca="1" si="105"/>
        <v>4219.1387960198117</v>
      </c>
      <c r="AI146" s="45">
        <f t="shared" ca="1" si="106"/>
        <v>11175.325730190698</v>
      </c>
      <c r="AJ146" s="45">
        <f ca="1">U146*(Inputs!$B$12-ILP_B_Moderate!$F$9)+V146*(Inputs!$B$13-ILP_B_Moderate!$F$10)+W146*(Inputs!$B$14-ILP_B_Moderate!$F$11)+X146*(Inputs!$B$15-ILP_B_Moderate!$F$12)+Y146*(Inputs!$B$16-ILP_B_Moderate!$F$13)</f>
        <v>24891.087397696265</v>
      </c>
      <c r="AK146" s="45">
        <f t="shared" ca="1" si="107"/>
        <v>11175.325730190698</v>
      </c>
      <c r="AL146" s="45">
        <f t="shared" ca="1" si="108"/>
        <v>0</v>
      </c>
      <c r="AM146" s="45">
        <f t="shared" ca="1" si="109"/>
        <v>0</v>
      </c>
      <c r="AN146" s="45">
        <f t="shared" ca="1" si="110"/>
        <v>0</v>
      </c>
      <c r="AO146" s="45">
        <f ca="1">MIN(AL146,Inputs!$B$36)</f>
        <v>0</v>
      </c>
      <c r="AP146" s="45">
        <f ca="1">MIN(AN146,Inputs!$B$36-AO146)</f>
        <v>0</v>
      </c>
      <c r="AQ146" s="45">
        <f ca="1">MIN(AM146,Inputs!$B$36-AO146-AP146)</f>
        <v>0</v>
      </c>
      <c r="AR146" s="45">
        <f t="shared" ca="1" si="111"/>
        <v>0</v>
      </c>
      <c r="AS146" s="45">
        <f t="shared" ca="1" si="112"/>
        <v>0</v>
      </c>
      <c r="AT146" s="45">
        <f t="shared" ca="1" si="113"/>
        <v>0</v>
      </c>
      <c r="AU146" s="45">
        <f t="shared" ca="1" si="114"/>
        <v>0</v>
      </c>
      <c r="AV146" s="46">
        <f ca="1">AU146*Inputs!$B$35</f>
        <v>0</v>
      </c>
      <c r="AW146" s="46">
        <f ca="1">AR146*Inputs!$C$6+AT146*Inputs!$C$7+AS146*Inputs!$C$8</f>
        <v>0</v>
      </c>
      <c r="AX146" s="46">
        <f t="shared" ca="1" si="115"/>
        <v>35676838.351772785</v>
      </c>
      <c r="AY146" s="46">
        <f ca="1">IF(J146&gt;1,($CD$4)*Inputs!$B$55*((Z146+AA146+AB146)/(SUM(ILP_B_Moderate!$C$9:$E$13))),0)</f>
        <v>0</v>
      </c>
      <c r="AZ146" s="46">
        <f t="shared" ca="1" si="116"/>
        <v>0</v>
      </c>
      <c r="BA146" s="41">
        <f t="shared" ca="1" si="117"/>
        <v>0</v>
      </c>
      <c r="BB146" s="41">
        <f t="shared" ca="1" si="118"/>
        <v>1</v>
      </c>
      <c r="BC146" s="41">
        <f t="shared" ca="1" si="119"/>
        <v>1</v>
      </c>
      <c r="BD146" s="41">
        <f t="shared" ca="1" si="120"/>
        <v>1</v>
      </c>
    </row>
    <row r="147" spans="1:56" ht="15" customHeight="1" x14ac:dyDescent="0.3">
      <c r="A147" s="41">
        <v>140</v>
      </c>
      <c r="B147" s="42">
        <f t="shared" ca="1" si="102"/>
        <v>0.54358027203317083</v>
      </c>
      <c r="C147" s="43">
        <f ca="1">IF(B147&lt;=Inputs!$C$40,Inputs!$D$40,IF(B147&lt;=Inputs!$C$41,Inputs!$D$41,Inputs!$D$42))</f>
        <v>1</v>
      </c>
      <c r="D147" s="42">
        <f t="shared" ca="1" si="121"/>
        <v>0.10567432505332741</v>
      </c>
      <c r="E147" s="42">
        <f t="shared" ca="1" si="121"/>
        <v>0.55656354675011854</v>
      </c>
      <c r="F147" s="42">
        <f t="shared" ca="1" si="121"/>
        <v>0.65280528177304953</v>
      </c>
      <c r="G147" s="42">
        <f t="shared" ca="1" si="121"/>
        <v>0.53273811225435264</v>
      </c>
      <c r="H147" s="42">
        <f t="shared" ca="1" si="121"/>
        <v>0.84593517266291496</v>
      </c>
      <c r="I147" s="42">
        <f t="shared" ca="1" si="121"/>
        <v>0.66213346463831191</v>
      </c>
      <c r="J147" s="43">
        <f ca="1">IF(I147&lt;Inputs!$B$54,1+Inputs!$B$55,1)</f>
        <v>1</v>
      </c>
      <c r="K147" s="42">
        <f t="shared" ca="1" si="122"/>
        <v>0.26375917815992211</v>
      </c>
      <c r="L147" s="42">
        <f t="shared" ca="1" si="122"/>
        <v>0.77819822855431453</v>
      </c>
      <c r="M147" s="42">
        <f t="shared" ca="1" si="122"/>
        <v>0.77412284133391929</v>
      </c>
      <c r="N147" s="42">
        <f t="shared" ca="1" si="122"/>
        <v>0.14018108242153804</v>
      </c>
      <c r="O147" s="42">
        <f t="shared" ca="1" si="122"/>
        <v>0.88752498460105578</v>
      </c>
      <c r="P147" s="42">
        <f t="shared" ca="1" si="122"/>
        <v>0.70159595773207206</v>
      </c>
      <c r="Q147" s="42">
        <f t="shared" ca="1" si="122"/>
        <v>0.39906844242321959</v>
      </c>
      <c r="R147" s="42">
        <f t="shared" ca="1" si="122"/>
        <v>0.16826231060114316</v>
      </c>
      <c r="S147" s="42">
        <f t="shared" ca="1" si="122"/>
        <v>0.40036610075339907</v>
      </c>
      <c r="T147" s="42">
        <f t="shared" ca="1" si="122"/>
        <v>0.88552057036339549</v>
      </c>
      <c r="U147" s="44">
        <f ca="1">(IF(D147&gt;=Inputs!$E$12,1,IF(K147&lt;=Inputs!$C$46,Inputs!$D$46,IF(K147&lt;=Inputs!$C$47,Inputs!$D$47,Inputs!$D$48))))*((Inputs!$B$28+(P147-0.5)*2*Inputs!$B$53)/Inputs!$B$28)</f>
        <v>1.0020404449163165</v>
      </c>
      <c r="V147" s="44">
        <f ca="1">(IF(E147&gt;=Inputs!$E$13,1,IF(L147&lt;=Inputs!$C$46,Inputs!$D$46,IF(L147&lt;=Inputs!$C$47,Inputs!$D$47,Inputs!$D$48))))*((Inputs!$B$29+(Q147-0.5)*2*Inputs!$B$53)/Inputs!$B$29)</f>
        <v>0.99898254478249215</v>
      </c>
      <c r="W147" s="44">
        <f ca="1">(IF(F147&gt;=Inputs!$E$14,1,IF(M147&lt;=Inputs!$C$46,Inputs!$D$46,IF(M147&lt;=Inputs!$C$47,Inputs!$D$47,Inputs!$D$48))))*((Inputs!$B$30+(R147-0.5)*2*Inputs!$B$53)/Inputs!$B$30)</f>
        <v>0.99666595287036319</v>
      </c>
      <c r="X147" s="44">
        <f ca="1">(IF(G147&gt;=Inputs!$E$15,1,IF(N147&lt;=Inputs!$C$46,Inputs!$D$46,IF(N147&lt;=Inputs!$C$47,Inputs!$D$47,Inputs!$D$48))))*((Inputs!$B$31+(S147-0.5)*2*Inputs!$B$53)/Inputs!$B$31)</f>
        <v>0.99898848833252185</v>
      </c>
      <c r="Y147" s="44">
        <f ca="1">(IF(H147&gt;=Inputs!$E$16,1,IF(O147&lt;=Inputs!$C$46,Inputs!$D$46,IF(O147&lt;=Inputs!$C$47,Inputs!$D$47,Inputs!$D$48))))*((Inputs!$B$32+(T147-0.5)*2*Inputs!$B$53)/Inputs!$B$32)</f>
        <v>1.003878476563012</v>
      </c>
      <c r="Z147" s="45">
        <f ca="1">ILP_B_Moderate!$C$9*U147+ILP_B_Moderate!$C$10*V147+ILP_B_Moderate!$C$11*W147+ILP_B_Moderate!$C$12*X147+ILP_B_Moderate!$C$13*Y147</f>
        <v>17997.42020992138</v>
      </c>
      <c r="AA147" s="45">
        <f ca="1">ILP_B_Moderate!$D$9*U147+ILP_B_Moderate!$D$10*V147+ILP_B_Moderate!$D$11*W147+ILP_B_Moderate!$D$12*X147+ILP_B_Moderate!$D$13*Y147</f>
        <v>14999.065905174764</v>
      </c>
      <c r="AB147" s="45">
        <f ca="1">ILP_B_Moderate!$E$9*U147+ILP_B_Moderate!$E$10*V147+ILP_B_Moderate!$E$11*W147+ILP_B_Moderate!$E$12*X147+ILP_B_Moderate!$E$13*Y147</f>
        <v>12023.195364516183</v>
      </c>
      <c r="AC147" s="45">
        <f ca="1">Inputs!$B$6*$C147</f>
        <v>18000</v>
      </c>
      <c r="AD147" s="45">
        <f ca="1">Inputs!$B$7*$C147</f>
        <v>15000</v>
      </c>
      <c r="AE147" s="45">
        <f ca="1">Inputs!$B$8*$C147</f>
        <v>12000</v>
      </c>
      <c r="AF147" s="45">
        <f t="shared" ca="1" si="103"/>
        <v>2.5797900786201353</v>
      </c>
      <c r="AG147" s="45">
        <f t="shared" ca="1" si="104"/>
        <v>0.93409482523566112</v>
      </c>
      <c r="AH147" s="45">
        <f t="shared" ca="1" si="105"/>
        <v>0</v>
      </c>
      <c r="AI147" s="45">
        <f t="shared" ca="1" si="106"/>
        <v>3.5138849038557964</v>
      </c>
      <c r="AJ147" s="45">
        <f ca="1">U147*(Inputs!$B$12-ILP_B_Moderate!$F$9)+V147*(Inputs!$B$13-ILP_B_Moderate!$F$10)+W147*(Inputs!$B$14-ILP_B_Moderate!$F$11)+X147*(Inputs!$B$15-ILP_B_Moderate!$F$12)+Y147*(Inputs!$B$16-ILP_B_Moderate!$F$13)</f>
        <v>25001.417661753792</v>
      </c>
      <c r="AK147" s="45">
        <f t="shared" ca="1" si="107"/>
        <v>3.5138849038557964</v>
      </c>
      <c r="AL147" s="45">
        <f t="shared" ca="1" si="108"/>
        <v>0</v>
      </c>
      <c r="AM147" s="45">
        <f t="shared" ca="1" si="109"/>
        <v>0</v>
      </c>
      <c r="AN147" s="45">
        <f t="shared" ca="1" si="110"/>
        <v>0</v>
      </c>
      <c r="AO147" s="45">
        <f ca="1">MIN(AL147,Inputs!$B$36)</f>
        <v>0</v>
      </c>
      <c r="AP147" s="45">
        <f ca="1">MIN(AN147,Inputs!$B$36-AO147)</f>
        <v>0</v>
      </c>
      <c r="AQ147" s="45">
        <f ca="1">MIN(AM147,Inputs!$B$36-AO147-AP147)</f>
        <v>0</v>
      </c>
      <c r="AR147" s="45">
        <f t="shared" ca="1" si="111"/>
        <v>0</v>
      </c>
      <c r="AS147" s="45">
        <f t="shared" ca="1" si="112"/>
        <v>0</v>
      </c>
      <c r="AT147" s="45">
        <f t="shared" ca="1" si="113"/>
        <v>0</v>
      </c>
      <c r="AU147" s="45">
        <f t="shared" ca="1" si="114"/>
        <v>0</v>
      </c>
      <c r="AV147" s="46">
        <f ca="1">AU147*Inputs!$B$35</f>
        <v>0</v>
      </c>
      <c r="AW147" s="46">
        <f ca="1">AR147*Inputs!$C$6+AT147*Inputs!$C$7+AS147*Inputs!$C$8</f>
        <v>0</v>
      </c>
      <c r="AX147" s="46">
        <f t="shared" ca="1" si="115"/>
        <v>47590678.812914714</v>
      </c>
      <c r="AY147" s="46">
        <f ca="1">IF(J147&gt;1,($CD$4)*Inputs!$B$55*((Z147+AA147+AB147)/(SUM(ILP_B_Moderate!$C$9:$E$13))),0)</f>
        <v>0</v>
      </c>
      <c r="AZ147" s="46">
        <f t="shared" ca="1" si="116"/>
        <v>0</v>
      </c>
      <c r="BA147" s="41">
        <f t="shared" ca="1" si="117"/>
        <v>0</v>
      </c>
      <c r="BB147" s="41">
        <f t="shared" ca="1" si="118"/>
        <v>1</v>
      </c>
      <c r="BC147" s="41">
        <f t="shared" ca="1" si="119"/>
        <v>1</v>
      </c>
      <c r="BD147" s="41">
        <f t="shared" ca="1" si="120"/>
        <v>1</v>
      </c>
    </row>
    <row r="148" spans="1:56" ht="15" customHeight="1" x14ac:dyDescent="0.3">
      <c r="A148" s="41">
        <v>141</v>
      </c>
      <c r="B148" s="42">
        <f t="shared" ca="1" si="102"/>
        <v>0.20139786178222752</v>
      </c>
      <c r="C148" s="43">
        <f ca="1">IF(B148&lt;=Inputs!$C$40,Inputs!$D$40,IF(B148&lt;=Inputs!$C$41,Inputs!$D$41,Inputs!$D$42))</f>
        <v>1</v>
      </c>
      <c r="D148" s="42">
        <f t="shared" ref="D148:I157" ca="1" si="123">RAND()</f>
        <v>0.77152475563781597</v>
      </c>
      <c r="E148" s="42">
        <f t="shared" ca="1" si="123"/>
        <v>0.23303718865362544</v>
      </c>
      <c r="F148" s="42">
        <f t="shared" ca="1" si="123"/>
        <v>0.18827046499941869</v>
      </c>
      <c r="G148" s="42">
        <f t="shared" ca="1" si="123"/>
        <v>5.5848133941734712E-2</v>
      </c>
      <c r="H148" s="42">
        <f t="shared" ca="1" si="123"/>
        <v>0.23107430413664753</v>
      </c>
      <c r="I148" s="42">
        <f t="shared" ca="1" si="123"/>
        <v>0.37872473513515126</v>
      </c>
      <c r="J148" s="43">
        <f ca="1">IF(I148&lt;Inputs!$B$54,1+Inputs!$B$55,1)</f>
        <v>1</v>
      </c>
      <c r="K148" s="42">
        <f t="shared" ref="K148:T157" ca="1" si="124">RAND()</f>
        <v>0.81738795594544478</v>
      </c>
      <c r="L148" s="42">
        <f t="shared" ca="1" si="124"/>
        <v>1.5462364187452171E-2</v>
      </c>
      <c r="M148" s="42">
        <f t="shared" ca="1" si="124"/>
        <v>0.95846162167529148</v>
      </c>
      <c r="N148" s="42">
        <f t="shared" ca="1" si="124"/>
        <v>6.7410090945961287E-2</v>
      </c>
      <c r="O148" s="42">
        <f t="shared" ca="1" si="124"/>
        <v>0.60414374410150096</v>
      </c>
      <c r="P148" s="42">
        <f t="shared" ca="1" si="124"/>
        <v>0.91388131462762567</v>
      </c>
      <c r="Q148" s="42">
        <f t="shared" ca="1" si="124"/>
        <v>0.12233830871914553</v>
      </c>
      <c r="R148" s="42">
        <f t="shared" ca="1" si="124"/>
        <v>0.98033369723711417</v>
      </c>
      <c r="S148" s="42">
        <f t="shared" ca="1" si="124"/>
        <v>0.38194040424113063</v>
      </c>
      <c r="T148" s="42">
        <f t="shared" ca="1" si="124"/>
        <v>0.81922700115526992</v>
      </c>
      <c r="U148" s="44">
        <f ca="1">(IF(D148&gt;=Inputs!$E$12,1,IF(K148&lt;=Inputs!$C$46,Inputs!$D$46,IF(K148&lt;=Inputs!$C$47,Inputs!$D$47,Inputs!$D$48))))*((Inputs!$B$28+(P148-0.5)*2*Inputs!$B$53)/Inputs!$B$28)</f>
        <v>1.0041890821318586</v>
      </c>
      <c r="V148" s="44">
        <f ca="1">(IF(E148&gt;=Inputs!$E$13,1,IF(L148&lt;=Inputs!$C$46,Inputs!$D$46,IF(L148&lt;=Inputs!$C$47,Inputs!$D$47,Inputs!$D$48))))*((Inputs!$B$29+(Q148-0.5)*2*Inputs!$B$53)/Inputs!$B$29)</f>
        <v>0.99619292649918501</v>
      </c>
      <c r="W148" s="44">
        <f ca="1">(IF(F148&gt;=Inputs!$E$14,1,IF(M148&lt;=Inputs!$C$46,Inputs!$D$46,IF(M148&lt;=Inputs!$C$47,Inputs!$D$47,Inputs!$D$48))))*((Inputs!$B$30+(R148-0.5)*2*Inputs!$B$53)/Inputs!$B$30)</f>
        <v>1.0048274743440915</v>
      </c>
      <c r="X148" s="44">
        <f ca="1">(IF(G148&gt;=Inputs!$E$15,1,IF(N148&lt;=Inputs!$C$46,Inputs!$D$46,IF(N148&lt;=Inputs!$C$47,Inputs!$D$47,Inputs!$D$48))))*((Inputs!$B$31+(S148-0.5)*2*Inputs!$B$53)/Inputs!$B$31)</f>
        <v>0.59928085525426067</v>
      </c>
      <c r="Y148" s="44">
        <f ca="1">(IF(H148&gt;=Inputs!$E$16,1,IF(O148&lt;=Inputs!$C$46,Inputs!$D$46,IF(O148&lt;=Inputs!$C$47,Inputs!$D$47,Inputs!$D$48))))*((Inputs!$B$32+(T148-0.5)*2*Inputs!$B$53)/Inputs!$B$32)</f>
        <v>1.0032115392470349</v>
      </c>
      <c r="Z148" s="45">
        <f ca="1">ILP_B_Moderate!$C$9*U148+ILP_B_Moderate!$C$10*V148+ILP_B_Moderate!$C$11*W148+ILP_B_Moderate!$C$12*X148+ILP_B_Moderate!$C$13*Y148</f>
        <v>14400.26832186536</v>
      </c>
      <c r="AA148" s="45">
        <f ca="1">ILP_B_Moderate!$D$9*U148+ILP_B_Moderate!$D$10*V148+ILP_B_Moderate!$D$11*W148+ILP_B_Moderate!$D$12*X148+ILP_B_Moderate!$D$13*Y148</f>
        <v>13861.023864938001</v>
      </c>
      <c r="AB148" s="45">
        <f ca="1">ILP_B_Moderate!$E$9*U148+ILP_B_Moderate!$E$10*V148+ILP_B_Moderate!$E$11*W148+ILP_B_Moderate!$E$12*X148+ILP_B_Moderate!$E$13*Y148</f>
        <v>12026.744898599771</v>
      </c>
      <c r="AC148" s="45">
        <f ca="1">Inputs!$B$6*$C148</f>
        <v>18000</v>
      </c>
      <c r="AD148" s="45">
        <f ca="1">Inputs!$B$7*$C148</f>
        <v>15000</v>
      </c>
      <c r="AE148" s="45">
        <f ca="1">Inputs!$B$8*$C148</f>
        <v>12000</v>
      </c>
      <c r="AF148" s="45">
        <f t="shared" ca="1" si="103"/>
        <v>3599.7316781346399</v>
      </c>
      <c r="AG148" s="45">
        <f t="shared" ca="1" si="104"/>
        <v>1138.9761350619992</v>
      </c>
      <c r="AH148" s="45">
        <f t="shared" ca="1" si="105"/>
        <v>0</v>
      </c>
      <c r="AI148" s="45">
        <f t="shared" ca="1" si="106"/>
        <v>4738.7078131966391</v>
      </c>
      <c r="AJ148" s="45">
        <f ca="1">U148*(Inputs!$B$12-ILP_B_Moderate!$F$9)+V148*(Inputs!$B$13-ILP_B_Moderate!$F$10)+W148*(Inputs!$B$14-ILP_B_Moderate!$F$11)+X148*(Inputs!$B$15-ILP_B_Moderate!$F$12)+Y148*(Inputs!$B$16-ILP_B_Moderate!$F$13)</f>
        <v>25027.989717925033</v>
      </c>
      <c r="AK148" s="45">
        <f t="shared" ca="1" si="107"/>
        <v>4738.7078131966391</v>
      </c>
      <c r="AL148" s="45">
        <f t="shared" ca="1" si="108"/>
        <v>0</v>
      </c>
      <c r="AM148" s="45">
        <f t="shared" ca="1" si="109"/>
        <v>0</v>
      </c>
      <c r="AN148" s="45">
        <f t="shared" ca="1" si="110"/>
        <v>0</v>
      </c>
      <c r="AO148" s="45">
        <f ca="1">MIN(AL148,Inputs!$B$36)</f>
        <v>0</v>
      </c>
      <c r="AP148" s="45">
        <f ca="1">MIN(AN148,Inputs!$B$36-AO148)</f>
        <v>0</v>
      </c>
      <c r="AQ148" s="45">
        <f ca="1">MIN(AM148,Inputs!$B$36-AO148-AP148)</f>
        <v>0</v>
      </c>
      <c r="AR148" s="45">
        <f t="shared" ca="1" si="111"/>
        <v>0</v>
      </c>
      <c r="AS148" s="45">
        <f t="shared" ca="1" si="112"/>
        <v>0</v>
      </c>
      <c r="AT148" s="45">
        <f t="shared" ca="1" si="113"/>
        <v>0</v>
      </c>
      <c r="AU148" s="45">
        <f t="shared" ca="1" si="114"/>
        <v>0</v>
      </c>
      <c r="AV148" s="46">
        <f ca="1">AU148*Inputs!$B$35</f>
        <v>0</v>
      </c>
      <c r="AW148" s="46">
        <f ca="1">AR148*Inputs!$C$6+AT148*Inputs!$C$7+AS148*Inputs!$C$8</f>
        <v>0</v>
      </c>
      <c r="AX148" s="46">
        <f t="shared" ca="1" si="115"/>
        <v>42686752.822004616</v>
      </c>
      <c r="AY148" s="46">
        <f ca="1">IF(J148&gt;1,($CD$4)*Inputs!$B$55*((Z148+AA148+AB148)/(SUM(ILP_B_Moderate!$C$9:$E$13))),0)</f>
        <v>0</v>
      </c>
      <c r="AZ148" s="46">
        <f t="shared" ca="1" si="116"/>
        <v>0</v>
      </c>
      <c r="BA148" s="41">
        <f t="shared" ca="1" si="117"/>
        <v>0</v>
      </c>
      <c r="BB148" s="41">
        <f t="shared" ca="1" si="118"/>
        <v>1</v>
      </c>
      <c r="BC148" s="41">
        <f t="shared" ca="1" si="119"/>
        <v>1</v>
      </c>
      <c r="BD148" s="41">
        <f t="shared" ca="1" si="120"/>
        <v>1</v>
      </c>
    </row>
    <row r="149" spans="1:56" ht="15" customHeight="1" x14ac:dyDescent="0.3">
      <c r="A149" s="41">
        <v>142</v>
      </c>
      <c r="B149" s="42">
        <f t="shared" ca="1" si="102"/>
        <v>0.5711384340816783</v>
      </c>
      <c r="C149" s="43">
        <f ca="1">IF(B149&lt;=Inputs!$C$40,Inputs!$D$40,IF(B149&lt;=Inputs!$C$41,Inputs!$D$41,Inputs!$D$42))</f>
        <v>1</v>
      </c>
      <c r="D149" s="42">
        <f t="shared" ca="1" si="123"/>
        <v>0.5043981971124607</v>
      </c>
      <c r="E149" s="42">
        <f t="shared" ca="1" si="123"/>
        <v>0.44254401405601651</v>
      </c>
      <c r="F149" s="42">
        <f t="shared" ca="1" si="123"/>
        <v>0.40190269566367998</v>
      </c>
      <c r="G149" s="42">
        <f t="shared" ca="1" si="123"/>
        <v>0.61456098872659615</v>
      </c>
      <c r="H149" s="42">
        <f t="shared" ca="1" si="123"/>
        <v>0.3614782710792982</v>
      </c>
      <c r="I149" s="42">
        <f t="shared" ca="1" si="123"/>
        <v>0.14348719371719565</v>
      </c>
      <c r="J149" s="43">
        <f ca="1">IF(I149&lt;Inputs!$B$54,1+Inputs!$B$55,1)</f>
        <v>1</v>
      </c>
      <c r="K149" s="42">
        <f t="shared" ca="1" si="124"/>
        <v>0.26857453660453412</v>
      </c>
      <c r="L149" s="42">
        <f t="shared" ca="1" si="124"/>
        <v>1.0341178182636468E-2</v>
      </c>
      <c r="M149" s="42">
        <f t="shared" ca="1" si="124"/>
        <v>0.38682802300600783</v>
      </c>
      <c r="N149" s="42">
        <f t="shared" ca="1" si="124"/>
        <v>0.22818668225473915</v>
      </c>
      <c r="O149" s="42">
        <f t="shared" ca="1" si="124"/>
        <v>0.11193917744521353</v>
      </c>
      <c r="P149" s="42">
        <f t="shared" ca="1" si="124"/>
        <v>0.41010249282789135</v>
      </c>
      <c r="Q149" s="42">
        <f t="shared" ca="1" si="124"/>
        <v>0.54870483966941619</v>
      </c>
      <c r="R149" s="42">
        <f t="shared" ca="1" si="124"/>
        <v>0.32157064546115122</v>
      </c>
      <c r="S149" s="42">
        <f t="shared" ca="1" si="124"/>
        <v>0.21550221543104675</v>
      </c>
      <c r="T149" s="42">
        <f t="shared" ca="1" si="124"/>
        <v>0.84155718451833861</v>
      </c>
      <c r="U149" s="44">
        <f ca="1">(IF(D149&gt;=Inputs!$E$12,1,IF(K149&lt;=Inputs!$C$46,Inputs!$D$46,IF(K149&lt;=Inputs!$C$47,Inputs!$D$47,Inputs!$D$48))))*((Inputs!$B$28+(P149-0.5)*2*Inputs!$B$53)/Inputs!$B$28)</f>
        <v>0.99909010620271144</v>
      </c>
      <c r="V149" s="44">
        <f ca="1">(IF(E149&gt;=Inputs!$E$13,1,IF(L149&lt;=Inputs!$C$46,Inputs!$D$46,IF(L149&lt;=Inputs!$C$47,Inputs!$D$47,Inputs!$D$48))))*((Inputs!$B$29+(Q149-0.5)*2*Inputs!$B$53)/Inputs!$B$29)</f>
        <v>1.000490976206345</v>
      </c>
      <c r="W149" s="44">
        <f ca="1">(IF(F149&gt;=Inputs!$E$14,1,IF(M149&lt;=Inputs!$C$46,Inputs!$D$46,IF(M149&lt;=Inputs!$C$47,Inputs!$D$47,Inputs!$D$48))))*((Inputs!$B$30+(R149-0.5)*2*Inputs!$B$53)/Inputs!$B$30)</f>
        <v>0.99820674015538846</v>
      </c>
      <c r="X149" s="44">
        <f ca="1">(IF(G149&gt;=Inputs!$E$15,1,IF(N149&lt;=Inputs!$C$46,Inputs!$D$46,IF(N149&lt;=Inputs!$C$47,Inputs!$D$47,Inputs!$D$48))))*((Inputs!$B$31+(S149-0.5)*2*Inputs!$B$53)/Inputs!$B$31)</f>
        <v>0.99711169761858931</v>
      </c>
      <c r="Y149" s="44">
        <f ca="1">(IF(H149&gt;=Inputs!$E$16,1,IF(O149&lt;=Inputs!$C$46,Inputs!$D$46,IF(O149&lt;=Inputs!$C$47,Inputs!$D$47,Inputs!$D$48))))*((Inputs!$B$32+(T149-0.5)*2*Inputs!$B$53)/Inputs!$B$32)</f>
        <v>1.0034361889790577</v>
      </c>
      <c r="Z149" s="45">
        <f ca="1">ILP_B_Moderate!$C$9*U149+ILP_B_Moderate!$C$10*V149+ILP_B_Moderate!$C$11*W149+ILP_B_Moderate!$C$12*X149+ILP_B_Moderate!$C$13*Y149</f>
        <v>17971.240403045776</v>
      </c>
      <c r="AA149" s="45">
        <f ca="1">ILP_B_Moderate!$D$9*U149+ILP_B_Moderate!$D$10*V149+ILP_B_Moderate!$D$11*W149+ILP_B_Moderate!$D$12*X149+ILP_B_Moderate!$D$13*Y149</f>
        <v>14991.279005860697</v>
      </c>
      <c r="AB149" s="45">
        <f ca="1">ILP_B_Moderate!$E$9*U149+ILP_B_Moderate!$E$10*V149+ILP_B_Moderate!$E$11*W149+ILP_B_Moderate!$E$12*X149+ILP_B_Moderate!$E$13*Y149</f>
        <v>12007.74761575447</v>
      </c>
      <c r="AC149" s="45">
        <f ca="1">Inputs!$B$6*$C149</f>
        <v>18000</v>
      </c>
      <c r="AD149" s="45">
        <f ca="1">Inputs!$B$7*$C149</f>
        <v>15000</v>
      </c>
      <c r="AE149" s="45">
        <f ca="1">Inputs!$B$8*$C149</f>
        <v>12000</v>
      </c>
      <c r="AF149" s="45">
        <f t="shared" ca="1" si="103"/>
        <v>28.759596954223525</v>
      </c>
      <c r="AG149" s="45">
        <f t="shared" ca="1" si="104"/>
        <v>8.7209941393030022</v>
      </c>
      <c r="AH149" s="45">
        <f t="shared" ca="1" si="105"/>
        <v>0</v>
      </c>
      <c r="AI149" s="45">
        <f t="shared" ca="1" si="106"/>
        <v>37.480591093526527</v>
      </c>
      <c r="AJ149" s="45">
        <f ca="1">U149*(Inputs!$B$12-ILP_B_Moderate!$F$9)+V149*(Inputs!$B$13-ILP_B_Moderate!$F$10)+W149*(Inputs!$B$14-ILP_B_Moderate!$F$11)+X149*(Inputs!$B$15-ILP_B_Moderate!$F$12)+Y149*(Inputs!$B$16-ILP_B_Moderate!$F$13)</f>
        <v>25015.619169600257</v>
      </c>
      <c r="AK149" s="45">
        <f t="shared" ca="1" si="107"/>
        <v>37.480591093526527</v>
      </c>
      <c r="AL149" s="45">
        <f t="shared" ca="1" si="108"/>
        <v>0</v>
      </c>
      <c r="AM149" s="45">
        <f t="shared" ca="1" si="109"/>
        <v>0</v>
      </c>
      <c r="AN149" s="45">
        <f t="shared" ca="1" si="110"/>
        <v>0</v>
      </c>
      <c r="AO149" s="45">
        <f ca="1">MIN(AL149,Inputs!$B$36)</f>
        <v>0</v>
      </c>
      <c r="AP149" s="45">
        <f ca="1">MIN(AN149,Inputs!$B$36-AO149)</f>
        <v>0</v>
      </c>
      <c r="AQ149" s="45">
        <f ca="1">MIN(AM149,Inputs!$B$36-AO149-AP149)</f>
        <v>0</v>
      </c>
      <c r="AR149" s="45">
        <f t="shared" ca="1" si="111"/>
        <v>0</v>
      </c>
      <c r="AS149" s="45">
        <f t="shared" ca="1" si="112"/>
        <v>0</v>
      </c>
      <c r="AT149" s="45">
        <f t="shared" ca="1" si="113"/>
        <v>0</v>
      </c>
      <c r="AU149" s="45">
        <f t="shared" ca="1" si="114"/>
        <v>0</v>
      </c>
      <c r="AV149" s="46">
        <f ca="1">AU149*Inputs!$B$35</f>
        <v>0</v>
      </c>
      <c r="AW149" s="46">
        <f ca="1">AR149*Inputs!$C$6+AT149*Inputs!$C$7+AS149*Inputs!$C$8</f>
        <v>0</v>
      </c>
      <c r="AX149" s="46">
        <f t="shared" ca="1" si="115"/>
        <v>47538462.464425102</v>
      </c>
      <c r="AY149" s="46">
        <f ca="1">IF(J149&gt;1,($CD$4)*Inputs!$B$55*((Z149+AA149+AB149)/(SUM(ILP_B_Moderate!$C$9:$E$13))),0)</f>
        <v>0</v>
      </c>
      <c r="AZ149" s="46">
        <f t="shared" ca="1" si="116"/>
        <v>0</v>
      </c>
      <c r="BA149" s="41">
        <f t="shared" ca="1" si="117"/>
        <v>0</v>
      </c>
      <c r="BB149" s="41">
        <f t="shared" ca="1" si="118"/>
        <v>1</v>
      </c>
      <c r="BC149" s="41">
        <f t="shared" ca="1" si="119"/>
        <v>1</v>
      </c>
      <c r="BD149" s="41">
        <f t="shared" ca="1" si="120"/>
        <v>1</v>
      </c>
    </row>
    <row r="150" spans="1:56" ht="15" customHeight="1" x14ac:dyDescent="0.3">
      <c r="A150" s="41">
        <v>143</v>
      </c>
      <c r="B150" s="42">
        <f t="shared" ca="1" si="102"/>
        <v>0.68249111204043811</v>
      </c>
      <c r="C150" s="43">
        <f ca="1">IF(B150&lt;=Inputs!$C$40,Inputs!$D$40,IF(B150&lt;=Inputs!$C$41,Inputs!$D$41,Inputs!$D$42))</f>
        <v>1</v>
      </c>
      <c r="D150" s="42">
        <f t="shared" ca="1" si="123"/>
        <v>0.54340913799204094</v>
      </c>
      <c r="E150" s="42">
        <f t="shared" ca="1" si="123"/>
        <v>0.32088060134526197</v>
      </c>
      <c r="F150" s="42">
        <f t="shared" ca="1" si="123"/>
        <v>0.43029941774394442</v>
      </c>
      <c r="G150" s="42">
        <f t="shared" ca="1" si="123"/>
        <v>0.78094346414099691</v>
      </c>
      <c r="H150" s="42">
        <f t="shared" ca="1" si="123"/>
        <v>0.54671219546621475</v>
      </c>
      <c r="I150" s="42">
        <f t="shared" ca="1" si="123"/>
        <v>0.41350313765659319</v>
      </c>
      <c r="J150" s="43">
        <f ca="1">IF(I150&lt;Inputs!$B$54,1+Inputs!$B$55,1)</f>
        <v>1</v>
      </c>
      <c r="K150" s="42">
        <f t="shared" ca="1" si="124"/>
        <v>0.59561940027522731</v>
      </c>
      <c r="L150" s="42">
        <f t="shared" ca="1" si="124"/>
        <v>0.5148801275028394</v>
      </c>
      <c r="M150" s="42">
        <f t="shared" ca="1" si="124"/>
        <v>4.8398919468666146E-2</v>
      </c>
      <c r="N150" s="42">
        <f t="shared" ca="1" si="124"/>
        <v>0.15881473456876416</v>
      </c>
      <c r="O150" s="42">
        <f t="shared" ca="1" si="124"/>
        <v>0.44555412865058064</v>
      </c>
      <c r="P150" s="42">
        <f t="shared" ca="1" si="124"/>
        <v>0.28125682400423113</v>
      </c>
      <c r="Q150" s="42">
        <f t="shared" ca="1" si="124"/>
        <v>8.9785562471397684E-2</v>
      </c>
      <c r="R150" s="42">
        <f t="shared" ca="1" si="124"/>
        <v>0.85828162829133192</v>
      </c>
      <c r="S150" s="42">
        <f t="shared" ca="1" si="124"/>
        <v>0.44057209518723139</v>
      </c>
      <c r="T150" s="42">
        <f t="shared" ca="1" si="124"/>
        <v>0.71487109719910458</v>
      </c>
      <c r="U150" s="44">
        <f ca="1">(IF(D150&gt;=Inputs!$E$12,1,IF(K150&lt;=Inputs!$C$46,Inputs!$D$46,IF(K150&lt;=Inputs!$C$47,Inputs!$D$47,Inputs!$D$48))))*((Inputs!$B$28+(P150-0.5)*2*Inputs!$B$53)/Inputs!$B$28)</f>
        <v>0.99778600024295772</v>
      </c>
      <c r="V150" s="44">
        <f ca="1">(IF(E150&gt;=Inputs!$E$13,1,IF(L150&lt;=Inputs!$C$46,Inputs!$D$46,IF(L150&lt;=Inputs!$C$47,Inputs!$D$47,Inputs!$D$48))))*((Inputs!$B$29+(Q150-0.5)*2*Inputs!$B$53)/Inputs!$B$29)</f>
        <v>0.99586477381523586</v>
      </c>
      <c r="W150" s="44">
        <f ca="1">(IF(F150&gt;=Inputs!$E$14,1,IF(M150&lt;=Inputs!$C$46,Inputs!$D$46,IF(M150&lt;=Inputs!$C$47,Inputs!$D$47,Inputs!$D$48))))*((Inputs!$B$30+(R150-0.5)*2*Inputs!$B$53)/Inputs!$B$30)</f>
        <v>1.0036008203848374</v>
      </c>
      <c r="X150" s="44">
        <f ca="1">(IF(G150&gt;=Inputs!$E$15,1,IF(N150&lt;=Inputs!$C$46,Inputs!$D$46,IF(N150&lt;=Inputs!$C$47,Inputs!$D$47,Inputs!$D$48))))*((Inputs!$B$31+(S150-0.5)*2*Inputs!$B$53)/Inputs!$B$31)</f>
        <v>0.99939667101712926</v>
      </c>
      <c r="Y150" s="44">
        <f ca="1">(IF(H150&gt;=Inputs!$E$16,1,IF(O150&lt;=Inputs!$C$46,Inputs!$D$46,IF(O150&lt;=Inputs!$C$47,Inputs!$D$47,Inputs!$D$48))))*((Inputs!$B$32+(T150-0.5)*2*Inputs!$B$53)/Inputs!$B$32)</f>
        <v>1.0021616810583411</v>
      </c>
      <c r="Z150" s="45">
        <f ca="1">ILP_B_Moderate!$C$9*U150+ILP_B_Moderate!$C$10*V150+ILP_B_Moderate!$C$11*W150+ILP_B_Moderate!$C$12*X150+ILP_B_Moderate!$C$13*Y150</f>
        <v>17967.20505261264</v>
      </c>
      <c r="AA150" s="45">
        <f ca="1">ILP_B_Moderate!$D$9*U150+ILP_B_Moderate!$D$10*V150+ILP_B_Moderate!$D$11*W150+ILP_B_Moderate!$D$12*X150+ILP_B_Moderate!$D$13*Y150</f>
        <v>14956.922897019615</v>
      </c>
      <c r="AB150" s="45">
        <f ca="1">ILP_B_Moderate!$E$9*U150+ILP_B_Moderate!$E$10*V150+ILP_B_Moderate!$E$11*W150+ILP_B_Moderate!$E$12*X150+ILP_B_Moderate!$E$13*Y150</f>
        <v>11983.843069184142</v>
      </c>
      <c r="AC150" s="45">
        <f ca="1">Inputs!$B$6*$C150</f>
        <v>18000</v>
      </c>
      <c r="AD150" s="45">
        <f ca="1">Inputs!$B$7*$C150</f>
        <v>15000</v>
      </c>
      <c r="AE150" s="45">
        <f ca="1">Inputs!$B$8*$C150</f>
        <v>12000</v>
      </c>
      <c r="AF150" s="45">
        <f t="shared" ca="1" si="103"/>
        <v>32.794947387359571</v>
      </c>
      <c r="AG150" s="45">
        <f t="shared" ca="1" si="104"/>
        <v>43.077102980385462</v>
      </c>
      <c r="AH150" s="45">
        <f t="shared" ca="1" si="105"/>
        <v>16.156930815857777</v>
      </c>
      <c r="AI150" s="45">
        <f t="shared" ca="1" si="106"/>
        <v>92.028981183602809</v>
      </c>
      <c r="AJ150" s="45">
        <f ca="1">U150*(Inputs!$B$12-ILP_B_Moderate!$F$9)+V150*(Inputs!$B$13-ILP_B_Moderate!$F$10)+W150*(Inputs!$B$14-ILP_B_Moderate!$F$11)+X150*(Inputs!$B$15-ILP_B_Moderate!$F$12)+Y150*(Inputs!$B$16-ILP_B_Moderate!$F$13)</f>
        <v>25070.707751567781</v>
      </c>
      <c r="AK150" s="45">
        <f t="shared" ca="1" si="107"/>
        <v>92.028981183602809</v>
      </c>
      <c r="AL150" s="45">
        <f t="shared" ca="1" si="108"/>
        <v>0</v>
      </c>
      <c r="AM150" s="45">
        <f t="shared" ca="1" si="109"/>
        <v>0</v>
      </c>
      <c r="AN150" s="45">
        <f t="shared" ca="1" si="110"/>
        <v>0</v>
      </c>
      <c r="AO150" s="45">
        <f ca="1">MIN(AL150,Inputs!$B$36)</f>
        <v>0</v>
      </c>
      <c r="AP150" s="45">
        <f ca="1">MIN(AN150,Inputs!$B$36-AO150)</f>
        <v>0</v>
      </c>
      <c r="AQ150" s="45">
        <f ca="1">MIN(AM150,Inputs!$B$36-AO150-AP150)</f>
        <v>0</v>
      </c>
      <c r="AR150" s="45">
        <f t="shared" ca="1" si="111"/>
        <v>0</v>
      </c>
      <c r="AS150" s="45">
        <f t="shared" ca="1" si="112"/>
        <v>0</v>
      </c>
      <c r="AT150" s="45">
        <f t="shared" ca="1" si="113"/>
        <v>0</v>
      </c>
      <c r="AU150" s="45">
        <f t="shared" ca="1" si="114"/>
        <v>0</v>
      </c>
      <c r="AV150" s="46">
        <f ca="1">AU150*Inputs!$B$35</f>
        <v>0</v>
      </c>
      <c r="AW150" s="46">
        <f ca="1">AR150*Inputs!$C$6+AT150*Inputs!$C$7+AS150*Inputs!$C$8</f>
        <v>0</v>
      </c>
      <c r="AX150" s="46">
        <f t="shared" ca="1" si="115"/>
        <v>47471819.656248122</v>
      </c>
      <c r="AY150" s="46">
        <f ca="1">IF(J150&gt;1,($CD$4)*Inputs!$B$55*((Z150+AA150+AB150)/(SUM(ILP_B_Moderate!$C$9:$E$13))),0)</f>
        <v>0</v>
      </c>
      <c r="AZ150" s="46">
        <f t="shared" ca="1" si="116"/>
        <v>0</v>
      </c>
      <c r="BA150" s="41">
        <f t="shared" ca="1" si="117"/>
        <v>0</v>
      </c>
      <c r="BB150" s="41">
        <f t="shared" ca="1" si="118"/>
        <v>1</v>
      </c>
      <c r="BC150" s="41">
        <f t="shared" ca="1" si="119"/>
        <v>1</v>
      </c>
      <c r="BD150" s="41">
        <f t="shared" ca="1" si="120"/>
        <v>1</v>
      </c>
    </row>
    <row r="151" spans="1:56" ht="15" customHeight="1" x14ac:dyDescent="0.3">
      <c r="A151" s="41">
        <v>144</v>
      </c>
      <c r="B151" s="42">
        <f t="shared" ca="1" si="102"/>
        <v>0.43776064644322166</v>
      </c>
      <c r="C151" s="43">
        <f ca="1">IF(B151&lt;=Inputs!$C$40,Inputs!$D$40,IF(B151&lt;=Inputs!$C$41,Inputs!$D$41,Inputs!$D$42))</f>
        <v>1</v>
      </c>
      <c r="D151" s="42">
        <f t="shared" ca="1" si="123"/>
        <v>0.4531932034312246</v>
      </c>
      <c r="E151" s="42">
        <f t="shared" ca="1" si="123"/>
        <v>0.23257010630861008</v>
      </c>
      <c r="F151" s="42">
        <f t="shared" ca="1" si="123"/>
        <v>0.43702561823264763</v>
      </c>
      <c r="G151" s="42">
        <f t="shared" ca="1" si="123"/>
        <v>0.81520103495812746</v>
      </c>
      <c r="H151" s="42">
        <f t="shared" ca="1" si="123"/>
        <v>0.84280009394395905</v>
      </c>
      <c r="I151" s="42">
        <f t="shared" ca="1" si="123"/>
        <v>0.65683796354368329</v>
      </c>
      <c r="J151" s="43">
        <f ca="1">IF(I151&lt;Inputs!$B$54,1+Inputs!$B$55,1)</f>
        <v>1</v>
      </c>
      <c r="K151" s="42">
        <f t="shared" ca="1" si="124"/>
        <v>0.42657244982194786</v>
      </c>
      <c r="L151" s="42">
        <f t="shared" ca="1" si="124"/>
        <v>0.74796826557485996</v>
      </c>
      <c r="M151" s="42">
        <f t="shared" ca="1" si="124"/>
        <v>0.80688837136404845</v>
      </c>
      <c r="N151" s="42">
        <f t="shared" ca="1" si="124"/>
        <v>0.73727957170705316</v>
      </c>
      <c r="O151" s="42">
        <f t="shared" ca="1" si="124"/>
        <v>0.70605083669202862</v>
      </c>
      <c r="P151" s="42">
        <f t="shared" ca="1" si="124"/>
        <v>0.64606555219550343</v>
      </c>
      <c r="Q151" s="42">
        <f t="shared" ca="1" si="124"/>
        <v>0.69509394711790873</v>
      </c>
      <c r="R151" s="42">
        <f t="shared" ca="1" si="124"/>
        <v>0.41121697554608971</v>
      </c>
      <c r="S151" s="42">
        <f t="shared" ca="1" si="124"/>
        <v>0.46726479589276837</v>
      </c>
      <c r="T151" s="42">
        <f t="shared" ca="1" si="124"/>
        <v>0.27238819942181902</v>
      </c>
      <c r="U151" s="44">
        <f ca="1">(IF(D151&gt;=Inputs!$E$12,1,IF(K151&lt;=Inputs!$C$46,Inputs!$D$46,IF(K151&lt;=Inputs!$C$47,Inputs!$D$47,Inputs!$D$48))))*((Inputs!$B$28+(P151-0.5)*2*Inputs!$B$53)/Inputs!$B$28)</f>
        <v>1.0014783962772824</v>
      </c>
      <c r="V151" s="44">
        <f ca="1">(IF(E151&gt;=Inputs!$E$13,1,IF(L151&lt;=Inputs!$C$46,Inputs!$D$46,IF(L151&lt;=Inputs!$C$47,Inputs!$D$47,Inputs!$D$48))))*((Inputs!$B$29+(Q151-0.5)*2*Inputs!$B$53)/Inputs!$B$29)</f>
        <v>1.0019666728540111</v>
      </c>
      <c r="W151" s="44">
        <f ca="1">(IF(F151&gt;=Inputs!$E$14,1,IF(M151&lt;=Inputs!$C$46,Inputs!$D$46,IF(M151&lt;=Inputs!$C$47,Inputs!$D$47,Inputs!$D$48))))*((Inputs!$B$30+(R151-0.5)*2*Inputs!$B$53)/Inputs!$B$30)</f>
        <v>0.99910770829694562</v>
      </c>
      <c r="X151" s="44">
        <f ca="1">(IF(G151&gt;=Inputs!$E$15,1,IF(N151&lt;=Inputs!$C$46,Inputs!$D$46,IF(N151&lt;=Inputs!$C$47,Inputs!$D$47,Inputs!$D$48))))*((Inputs!$B$31+(S151-0.5)*2*Inputs!$B$53)/Inputs!$B$31)</f>
        <v>0.99966766290246456</v>
      </c>
      <c r="Y151" s="44">
        <f ca="1">(IF(H151&gt;=Inputs!$E$16,1,IF(O151&lt;=Inputs!$C$46,Inputs!$D$46,IF(O151&lt;=Inputs!$C$47,Inputs!$D$47,Inputs!$D$48))))*((Inputs!$B$32+(T151-0.5)*2*Inputs!$B$53)/Inputs!$B$32)</f>
        <v>0.9977101428513262</v>
      </c>
      <c r="Z151" s="45">
        <f ca="1">ILP_B_Moderate!$C$9*U151+ILP_B_Moderate!$C$10*V151+ILP_B_Moderate!$C$11*W151+ILP_B_Moderate!$C$12*X151+ILP_B_Moderate!$C$13*Y151</f>
        <v>18012.205139522815</v>
      </c>
      <c r="AA151" s="45">
        <f ca="1">ILP_B_Moderate!$D$9*U151+ILP_B_Moderate!$D$10*V151+ILP_B_Moderate!$D$11*W151+ILP_B_Moderate!$D$12*X151+ILP_B_Moderate!$D$13*Y151</f>
        <v>15020.731750367715</v>
      </c>
      <c r="AB151" s="45">
        <f ca="1">ILP_B_Moderate!$E$9*U151+ILP_B_Moderate!$E$10*V151+ILP_B_Moderate!$E$11*W151+ILP_B_Moderate!$E$12*X151+ILP_B_Moderate!$E$13*Y151</f>
        <v>12005.840664258409</v>
      </c>
      <c r="AC151" s="45">
        <f ca="1">Inputs!$B$6*$C151</f>
        <v>18000</v>
      </c>
      <c r="AD151" s="45">
        <f ca="1">Inputs!$B$7*$C151</f>
        <v>15000</v>
      </c>
      <c r="AE151" s="45">
        <f ca="1">Inputs!$B$8*$C151</f>
        <v>12000</v>
      </c>
      <c r="AF151" s="45">
        <f t="shared" ca="1" si="103"/>
        <v>0</v>
      </c>
      <c r="AG151" s="45">
        <f t="shared" ca="1" si="104"/>
        <v>0</v>
      </c>
      <c r="AH151" s="45">
        <f t="shared" ca="1" si="105"/>
        <v>0</v>
      </c>
      <c r="AI151" s="45">
        <f t="shared" ca="1" si="106"/>
        <v>0</v>
      </c>
      <c r="AJ151" s="45">
        <f ca="1">U151*(Inputs!$B$12-ILP_B_Moderate!$F$9)+V151*(Inputs!$B$13-ILP_B_Moderate!$F$10)+W151*(Inputs!$B$14-ILP_B_Moderate!$F$11)+X151*(Inputs!$B$15-ILP_B_Moderate!$F$12)+Y151*(Inputs!$B$16-ILP_B_Moderate!$F$13)</f>
        <v>24962.474511703498</v>
      </c>
      <c r="AK151" s="45">
        <f t="shared" ca="1" si="107"/>
        <v>0</v>
      </c>
      <c r="AL151" s="45">
        <f t="shared" ca="1" si="108"/>
        <v>0</v>
      </c>
      <c r="AM151" s="45">
        <f t="shared" ca="1" si="109"/>
        <v>0</v>
      </c>
      <c r="AN151" s="45">
        <f t="shared" ca="1" si="110"/>
        <v>0</v>
      </c>
      <c r="AO151" s="45">
        <f ca="1">MIN(AL151,Inputs!$B$36)</f>
        <v>0</v>
      </c>
      <c r="AP151" s="45">
        <f ca="1">MIN(AN151,Inputs!$B$36-AO151)</f>
        <v>0</v>
      </c>
      <c r="AQ151" s="45">
        <f ca="1">MIN(AM151,Inputs!$B$36-AO151-AP151)</f>
        <v>0</v>
      </c>
      <c r="AR151" s="45">
        <f t="shared" ca="1" si="111"/>
        <v>0</v>
      </c>
      <c r="AS151" s="45">
        <f t="shared" ca="1" si="112"/>
        <v>0</v>
      </c>
      <c r="AT151" s="45">
        <f t="shared" ca="1" si="113"/>
        <v>0</v>
      </c>
      <c r="AU151" s="45">
        <f t="shared" ca="1" si="114"/>
        <v>0</v>
      </c>
      <c r="AV151" s="46">
        <f ca="1">AU151*Inputs!$B$35</f>
        <v>0</v>
      </c>
      <c r="AW151" s="46">
        <f ca="1">AR151*Inputs!$C$6+AT151*Inputs!$C$7+AS151*Inputs!$C$8</f>
        <v>0</v>
      </c>
      <c r="AX151" s="46">
        <f t="shared" ca="1" si="115"/>
        <v>47609603.535876244</v>
      </c>
      <c r="AY151" s="46">
        <f ca="1">IF(J151&gt;1,($CD$4)*Inputs!$B$55*((Z151+AA151+AB151)/(SUM(ILP_B_Moderate!$C$9:$E$13))),0)</f>
        <v>0</v>
      </c>
      <c r="AZ151" s="46">
        <f t="shared" ca="1" si="116"/>
        <v>0</v>
      </c>
      <c r="BA151" s="41">
        <f t="shared" ca="1" si="117"/>
        <v>0</v>
      </c>
      <c r="BB151" s="41">
        <f t="shared" ca="1" si="118"/>
        <v>1</v>
      </c>
      <c r="BC151" s="41">
        <f t="shared" ca="1" si="119"/>
        <v>1</v>
      </c>
      <c r="BD151" s="41">
        <f t="shared" ca="1" si="120"/>
        <v>1</v>
      </c>
    </row>
    <row r="152" spans="1:56" ht="15" customHeight="1" x14ac:dyDescent="0.3">
      <c r="A152" s="41">
        <v>145</v>
      </c>
      <c r="B152" s="42">
        <f t="shared" ca="1" si="102"/>
        <v>0.67361695040974345</v>
      </c>
      <c r="C152" s="43">
        <f ca="1">IF(B152&lt;=Inputs!$C$40,Inputs!$D$40,IF(B152&lt;=Inputs!$C$41,Inputs!$D$41,Inputs!$D$42))</f>
        <v>1</v>
      </c>
      <c r="D152" s="42">
        <f t="shared" ca="1" si="123"/>
        <v>2.801538607231624E-2</v>
      </c>
      <c r="E152" s="42">
        <f t="shared" ca="1" si="123"/>
        <v>0.12870335573402736</v>
      </c>
      <c r="F152" s="42">
        <f t="shared" ca="1" si="123"/>
        <v>4.7578091196101568E-2</v>
      </c>
      <c r="G152" s="42">
        <f t="shared" ca="1" si="123"/>
        <v>0.61708978665204761</v>
      </c>
      <c r="H152" s="42">
        <f t="shared" ca="1" si="123"/>
        <v>5.8294814607322332E-2</v>
      </c>
      <c r="I152" s="42">
        <f t="shared" ca="1" si="123"/>
        <v>0.979251697094637</v>
      </c>
      <c r="J152" s="43">
        <f ca="1">IF(I152&lt;Inputs!$B$54,1+Inputs!$B$55,1)</f>
        <v>1</v>
      </c>
      <c r="K152" s="42">
        <f t="shared" ca="1" si="124"/>
        <v>0.69462069380361724</v>
      </c>
      <c r="L152" s="42">
        <f t="shared" ca="1" si="124"/>
        <v>0.79341042003102191</v>
      </c>
      <c r="M152" s="42">
        <f t="shared" ca="1" si="124"/>
        <v>0.83696397716143656</v>
      </c>
      <c r="N152" s="42">
        <f t="shared" ca="1" si="124"/>
        <v>1.3574006208417089E-2</v>
      </c>
      <c r="O152" s="42">
        <f t="shared" ca="1" si="124"/>
        <v>0.88138905564794068</v>
      </c>
      <c r="P152" s="42">
        <f t="shared" ca="1" si="124"/>
        <v>6.9340631904877714E-2</v>
      </c>
      <c r="Q152" s="42">
        <f t="shared" ca="1" si="124"/>
        <v>0.8603400400195047</v>
      </c>
      <c r="R152" s="42">
        <f t="shared" ca="1" si="124"/>
        <v>0.64340531888895913</v>
      </c>
      <c r="S152" s="42">
        <f t="shared" ca="1" si="124"/>
        <v>0.79816349799348674</v>
      </c>
      <c r="T152" s="42">
        <f t="shared" ca="1" si="124"/>
        <v>0.88420504192523453</v>
      </c>
      <c r="U152" s="44">
        <f ca="1">(IF(D152&gt;=Inputs!$E$12,1,IF(K152&lt;=Inputs!$C$46,Inputs!$D$46,IF(K152&lt;=Inputs!$C$47,Inputs!$D$47,Inputs!$D$48))))*((Inputs!$B$28+(P152-0.5)*2*Inputs!$B$53)/Inputs!$B$28)</f>
        <v>0.29869232985396216</v>
      </c>
      <c r="V152" s="44">
        <f ca="1">(IF(E152&gt;=Inputs!$E$13,1,IF(L152&lt;=Inputs!$C$46,Inputs!$D$46,IF(L152&lt;=Inputs!$C$47,Inputs!$D$47,Inputs!$D$48))))*((Inputs!$B$29+(Q152-0.5)*2*Inputs!$B$53)/Inputs!$B$29)</f>
        <v>1.0036324600808417</v>
      </c>
      <c r="W152" s="44">
        <f ca="1">(IF(F152&gt;=Inputs!$E$14,1,IF(M152&lt;=Inputs!$C$46,Inputs!$D$46,IF(M152&lt;=Inputs!$C$47,Inputs!$D$47,Inputs!$D$48))))*((Inputs!$B$30+(R152-0.5)*2*Inputs!$B$53)/Inputs!$B$30)</f>
        <v>1.0014412594863211</v>
      </c>
      <c r="X152" s="44">
        <f ca="1">(IF(G152&gt;=Inputs!$E$15,1,IF(N152&lt;=Inputs!$C$46,Inputs!$D$46,IF(N152&lt;=Inputs!$C$47,Inputs!$D$47,Inputs!$D$48))))*((Inputs!$B$31+(S152-0.5)*2*Inputs!$B$53)/Inputs!$B$31)</f>
        <v>1.0030270405887665</v>
      </c>
      <c r="Y152" s="44">
        <f ca="1">(IF(H152&gt;=Inputs!$E$16,1,IF(O152&lt;=Inputs!$C$46,Inputs!$D$46,IF(O152&lt;=Inputs!$C$47,Inputs!$D$47,Inputs!$D$48))))*((Inputs!$B$32+(T152-0.5)*2*Inputs!$B$53)/Inputs!$B$32)</f>
        <v>1.0038652418704752</v>
      </c>
      <c r="Z152" s="45">
        <f ca="1">ILP_B_Moderate!$C$9*U152+ILP_B_Moderate!$C$10*V152+ILP_B_Moderate!$C$11*W152+ILP_B_Moderate!$C$12*X152+ILP_B_Moderate!$C$13*Y152</f>
        <v>14445.002518223035</v>
      </c>
      <c r="AA152" s="45">
        <f ca="1">ILP_B_Moderate!$D$9*U152+ILP_B_Moderate!$D$10*V152+ILP_B_Moderate!$D$11*W152+ILP_B_Moderate!$D$12*X152+ILP_B_Moderate!$D$13*Y152</f>
        <v>11753.659808783177</v>
      </c>
      <c r="AB152" s="45">
        <f ca="1">ILP_B_Moderate!$E$9*U152+ILP_B_Moderate!$E$10*V152+ILP_B_Moderate!$E$11*W152+ILP_B_Moderate!$E$12*X152+ILP_B_Moderate!$E$13*Y152</f>
        <v>7814.7597513639066</v>
      </c>
      <c r="AC152" s="45">
        <f ca="1">Inputs!$B$6*$C152</f>
        <v>18000</v>
      </c>
      <c r="AD152" s="45">
        <f ca="1">Inputs!$B$7*$C152</f>
        <v>15000</v>
      </c>
      <c r="AE152" s="45">
        <f ca="1">Inputs!$B$8*$C152</f>
        <v>12000</v>
      </c>
      <c r="AF152" s="45">
        <f t="shared" ca="1" si="103"/>
        <v>3554.9974817769653</v>
      </c>
      <c r="AG152" s="45">
        <f t="shared" ca="1" si="104"/>
        <v>3246.3401912168229</v>
      </c>
      <c r="AH152" s="45">
        <f t="shared" ca="1" si="105"/>
        <v>4185.2402486360934</v>
      </c>
      <c r="AI152" s="45">
        <f t="shared" ca="1" si="106"/>
        <v>10986.577921629882</v>
      </c>
      <c r="AJ152" s="45">
        <f ca="1">U152*(Inputs!$B$12-ILP_B_Moderate!$F$9)+V152*(Inputs!$B$13-ILP_B_Moderate!$F$10)+W152*(Inputs!$B$14-ILP_B_Moderate!$F$11)+X152*(Inputs!$B$15-ILP_B_Moderate!$F$12)+Y152*(Inputs!$B$16-ILP_B_Moderate!$F$13)</f>
        <v>24929.549128869563</v>
      </c>
      <c r="AK152" s="45">
        <f t="shared" ca="1" si="107"/>
        <v>10986.577921629882</v>
      </c>
      <c r="AL152" s="45">
        <f t="shared" ca="1" si="108"/>
        <v>0</v>
      </c>
      <c r="AM152" s="45">
        <f t="shared" ca="1" si="109"/>
        <v>0</v>
      </c>
      <c r="AN152" s="45">
        <f t="shared" ca="1" si="110"/>
        <v>0</v>
      </c>
      <c r="AO152" s="45">
        <f ca="1">MIN(AL152,Inputs!$B$36)</f>
        <v>0</v>
      </c>
      <c r="AP152" s="45">
        <f ca="1">MIN(AN152,Inputs!$B$36-AO152)</f>
        <v>0</v>
      </c>
      <c r="AQ152" s="45">
        <f ca="1">MIN(AM152,Inputs!$B$36-AO152-AP152)</f>
        <v>0</v>
      </c>
      <c r="AR152" s="45">
        <f t="shared" ca="1" si="111"/>
        <v>0</v>
      </c>
      <c r="AS152" s="45">
        <f t="shared" ca="1" si="112"/>
        <v>0</v>
      </c>
      <c r="AT152" s="45">
        <f t="shared" ca="1" si="113"/>
        <v>0</v>
      </c>
      <c r="AU152" s="45">
        <f t="shared" ca="1" si="114"/>
        <v>0</v>
      </c>
      <c r="AV152" s="46">
        <f ca="1">AU152*Inputs!$B$35</f>
        <v>0</v>
      </c>
      <c r="AW152" s="46">
        <f ca="1">AR152*Inputs!$C$6+AT152*Inputs!$C$7+AS152*Inputs!$C$8</f>
        <v>0</v>
      </c>
      <c r="AX152" s="46">
        <f t="shared" ca="1" si="115"/>
        <v>35875454.059501819</v>
      </c>
      <c r="AY152" s="46">
        <f ca="1">IF(J152&gt;1,($CD$4)*Inputs!$B$55*((Z152+AA152+AB152)/(SUM(ILP_B_Moderate!$C$9:$E$13))),0)</f>
        <v>0</v>
      </c>
      <c r="AZ152" s="46">
        <f t="shared" ca="1" si="116"/>
        <v>0</v>
      </c>
      <c r="BA152" s="41">
        <f t="shared" ca="1" si="117"/>
        <v>0</v>
      </c>
      <c r="BB152" s="41">
        <f t="shared" ca="1" si="118"/>
        <v>1</v>
      </c>
      <c r="BC152" s="41">
        <f t="shared" ca="1" si="119"/>
        <v>1</v>
      </c>
      <c r="BD152" s="41">
        <f t="shared" ca="1" si="120"/>
        <v>1</v>
      </c>
    </row>
    <row r="153" spans="1:56" ht="15" customHeight="1" x14ac:dyDescent="0.3">
      <c r="A153" s="41">
        <v>146</v>
      </c>
      <c r="B153" s="42">
        <f t="shared" ca="1" si="102"/>
        <v>8.5552156379690936E-2</v>
      </c>
      <c r="C153" s="43">
        <f ca="1">IF(B153&lt;=Inputs!$C$40,Inputs!$D$40,IF(B153&lt;=Inputs!$C$41,Inputs!$D$41,Inputs!$D$42))</f>
        <v>0.9</v>
      </c>
      <c r="D153" s="42">
        <f t="shared" ca="1" si="123"/>
        <v>0.23944692708587656</v>
      </c>
      <c r="E153" s="42">
        <f t="shared" ca="1" si="123"/>
        <v>0.28494926271876775</v>
      </c>
      <c r="F153" s="42">
        <f t="shared" ca="1" si="123"/>
        <v>0.92343040116312769</v>
      </c>
      <c r="G153" s="42">
        <f t="shared" ca="1" si="123"/>
        <v>0.79693916828344469</v>
      </c>
      <c r="H153" s="42">
        <f t="shared" ca="1" si="123"/>
        <v>0.20451673262157166</v>
      </c>
      <c r="I153" s="42">
        <f t="shared" ca="1" si="123"/>
        <v>0.17471090048133953</v>
      </c>
      <c r="J153" s="43">
        <f ca="1">IF(I153&lt;Inputs!$B$54,1+Inputs!$B$55,1)</f>
        <v>1</v>
      </c>
      <c r="K153" s="42">
        <f t="shared" ca="1" si="124"/>
        <v>0.32467968630634292</v>
      </c>
      <c r="L153" s="42">
        <f t="shared" ca="1" si="124"/>
        <v>0.16489441321872422</v>
      </c>
      <c r="M153" s="42">
        <f t="shared" ca="1" si="124"/>
        <v>0.53844294426278561</v>
      </c>
      <c r="N153" s="42">
        <f t="shared" ca="1" si="124"/>
        <v>0.73621981198511821</v>
      </c>
      <c r="O153" s="42">
        <f t="shared" ca="1" si="124"/>
        <v>0.27353213332743243</v>
      </c>
      <c r="P153" s="42">
        <f t="shared" ca="1" si="124"/>
        <v>0.5132972039444551</v>
      </c>
      <c r="Q153" s="42">
        <f t="shared" ca="1" si="124"/>
        <v>0.42107359012288703</v>
      </c>
      <c r="R153" s="42">
        <f t="shared" ca="1" si="124"/>
        <v>0.14895612869337838</v>
      </c>
      <c r="S153" s="42">
        <f t="shared" ca="1" si="124"/>
        <v>0.73378271746314006</v>
      </c>
      <c r="T153" s="42">
        <f t="shared" ca="1" si="124"/>
        <v>0.52125562536731351</v>
      </c>
      <c r="U153" s="44">
        <f ca="1">(IF(D153&gt;=Inputs!$E$12,1,IF(K153&lt;=Inputs!$C$46,Inputs!$D$46,IF(K153&lt;=Inputs!$C$47,Inputs!$D$47,Inputs!$D$48))))*((Inputs!$B$28+(P153-0.5)*2*Inputs!$B$53)/Inputs!$B$28)</f>
        <v>1.000134587084458</v>
      </c>
      <c r="V153" s="44">
        <f ca="1">(IF(E153&gt;=Inputs!$E$13,1,IF(L153&lt;=Inputs!$C$46,Inputs!$D$46,IF(L153&lt;=Inputs!$C$47,Inputs!$D$47,Inputs!$D$48))))*((Inputs!$B$29+(Q153-0.5)*2*Inputs!$B$53)/Inputs!$B$29)</f>
        <v>0.99920437086817426</v>
      </c>
      <c r="W153" s="44">
        <f ca="1">(IF(F153&gt;=Inputs!$E$14,1,IF(M153&lt;=Inputs!$C$46,Inputs!$D$46,IF(M153&lt;=Inputs!$C$47,Inputs!$D$47,Inputs!$D$48))))*((Inputs!$B$30+(R153-0.5)*2*Inputs!$B$53)/Inputs!$B$30)</f>
        <v>0.99647192089139069</v>
      </c>
      <c r="X153" s="44">
        <f ca="1">(IF(G153&gt;=Inputs!$E$15,1,IF(N153&lt;=Inputs!$C$46,Inputs!$D$46,IF(N153&lt;=Inputs!$C$47,Inputs!$D$47,Inputs!$D$48))))*((Inputs!$B$31+(S153-0.5)*2*Inputs!$B$53)/Inputs!$B$31)</f>
        <v>1.0023734286036867</v>
      </c>
      <c r="Y153" s="44">
        <f ca="1">(IF(H153&gt;=Inputs!$E$16,1,IF(O153&lt;=Inputs!$C$46,Inputs!$D$46,IF(O153&lt;=Inputs!$C$47,Inputs!$D$47,Inputs!$D$48))))*((Inputs!$B$32+(T153-0.5)*2*Inputs!$B$53)/Inputs!$B$32)</f>
        <v>1.0002138392894095</v>
      </c>
      <c r="Z153" s="45">
        <f ca="1">ILP_B_Moderate!$C$9*U153+ILP_B_Moderate!$C$10*V153+ILP_B_Moderate!$C$11*W153+ILP_B_Moderate!$C$12*X153+ILP_B_Moderate!$C$13*Y153</f>
        <v>18018.97034400385</v>
      </c>
      <c r="AA153" s="45">
        <f ca="1">ILP_B_Moderate!$D$9*U153+ILP_B_Moderate!$D$10*V153+ILP_B_Moderate!$D$11*W153+ILP_B_Moderate!$D$12*X153+ILP_B_Moderate!$D$13*Y153</f>
        <v>15001.355717728966</v>
      </c>
      <c r="AB153" s="45">
        <f ca="1">ILP_B_Moderate!$E$9*U153+ILP_B_Moderate!$E$10*V153+ILP_B_Moderate!$E$11*W153+ILP_B_Moderate!$E$12*X153+ILP_B_Moderate!$E$13*Y153</f>
        <v>11999.550735695379</v>
      </c>
      <c r="AC153" s="45">
        <f ca="1">Inputs!$B$6*$C153</f>
        <v>16200</v>
      </c>
      <c r="AD153" s="45">
        <f ca="1">Inputs!$B$7*$C153</f>
        <v>13500</v>
      </c>
      <c r="AE153" s="45">
        <f ca="1">Inputs!$B$8*$C153</f>
        <v>10800</v>
      </c>
      <c r="AF153" s="45">
        <f t="shared" ca="1" si="103"/>
        <v>0</v>
      </c>
      <c r="AG153" s="45">
        <f t="shared" ca="1" si="104"/>
        <v>0</v>
      </c>
      <c r="AH153" s="45">
        <f t="shared" ca="1" si="105"/>
        <v>0</v>
      </c>
      <c r="AI153" s="45">
        <f t="shared" ca="1" si="106"/>
        <v>0</v>
      </c>
      <c r="AJ153" s="45">
        <f ca="1">U153*(Inputs!$B$12-ILP_B_Moderate!$F$9)+V153*(Inputs!$B$13-ILP_B_Moderate!$F$10)+W153*(Inputs!$B$14-ILP_B_Moderate!$F$11)+X153*(Inputs!$B$15-ILP_B_Moderate!$F$12)+Y153*(Inputs!$B$16-ILP_B_Moderate!$F$13)</f>
        <v>24956.961492251034</v>
      </c>
      <c r="AK153" s="45">
        <f t="shared" ca="1" si="107"/>
        <v>0</v>
      </c>
      <c r="AL153" s="45">
        <f t="shared" ca="1" si="108"/>
        <v>0</v>
      </c>
      <c r="AM153" s="45">
        <f t="shared" ca="1" si="109"/>
        <v>0</v>
      </c>
      <c r="AN153" s="45">
        <f t="shared" ca="1" si="110"/>
        <v>0</v>
      </c>
      <c r="AO153" s="45">
        <f ca="1">MIN(AL153,Inputs!$B$36)</f>
        <v>0</v>
      </c>
      <c r="AP153" s="45">
        <f ca="1">MIN(AN153,Inputs!$B$36-AO153)</f>
        <v>0</v>
      </c>
      <c r="AQ153" s="45">
        <f ca="1">MIN(AM153,Inputs!$B$36-AO153-AP153)</f>
        <v>0</v>
      </c>
      <c r="AR153" s="45">
        <f t="shared" ca="1" si="111"/>
        <v>0</v>
      </c>
      <c r="AS153" s="45">
        <f t="shared" ca="1" si="112"/>
        <v>0</v>
      </c>
      <c r="AT153" s="45">
        <f t="shared" ca="1" si="113"/>
        <v>0</v>
      </c>
      <c r="AU153" s="45">
        <f t="shared" ca="1" si="114"/>
        <v>0</v>
      </c>
      <c r="AV153" s="46">
        <f ca="1">AU153*Inputs!$B$35</f>
        <v>0</v>
      </c>
      <c r="AW153" s="46">
        <f ca="1">AR153*Inputs!$C$6+AT153*Inputs!$C$7+AS153*Inputs!$C$8</f>
        <v>0</v>
      </c>
      <c r="AX153" s="46">
        <f t="shared" ca="1" si="115"/>
        <v>47589267.800239682</v>
      </c>
      <c r="AY153" s="46">
        <f ca="1">IF(J153&gt;1,($CD$4)*Inputs!$B$55*((Z153+AA153+AB153)/(SUM(ILP_B_Moderate!$C$9:$E$13))),0)</f>
        <v>0</v>
      </c>
      <c r="AZ153" s="46">
        <f t="shared" ca="1" si="116"/>
        <v>0</v>
      </c>
      <c r="BA153" s="41">
        <f t="shared" ca="1" si="117"/>
        <v>0</v>
      </c>
      <c r="BB153" s="41">
        <f t="shared" ca="1" si="118"/>
        <v>1</v>
      </c>
      <c r="BC153" s="41">
        <f t="shared" ca="1" si="119"/>
        <v>1</v>
      </c>
      <c r="BD153" s="41">
        <f t="shared" ca="1" si="120"/>
        <v>1</v>
      </c>
    </row>
    <row r="154" spans="1:56" ht="15" customHeight="1" x14ac:dyDescent="0.3">
      <c r="A154" s="41">
        <v>147</v>
      </c>
      <c r="B154" s="42">
        <f t="shared" ca="1" si="102"/>
        <v>0.36459564815246792</v>
      </c>
      <c r="C154" s="43">
        <f ca="1">IF(B154&lt;=Inputs!$C$40,Inputs!$D$40,IF(B154&lt;=Inputs!$C$41,Inputs!$D$41,Inputs!$D$42))</f>
        <v>1</v>
      </c>
      <c r="D154" s="42">
        <f t="shared" ca="1" si="123"/>
        <v>0.22450723584847576</v>
      </c>
      <c r="E154" s="42">
        <f t="shared" ca="1" si="123"/>
        <v>0.49098773093575276</v>
      </c>
      <c r="F154" s="42">
        <f t="shared" ca="1" si="123"/>
        <v>0.68629613996224359</v>
      </c>
      <c r="G154" s="42">
        <f t="shared" ca="1" si="123"/>
        <v>0.9890776852501485</v>
      </c>
      <c r="H154" s="42">
        <f t="shared" ca="1" si="123"/>
        <v>0.58094735513768447</v>
      </c>
      <c r="I154" s="42">
        <f t="shared" ca="1" si="123"/>
        <v>0.3666019645624401</v>
      </c>
      <c r="J154" s="43">
        <f ca="1">IF(I154&lt;Inputs!$B$54,1+Inputs!$B$55,1)</f>
        <v>1</v>
      </c>
      <c r="K154" s="42">
        <f t="shared" ca="1" si="124"/>
        <v>0.84000092488616607</v>
      </c>
      <c r="L154" s="42">
        <f t="shared" ca="1" si="124"/>
        <v>0.62671036863511731</v>
      </c>
      <c r="M154" s="42">
        <f t="shared" ca="1" si="124"/>
        <v>0.6179654571240859</v>
      </c>
      <c r="N154" s="42">
        <f t="shared" ca="1" si="124"/>
        <v>0.25839783975642983</v>
      </c>
      <c r="O154" s="42">
        <f t="shared" ca="1" si="124"/>
        <v>0.95798731713800911</v>
      </c>
      <c r="P154" s="42">
        <f t="shared" ca="1" si="124"/>
        <v>0.51878177236556011</v>
      </c>
      <c r="Q154" s="42">
        <f t="shared" ca="1" si="124"/>
        <v>0.19314388012819295</v>
      </c>
      <c r="R154" s="42">
        <f t="shared" ca="1" si="124"/>
        <v>0.24380058512011005</v>
      </c>
      <c r="S154" s="42">
        <f t="shared" ca="1" si="124"/>
        <v>0.1381466844376279</v>
      </c>
      <c r="T154" s="42">
        <f t="shared" ca="1" si="124"/>
        <v>3.470289944348659E-2</v>
      </c>
      <c r="U154" s="44">
        <f ca="1">(IF(D154&gt;=Inputs!$E$12,1,IF(K154&lt;=Inputs!$C$46,Inputs!$D$46,IF(K154&lt;=Inputs!$C$47,Inputs!$D$47,Inputs!$D$48))))*((Inputs!$B$28+(P154-0.5)*2*Inputs!$B$53)/Inputs!$B$28)</f>
        <v>1.0001900989105825</v>
      </c>
      <c r="V154" s="44">
        <f ca="1">(IF(E154&gt;=Inputs!$E$13,1,IF(L154&lt;=Inputs!$C$46,Inputs!$D$46,IF(L154&lt;=Inputs!$C$47,Inputs!$D$47,Inputs!$D$48))))*((Inputs!$B$29+(Q154-0.5)*2*Inputs!$B$53)/Inputs!$B$29)</f>
        <v>0.99690669234000184</v>
      </c>
      <c r="W154" s="44">
        <f ca="1">(IF(F154&gt;=Inputs!$E$14,1,IF(M154&lt;=Inputs!$C$46,Inputs!$D$46,IF(M154&lt;=Inputs!$C$47,Inputs!$D$47,Inputs!$D$48))))*((Inputs!$B$30+(R154-0.5)*2*Inputs!$B$53)/Inputs!$B$30)</f>
        <v>0.9974251315087449</v>
      </c>
      <c r="X154" s="44">
        <f ca="1">(IF(G154&gt;=Inputs!$E$15,1,IF(N154&lt;=Inputs!$C$46,Inputs!$D$46,IF(N154&lt;=Inputs!$C$47,Inputs!$D$47,Inputs!$D$48))))*((Inputs!$B$31+(S154-0.5)*2*Inputs!$B$53)/Inputs!$B$31)</f>
        <v>0.99632636227855453</v>
      </c>
      <c r="Y154" s="44">
        <f ca="1">(IF(H154&gt;=Inputs!$E$16,1,IF(O154&lt;=Inputs!$C$46,Inputs!$D$46,IF(O154&lt;=Inputs!$C$47,Inputs!$D$47,Inputs!$D$48))))*((Inputs!$B$32+(T154-0.5)*2*Inputs!$B$53)/Inputs!$B$32)</f>
        <v>0.99531894265033682</v>
      </c>
      <c r="Z154" s="45">
        <f ca="1">ILP_B_Moderate!$C$9*U154+ILP_B_Moderate!$C$10*V154+ILP_B_Moderate!$C$11*W154+ILP_B_Moderate!$C$12*X154+ILP_B_Moderate!$C$13*Y154</f>
        <v>17955.934800460946</v>
      </c>
      <c r="AA154" s="45">
        <f ca="1">ILP_B_Moderate!$D$9*U154+ILP_B_Moderate!$D$10*V154+ILP_B_Moderate!$D$11*W154+ILP_B_Moderate!$D$12*X154+ILP_B_Moderate!$D$13*Y154</f>
        <v>14967.330197077063</v>
      </c>
      <c r="AB154" s="45">
        <f ca="1">ILP_B_Moderate!$E$9*U154+ILP_B_Moderate!$E$10*V154+ILP_B_Moderate!$E$11*W154+ILP_B_Moderate!$E$12*X154+ILP_B_Moderate!$E$13*Y154</f>
        <v>11977.049027584713</v>
      </c>
      <c r="AC154" s="45">
        <f ca="1">Inputs!$B$6*$C154</f>
        <v>18000</v>
      </c>
      <c r="AD154" s="45">
        <f ca="1">Inputs!$B$7*$C154</f>
        <v>15000</v>
      </c>
      <c r="AE154" s="45">
        <f ca="1">Inputs!$B$8*$C154</f>
        <v>12000</v>
      </c>
      <c r="AF154" s="45">
        <f t="shared" ca="1" si="103"/>
        <v>44.065199539054447</v>
      </c>
      <c r="AG154" s="45">
        <f t="shared" ca="1" si="104"/>
        <v>32.669802922937379</v>
      </c>
      <c r="AH154" s="45">
        <f t="shared" ca="1" si="105"/>
        <v>22.950972415286742</v>
      </c>
      <c r="AI154" s="45">
        <f t="shared" ca="1" si="106"/>
        <v>99.685974877278568</v>
      </c>
      <c r="AJ154" s="45">
        <f ca="1">U154*(Inputs!$B$12-ILP_B_Moderate!$F$9)+V154*(Inputs!$B$13-ILP_B_Moderate!$F$10)+W154*(Inputs!$B$14-ILP_B_Moderate!$F$11)+X154*(Inputs!$B$15-ILP_B_Moderate!$F$12)+Y154*(Inputs!$B$16-ILP_B_Moderate!$F$13)</f>
        <v>24911.648446918014</v>
      </c>
      <c r="AK154" s="45">
        <f t="shared" ca="1" si="107"/>
        <v>99.685974877278568</v>
      </c>
      <c r="AL154" s="45">
        <f t="shared" ca="1" si="108"/>
        <v>0</v>
      </c>
      <c r="AM154" s="45">
        <f t="shared" ca="1" si="109"/>
        <v>0</v>
      </c>
      <c r="AN154" s="45">
        <f t="shared" ca="1" si="110"/>
        <v>0</v>
      </c>
      <c r="AO154" s="45">
        <f ca="1">MIN(AL154,Inputs!$B$36)</f>
        <v>0</v>
      </c>
      <c r="AP154" s="45">
        <f ca="1">MIN(AN154,Inputs!$B$36-AO154)</f>
        <v>0</v>
      </c>
      <c r="AQ154" s="45">
        <f ca="1">MIN(AM154,Inputs!$B$36-AO154-AP154)</f>
        <v>0</v>
      </c>
      <c r="AR154" s="45">
        <f t="shared" ca="1" si="111"/>
        <v>0</v>
      </c>
      <c r="AS154" s="45">
        <f t="shared" ca="1" si="112"/>
        <v>0</v>
      </c>
      <c r="AT154" s="45">
        <f t="shared" ca="1" si="113"/>
        <v>0</v>
      </c>
      <c r="AU154" s="45">
        <f t="shared" ca="1" si="114"/>
        <v>0</v>
      </c>
      <c r="AV154" s="46">
        <f ca="1">AU154*Inputs!$B$35</f>
        <v>0</v>
      </c>
      <c r="AW154" s="46">
        <f ca="1">AR154*Inputs!$C$6+AT154*Inputs!$C$7+AS154*Inputs!$C$8</f>
        <v>0</v>
      </c>
      <c r="AX154" s="46">
        <f t="shared" ca="1" si="115"/>
        <v>47463658.003324866</v>
      </c>
      <c r="AY154" s="46">
        <f ca="1">IF(J154&gt;1,($CD$4)*Inputs!$B$55*((Z154+AA154+AB154)/(SUM(ILP_B_Moderate!$C$9:$E$13))),0)</f>
        <v>0</v>
      </c>
      <c r="AZ154" s="46">
        <f t="shared" ca="1" si="116"/>
        <v>0</v>
      </c>
      <c r="BA154" s="41">
        <f t="shared" ca="1" si="117"/>
        <v>0</v>
      </c>
      <c r="BB154" s="41">
        <f t="shared" ca="1" si="118"/>
        <v>1</v>
      </c>
      <c r="BC154" s="41">
        <f t="shared" ca="1" si="119"/>
        <v>1</v>
      </c>
      <c r="BD154" s="41">
        <f t="shared" ca="1" si="120"/>
        <v>1</v>
      </c>
    </row>
    <row r="155" spans="1:56" ht="15" customHeight="1" x14ac:dyDescent="0.3">
      <c r="A155" s="41">
        <v>148</v>
      </c>
      <c r="B155" s="42">
        <f t="shared" ca="1" si="102"/>
        <v>0.13960821388234956</v>
      </c>
      <c r="C155" s="43">
        <f ca="1">IF(B155&lt;=Inputs!$C$40,Inputs!$D$40,IF(B155&lt;=Inputs!$C$41,Inputs!$D$41,Inputs!$D$42))</f>
        <v>0.9</v>
      </c>
      <c r="D155" s="42">
        <f t="shared" ca="1" si="123"/>
        <v>0.3080658769751865</v>
      </c>
      <c r="E155" s="42">
        <f t="shared" ca="1" si="123"/>
        <v>0.5390577192695204</v>
      </c>
      <c r="F155" s="42">
        <f t="shared" ca="1" si="123"/>
        <v>0.13872257973957847</v>
      </c>
      <c r="G155" s="42">
        <f t="shared" ca="1" si="123"/>
        <v>0.48983694541770184</v>
      </c>
      <c r="H155" s="42">
        <f t="shared" ca="1" si="123"/>
        <v>0.66811414517427614</v>
      </c>
      <c r="I155" s="42">
        <f t="shared" ca="1" si="123"/>
        <v>0.79550187910997805</v>
      </c>
      <c r="J155" s="43">
        <f ca="1">IF(I155&lt;Inputs!$B$54,1+Inputs!$B$55,1)</f>
        <v>1</v>
      </c>
      <c r="K155" s="42">
        <f t="shared" ca="1" si="124"/>
        <v>9.609541509851427E-2</v>
      </c>
      <c r="L155" s="42">
        <f t="shared" ca="1" si="124"/>
        <v>0.90575294313589194</v>
      </c>
      <c r="M155" s="42">
        <f t="shared" ca="1" si="124"/>
        <v>0.89206671141332883</v>
      </c>
      <c r="N155" s="42">
        <f t="shared" ca="1" si="124"/>
        <v>0.85863254466670247</v>
      </c>
      <c r="O155" s="42">
        <f t="shared" ca="1" si="124"/>
        <v>2.7885351487534349E-3</v>
      </c>
      <c r="P155" s="42">
        <f t="shared" ca="1" si="124"/>
        <v>0.28679864190451887</v>
      </c>
      <c r="Q155" s="42">
        <f t="shared" ca="1" si="124"/>
        <v>0.45072779915207317</v>
      </c>
      <c r="R155" s="42">
        <f t="shared" ca="1" si="124"/>
        <v>0.37036086930819434</v>
      </c>
      <c r="S155" s="42">
        <f t="shared" ca="1" si="124"/>
        <v>0.1089872128724374</v>
      </c>
      <c r="T155" s="42">
        <f t="shared" ca="1" si="124"/>
        <v>0.93587034965147264</v>
      </c>
      <c r="U155" s="44">
        <f ca="1">(IF(D155&gt;=Inputs!$E$12,1,IF(K155&lt;=Inputs!$C$46,Inputs!$D$46,IF(K155&lt;=Inputs!$C$47,Inputs!$D$47,Inputs!$D$48))))*((Inputs!$B$28+(P155-0.5)*2*Inputs!$B$53)/Inputs!$B$28)</f>
        <v>0.99784209151725223</v>
      </c>
      <c r="V155" s="44">
        <f ca="1">(IF(E155&gt;=Inputs!$E$13,1,IF(L155&lt;=Inputs!$C$46,Inputs!$D$46,IF(L155&lt;=Inputs!$C$47,Inputs!$D$47,Inputs!$D$48))))*((Inputs!$B$29+(Q155-0.5)*2*Inputs!$B$53)/Inputs!$B$29)</f>
        <v>0.99950330442693625</v>
      </c>
      <c r="W155" s="44">
        <f ca="1">(IF(F155&gt;=Inputs!$E$14,1,IF(M155&lt;=Inputs!$C$46,Inputs!$D$46,IF(M155&lt;=Inputs!$C$47,Inputs!$D$47,Inputs!$D$48))))*((Inputs!$B$30+(R155-0.5)*2*Inputs!$B$53)/Inputs!$B$30)</f>
        <v>0.9986970941639014</v>
      </c>
      <c r="X155" s="44">
        <f ca="1">(IF(G155&gt;=Inputs!$E$15,1,IF(N155&lt;=Inputs!$C$46,Inputs!$D$46,IF(N155&lt;=Inputs!$C$47,Inputs!$D$47,Inputs!$D$48))))*((Inputs!$B$31+(S155-0.5)*2*Inputs!$B$53)/Inputs!$B$31)</f>
        <v>0.99603032703423788</v>
      </c>
      <c r="Y155" s="44">
        <f ca="1">(IF(H155&gt;=Inputs!$E$16,1,IF(O155&lt;=Inputs!$C$46,Inputs!$D$46,IF(O155&lt;=Inputs!$C$47,Inputs!$D$47,Inputs!$D$48))))*((Inputs!$B$32+(T155-0.5)*2*Inputs!$B$53)/Inputs!$B$32)</f>
        <v>1.0043850135779826</v>
      </c>
      <c r="Z155" s="45">
        <f ca="1">ILP_B_Moderate!$C$9*U155+ILP_B_Moderate!$C$10*V155+ILP_B_Moderate!$C$11*W155+ILP_B_Moderate!$C$12*X155+ILP_B_Moderate!$C$13*Y155</f>
        <v>17951.283983349706</v>
      </c>
      <c r="AA155" s="45">
        <f ca="1">ILP_B_Moderate!$D$9*U155+ILP_B_Moderate!$D$10*V155+ILP_B_Moderate!$D$11*W155+ILP_B_Moderate!$D$12*X155+ILP_B_Moderate!$D$13*Y155</f>
        <v>14974.981293739314</v>
      </c>
      <c r="AB155" s="45">
        <f ca="1">ILP_B_Moderate!$E$9*U155+ILP_B_Moderate!$E$10*V155+ILP_B_Moderate!$E$11*W155+ILP_B_Moderate!$E$12*X155+ILP_B_Moderate!$E$13*Y155</f>
        <v>12001.080250347375</v>
      </c>
      <c r="AC155" s="45">
        <f ca="1">Inputs!$B$6*$C155</f>
        <v>16200</v>
      </c>
      <c r="AD155" s="45">
        <f ca="1">Inputs!$B$7*$C155</f>
        <v>13500</v>
      </c>
      <c r="AE155" s="45">
        <f ca="1">Inputs!$B$8*$C155</f>
        <v>10800</v>
      </c>
      <c r="AF155" s="45">
        <f t="shared" ca="1" si="103"/>
        <v>0</v>
      </c>
      <c r="AG155" s="45">
        <f t="shared" ca="1" si="104"/>
        <v>0</v>
      </c>
      <c r="AH155" s="45">
        <f t="shared" ca="1" si="105"/>
        <v>0</v>
      </c>
      <c r="AI155" s="45">
        <f t="shared" ca="1" si="106"/>
        <v>0</v>
      </c>
      <c r="AJ155" s="45">
        <f ca="1">U155*(Inputs!$B$12-ILP_B_Moderate!$F$9)+V155*(Inputs!$B$13-ILP_B_Moderate!$F$10)+W155*(Inputs!$B$14-ILP_B_Moderate!$F$11)+X155*(Inputs!$B$15-ILP_B_Moderate!$F$12)+Y155*(Inputs!$B$16-ILP_B_Moderate!$F$13)</f>
        <v>25032.375551028057</v>
      </c>
      <c r="AK155" s="45">
        <f t="shared" ca="1" si="107"/>
        <v>0</v>
      </c>
      <c r="AL155" s="45">
        <f t="shared" ca="1" si="108"/>
        <v>0</v>
      </c>
      <c r="AM155" s="45">
        <f t="shared" ca="1" si="109"/>
        <v>0</v>
      </c>
      <c r="AN155" s="45">
        <f t="shared" ca="1" si="110"/>
        <v>0</v>
      </c>
      <c r="AO155" s="45">
        <f ca="1">MIN(AL155,Inputs!$B$36)</f>
        <v>0</v>
      </c>
      <c r="AP155" s="45">
        <f ca="1">MIN(AN155,Inputs!$B$36-AO155)</f>
        <v>0</v>
      </c>
      <c r="AQ155" s="45">
        <f ca="1">MIN(AM155,Inputs!$B$36-AO155-AP155)</f>
        <v>0</v>
      </c>
      <c r="AR155" s="45">
        <f t="shared" ca="1" si="111"/>
        <v>0</v>
      </c>
      <c r="AS155" s="45">
        <f t="shared" ca="1" si="112"/>
        <v>0</v>
      </c>
      <c r="AT155" s="45">
        <f t="shared" ca="1" si="113"/>
        <v>0</v>
      </c>
      <c r="AU155" s="45">
        <f t="shared" ca="1" si="114"/>
        <v>0</v>
      </c>
      <c r="AV155" s="46">
        <f ca="1">AU155*Inputs!$B$35</f>
        <v>0</v>
      </c>
      <c r="AW155" s="46">
        <f ca="1">AR155*Inputs!$C$6+AT155*Inputs!$C$7+AS155*Inputs!$C$8</f>
        <v>0</v>
      </c>
      <c r="AX155" s="46">
        <f t="shared" ca="1" si="115"/>
        <v>47493385.36373543</v>
      </c>
      <c r="AY155" s="46">
        <f ca="1">IF(J155&gt;1,($CD$4)*Inputs!$B$55*((Z155+AA155+AB155)/(SUM(ILP_B_Moderate!$C$9:$E$13))),0)</f>
        <v>0</v>
      </c>
      <c r="AZ155" s="46">
        <f t="shared" ca="1" si="116"/>
        <v>0</v>
      </c>
      <c r="BA155" s="41">
        <f t="shared" ca="1" si="117"/>
        <v>0</v>
      </c>
      <c r="BB155" s="41">
        <f t="shared" ca="1" si="118"/>
        <v>1</v>
      </c>
      <c r="BC155" s="41">
        <f t="shared" ca="1" si="119"/>
        <v>1</v>
      </c>
      <c r="BD155" s="41">
        <f t="shared" ca="1" si="120"/>
        <v>1</v>
      </c>
    </row>
    <row r="156" spans="1:56" ht="15" customHeight="1" x14ac:dyDescent="0.3">
      <c r="A156" s="41">
        <v>149</v>
      </c>
      <c r="B156" s="42">
        <f t="shared" ca="1" si="102"/>
        <v>0.43092729772599669</v>
      </c>
      <c r="C156" s="43">
        <f ca="1">IF(B156&lt;=Inputs!$C$40,Inputs!$D$40,IF(B156&lt;=Inputs!$C$41,Inputs!$D$41,Inputs!$D$42))</f>
        <v>1</v>
      </c>
      <c r="D156" s="42">
        <f t="shared" ca="1" si="123"/>
        <v>9.6305325788399343E-2</v>
      </c>
      <c r="E156" s="42">
        <f t="shared" ca="1" si="123"/>
        <v>0.54086524755124987</v>
      </c>
      <c r="F156" s="42">
        <f t="shared" ca="1" si="123"/>
        <v>0.78506017637768544</v>
      </c>
      <c r="G156" s="42">
        <f t="shared" ca="1" si="123"/>
        <v>0.19785898616011877</v>
      </c>
      <c r="H156" s="42">
        <f t="shared" ca="1" si="123"/>
        <v>0.55481626065091993</v>
      </c>
      <c r="I156" s="42">
        <f t="shared" ca="1" si="123"/>
        <v>0.87100492641627447</v>
      </c>
      <c r="J156" s="43">
        <f ca="1">IF(I156&lt;Inputs!$B$54,1+Inputs!$B$55,1)</f>
        <v>1</v>
      </c>
      <c r="K156" s="42">
        <f t="shared" ca="1" si="124"/>
        <v>0.52361911206858691</v>
      </c>
      <c r="L156" s="42">
        <f t="shared" ca="1" si="124"/>
        <v>5.8500558649868806E-3</v>
      </c>
      <c r="M156" s="42">
        <f t="shared" ca="1" si="124"/>
        <v>0.23311043219221916</v>
      </c>
      <c r="N156" s="42">
        <f t="shared" ca="1" si="124"/>
        <v>0.16075368347123753</v>
      </c>
      <c r="O156" s="42">
        <f t="shared" ca="1" si="124"/>
        <v>2.9974436358376044E-2</v>
      </c>
      <c r="P156" s="42">
        <f t="shared" ca="1" si="124"/>
        <v>0.77726801466493278</v>
      </c>
      <c r="Q156" s="42">
        <f t="shared" ca="1" si="124"/>
        <v>9.218652636557767E-2</v>
      </c>
      <c r="R156" s="42">
        <f t="shared" ca="1" si="124"/>
        <v>3.388077565437031E-2</v>
      </c>
      <c r="S156" s="42">
        <f t="shared" ca="1" si="124"/>
        <v>0.51649722318803271</v>
      </c>
      <c r="T156" s="42">
        <f t="shared" ca="1" si="124"/>
        <v>7.5611721659385567E-2</v>
      </c>
      <c r="U156" s="44">
        <f ca="1">(IF(D156&gt;=Inputs!$E$12,1,IF(K156&lt;=Inputs!$C$46,Inputs!$D$46,IF(K156&lt;=Inputs!$C$47,Inputs!$D$47,Inputs!$D$48))))*((Inputs!$B$28+(P156-0.5)*2*Inputs!$B$53)/Inputs!$B$28)</f>
        <v>1.0028063564237342</v>
      </c>
      <c r="V156" s="44">
        <f ca="1">(IF(E156&gt;=Inputs!$E$13,1,IF(L156&lt;=Inputs!$C$46,Inputs!$D$46,IF(L156&lt;=Inputs!$C$47,Inputs!$D$47,Inputs!$D$48))))*((Inputs!$B$29+(Q156-0.5)*2*Inputs!$B$53)/Inputs!$B$29)</f>
        <v>0.99588897708029822</v>
      </c>
      <c r="W156" s="44">
        <f ca="1">(IF(F156&gt;=Inputs!$E$14,1,IF(M156&lt;=Inputs!$C$46,Inputs!$D$46,IF(M156&lt;=Inputs!$C$47,Inputs!$D$47,Inputs!$D$48))))*((Inputs!$B$30+(R156-0.5)*2*Inputs!$B$53)/Inputs!$B$30)</f>
        <v>0.9953153846799434</v>
      </c>
      <c r="X156" s="44">
        <f ca="1">(IF(G156&gt;=Inputs!$E$15,1,IF(N156&lt;=Inputs!$C$46,Inputs!$D$46,IF(N156&lt;=Inputs!$C$47,Inputs!$D$47,Inputs!$D$48))))*((Inputs!$B$31+(S156-0.5)*2*Inputs!$B$53)/Inputs!$B$31)</f>
        <v>1.0001674844993709</v>
      </c>
      <c r="Y156" s="44">
        <f ca="1">(IF(H156&gt;=Inputs!$E$16,1,IF(O156&lt;=Inputs!$C$46,Inputs!$D$46,IF(O156&lt;=Inputs!$C$47,Inputs!$D$47,Inputs!$D$48))))*((Inputs!$B$32+(T156-0.5)*2*Inputs!$B$53)/Inputs!$B$32)</f>
        <v>0.99573050021790122</v>
      </c>
      <c r="Z156" s="45">
        <f ca="1">ILP_B_Moderate!$C$9*U156+ILP_B_Moderate!$C$10*V156+ILP_B_Moderate!$C$11*W156+ILP_B_Moderate!$C$12*X156+ILP_B_Moderate!$C$13*Y156</f>
        <v>17999.980475490163</v>
      </c>
      <c r="AA156" s="45">
        <f ca="1">ILP_B_Moderate!$D$9*U156+ILP_B_Moderate!$D$10*V156+ILP_B_Moderate!$D$11*W156+ILP_B_Moderate!$D$12*X156+ILP_B_Moderate!$D$13*Y156</f>
        <v>14982.773382453539</v>
      </c>
      <c r="AB156" s="45">
        <f ca="1">ILP_B_Moderate!$E$9*U156+ILP_B_Moderate!$E$10*V156+ILP_B_Moderate!$E$11*W156+ILP_B_Moderate!$E$12*X156+ILP_B_Moderate!$E$13*Y156</f>
        <v>11991.619867635603</v>
      </c>
      <c r="AC156" s="45">
        <f ca="1">Inputs!$B$6*$C156</f>
        <v>18000</v>
      </c>
      <c r="AD156" s="45">
        <f ca="1">Inputs!$B$7*$C156</f>
        <v>15000</v>
      </c>
      <c r="AE156" s="45">
        <f ca="1">Inputs!$B$8*$C156</f>
        <v>12000</v>
      </c>
      <c r="AF156" s="45">
        <f t="shared" ca="1" si="103"/>
        <v>1.9524509836628567E-2</v>
      </c>
      <c r="AG156" s="45">
        <f t="shared" ca="1" si="104"/>
        <v>17.226617546461057</v>
      </c>
      <c r="AH156" s="45">
        <f t="shared" ca="1" si="105"/>
        <v>8.3801323643965588</v>
      </c>
      <c r="AI156" s="45">
        <f t="shared" ca="1" si="106"/>
        <v>25.626274420694244</v>
      </c>
      <c r="AJ156" s="45">
        <f ca="1">U156*(Inputs!$B$12-ILP_B_Moderate!$F$9)+V156*(Inputs!$B$13-ILP_B_Moderate!$F$10)+W156*(Inputs!$B$14-ILP_B_Moderate!$F$11)+X156*(Inputs!$B$15-ILP_B_Moderate!$F$12)+Y156*(Inputs!$B$16-ILP_B_Moderate!$F$13)</f>
        <v>24890.040974424854</v>
      </c>
      <c r="AK156" s="45">
        <f t="shared" ca="1" si="107"/>
        <v>25.626274420694244</v>
      </c>
      <c r="AL156" s="45">
        <f t="shared" ca="1" si="108"/>
        <v>0</v>
      </c>
      <c r="AM156" s="45">
        <f t="shared" ca="1" si="109"/>
        <v>0</v>
      </c>
      <c r="AN156" s="45">
        <f t="shared" ca="1" si="110"/>
        <v>0</v>
      </c>
      <c r="AO156" s="45">
        <f ca="1">MIN(AL156,Inputs!$B$36)</f>
        <v>0</v>
      </c>
      <c r="AP156" s="45">
        <f ca="1">MIN(AN156,Inputs!$B$36-AO156)</f>
        <v>0</v>
      </c>
      <c r="AQ156" s="45">
        <f ca="1">MIN(AM156,Inputs!$B$36-AO156-AP156)</f>
        <v>0</v>
      </c>
      <c r="AR156" s="45">
        <f t="shared" ca="1" si="111"/>
        <v>0</v>
      </c>
      <c r="AS156" s="45">
        <f t="shared" ca="1" si="112"/>
        <v>0</v>
      </c>
      <c r="AT156" s="45">
        <f t="shared" ca="1" si="113"/>
        <v>0</v>
      </c>
      <c r="AU156" s="45">
        <f t="shared" ca="1" si="114"/>
        <v>0</v>
      </c>
      <c r="AV156" s="46">
        <f ca="1">AU156*Inputs!$B$35</f>
        <v>0</v>
      </c>
      <c r="AW156" s="46">
        <f ca="1">AR156*Inputs!$C$6+AT156*Inputs!$C$7+AS156*Inputs!$C$8</f>
        <v>0</v>
      </c>
      <c r="AX156" s="46">
        <f t="shared" ca="1" si="115"/>
        <v>47541392.171827465</v>
      </c>
      <c r="AY156" s="46">
        <f ca="1">IF(J156&gt;1,($CD$4)*Inputs!$B$55*((Z156+AA156+AB156)/(SUM(ILP_B_Moderate!$C$9:$E$13))),0)</f>
        <v>0</v>
      </c>
      <c r="AZ156" s="46">
        <f t="shared" ca="1" si="116"/>
        <v>0</v>
      </c>
      <c r="BA156" s="41">
        <f t="shared" ca="1" si="117"/>
        <v>0</v>
      </c>
      <c r="BB156" s="41">
        <f t="shared" ca="1" si="118"/>
        <v>1</v>
      </c>
      <c r="BC156" s="41">
        <f t="shared" ca="1" si="119"/>
        <v>1</v>
      </c>
      <c r="BD156" s="41">
        <f t="shared" ca="1" si="120"/>
        <v>1</v>
      </c>
    </row>
    <row r="157" spans="1:56" ht="15" customHeight="1" x14ac:dyDescent="0.3">
      <c r="A157" s="41">
        <v>150</v>
      </c>
      <c r="B157" s="42">
        <f t="shared" ca="1" si="102"/>
        <v>0.15903522727938124</v>
      </c>
      <c r="C157" s="43">
        <f ca="1">IF(B157&lt;=Inputs!$C$40,Inputs!$D$40,IF(B157&lt;=Inputs!$C$41,Inputs!$D$41,Inputs!$D$42))</f>
        <v>0.9</v>
      </c>
      <c r="D157" s="42">
        <f t="shared" ca="1" si="123"/>
        <v>0.221365806837033</v>
      </c>
      <c r="E157" s="42">
        <f t="shared" ca="1" si="123"/>
        <v>2.6595687908588572E-2</v>
      </c>
      <c r="F157" s="42">
        <f t="shared" ca="1" si="123"/>
        <v>0.51793025796987924</v>
      </c>
      <c r="G157" s="42">
        <f t="shared" ca="1" si="123"/>
        <v>0.5093376670988603</v>
      </c>
      <c r="H157" s="42">
        <f t="shared" ca="1" si="123"/>
        <v>0.98149304799938664</v>
      </c>
      <c r="I157" s="42">
        <f t="shared" ca="1" si="123"/>
        <v>0.99935985774195069</v>
      </c>
      <c r="J157" s="43">
        <f ca="1">IF(I157&lt;Inputs!$B$54,1+Inputs!$B$55,1)</f>
        <v>1</v>
      </c>
      <c r="K157" s="42">
        <f t="shared" ca="1" si="124"/>
        <v>9.5096124112120317E-2</v>
      </c>
      <c r="L157" s="42">
        <f t="shared" ca="1" si="124"/>
        <v>0.24116414399733743</v>
      </c>
      <c r="M157" s="42">
        <f t="shared" ca="1" si="124"/>
        <v>0.96261886329764623</v>
      </c>
      <c r="N157" s="42">
        <f t="shared" ca="1" si="124"/>
        <v>0.99504767540270878</v>
      </c>
      <c r="O157" s="42">
        <f t="shared" ca="1" si="124"/>
        <v>0.57690898996164119</v>
      </c>
      <c r="P157" s="42">
        <f t="shared" ca="1" si="124"/>
        <v>0.63548864920110315</v>
      </c>
      <c r="Q157" s="42">
        <f t="shared" ca="1" si="124"/>
        <v>0.87353623605634068</v>
      </c>
      <c r="R157" s="42">
        <f t="shared" ca="1" si="124"/>
        <v>0.17575981185223244</v>
      </c>
      <c r="S157" s="42">
        <f t="shared" ca="1" si="124"/>
        <v>0.38094132903684053</v>
      </c>
      <c r="T157" s="42">
        <f t="shared" ca="1" si="124"/>
        <v>0.79409348338483465</v>
      </c>
      <c r="U157" s="44">
        <f ca="1">(IF(D157&gt;=Inputs!$E$12,1,IF(K157&lt;=Inputs!$C$46,Inputs!$D$46,IF(K157&lt;=Inputs!$C$47,Inputs!$D$47,Inputs!$D$48))))*((Inputs!$B$28+(P157-0.5)*2*Inputs!$B$53)/Inputs!$B$28)</f>
        <v>1.00137134260325</v>
      </c>
      <c r="V157" s="44">
        <f ca="1">(IF(E157&gt;=Inputs!$E$13,1,IF(L157&lt;=Inputs!$C$46,Inputs!$D$46,IF(L157&lt;=Inputs!$C$47,Inputs!$D$47,Inputs!$D$48))))*((Inputs!$B$29+(Q157-0.5)*2*Inputs!$B$53)/Inputs!$B$29)</f>
        <v>0.60225929175034065</v>
      </c>
      <c r="W157" s="44">
        <f ca="1">(IF(F157&gt;=Inputs!$E$14,1,IF(M157&lt;=Inputs!$C$46,Inputs!$D$46,IF(M157&lt;=Inputs!$C$47,Inputs!$D$47,Inputs!$D$48))))*((Inputs!$B$30+(R157-0.5)*2*Inputs!$B$53)/Inputs!$B$30)</f>
        <v>0.99674130464173094</v>
      </c>
      <c r="X157" s="44">
        <f ca="1">(IF(G157&gt;=Inputs!$E$15,1,IF(N157&lt;=Inputs!$C$46,Inputs!$D$46,IF(N157&lt;=Inputs!$C$47,Inputs!$D$47,Inputs!$D$48))))*((Inputs!$B$31+(S157-0.5)*2*Inputs!$B$53)/Inputs!$B$31)</f>
        <v>0.99879128252829286</v>
      </c>
      <c r="Y157" s="44">
        <f ca="1">(IF(H157&gt;=Inputs!$E$16,1,IF(O157&lt;=Inputs!$C$46,Inputs!$D$46,IF(O157&lt;=Inputs!$C$47,Inputs!$D$47,Inputs!$D$48))))*((Inputs!$B$32+(T157-0.5)*2*Inputs!$B$53)/Inputs!$B$32)</f>
        <v>1.0029586869555818</v>
      </c>
      <c r="Z157" s="45">
        <f ca="1">ILP_B_Moderate!$C$9*U157+ILP_B_Moderate!$C$10*V157+ILP_B_Moderate!$C$11*W157+ILP_B_Moderate!$C$12*X157+ILP_B_Moderate!$C$13*Y157</f>
        <v>16456.101765281419</v>
      </c>
      <c r="AA157" s="45">
        <f ca="1">ILP_B_Moderate!$D$9*U157+ILP_B_Moderate!$D$10*V157+ILP_B_Moderate!$D$11*W157+ILP_B_Moderate!$D$12*X157+ILP_B_Moderate!$D$13*Y157</f>
        <v>12019.953988240552</v>
      </c>
      <c r="AB157" s="45">
        <f ca="1">ILP_B_Moderate!$E$9*U157+ILP_B_Moderate!$E$10*V157+ILP_B_Moderate!$E$11*W157+ILP_B_Moderate!$E$12*X157+ILP_B_Moderate!$E$13*Y157</f>
        <v>11017.820499016605</v>
      </c>
      <c r="AC157" s="45">
        <f ca="1">Inputs!$B$6*$C157</f>
        <v>16200</v>
      </c>
      <c r="AD157" s="45">
        <f ca="1">Inputs!$B$7*$C157</f>
        <v>13500</v>
      </c>
      <c r="AE157" s="45">
        <f ca="1">Inputs!$B$8*$C157</f>
        <v>10800</v>
      </c>
      <c r="AF157" s="45">
        <f t="shared" ca="1" si="103"/>
        <v>0</v>
      </c>
      <c r="AG157" s="45">
        <f t="shared" ca="1" si="104"/>
        <v>1480.0460117594484</v>
      </c>
      <c r="AH157" s="45">
        <f t="shared" ca="1" si="105"/>
        <v>0</v>
      </c>
      <c r="AI157" s="45">
        <f t="shared" ca="1" si="106"/>
        <v>1480.0460117594484</v>
      </c>
      <c r="AJ157" s="45">
        <f ca="1">U157*(Inputs!$B$12-ILP_B_Moderate!$F$9)+V157*(Inputs!$B$13-ILP_B_Moderate!$F$10)+W157*(Inputs!$B$14-ILP_B_Moderate!$F$11)+X157*(Inputs!$B$15-ILP_B_Moderate!$F$12)+Y157*(Inputs!$B$16-ILP_B_Moderate!$F$13)</f>
        <v>24947.207968633938</v>
      </c>
      <c r="AK157" s="45">
        <f t="shared" ca="1" si="107"/>
        <v>1480.0460117594484</v>
      </c>
      <c r="AL157" s="45">
        <f t="shared" ca="1" si="108"/>
        <v>0</v>
      </c>
      <c r="AM157" s="45">
        <f t="shared" ca="1" si="109"/>
        <v>0</v>
      </c>
      <c r="AN157" s="45">
        <f t="shared" ca="1" si="110"/>
        <v>0</v>
      </c>
      <c r="AO157" s="45">
        <f ca="1">MIN(AL157,Inputs!$B$36)</f>
        <v>0</v>
      </c>
      <c r="AP157" s="45">
        <f ca="1">MIN(AN157,Inputs!$B$36-AO157)</f>
        <v>0</v>
      </c>
      <c r="AQ157" s="45">
        <f ca="1">MIN(AM157,Inputs!$B$36-AO157-AP157)</f>
        <v>0</v>
      </c>
      <c r="AR157" s="45">
        <f t="shared" ca="1" si="111"/>
        <v>0</v>
      </c>
      <c r="AS157" s="45">
        <f t="shared" ca="1" si="112"/>
        <v>0</v>
      </c>
      <c r="AT157" s="45">
        <f t="shared" ca="1" si="113"/>
        <v>0</v>
      </c>
      <c r="AU157" s="45">
        <f t="shared" ca="1" si="114"/>
        <v>0</v>
      </c>
      <c r="AV157" s="46">
        <f ca="1">AU157*Inputs!$B$35</f>
        <v>0</v>
      </c>
      <c r="AW157" s="46">
        <f ca="1">AR157*Inputs!$C$6+AT157*Inputs!$C$7+AS157*Inputs!$C$8</f>
        <v>0</v>
      </c>
      <c r="AX157" s="46">
        <f t="shared" ca="1" si="115"/>
        <v>41758961.143259712</v>
      </c>
      <c r="AY157" s="46">
        <f ca="1">IF(J157&gt;1,($CD$4)*Inputs!$B$55*((Z157+AA157+AB157)/(SUM(ILP_B_Moderate!$C$9:$E$13))),0)</f>
        <v>0</v>
      </c>
      <c r="AZ157" s="46">
        <f t="shared" ca="1" si="116"/>
        <v>0</v>
      </c>
      <c r="BA157" s="41">
        <f t="shared" ca="1" si="117"/>
        <v>0</v>
      </c>
      <c r="BB157" s="41">
        <f t="shared" ca="1" si="118"/>
        <v>1</v>
      </c>
      <c r="BC157" s="41">
        <f t="shared" ca="1" si="119"/>
        <v>1</v>
      </c>
      <c r="BD157" s="41">
        <f t="shared" ca="1" si="120"/>
        <v>1</v>
      </c>
    </row>
  </sheetData>
  <mergeCells count="3">
    <mergeCell ref="A1:J1"/>
    <mergeCell ref="A2:T2"/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D157"/>
  <sheetViews>
    <sheetView showGridLines="0" zoomScaleNormal="100" workbookViewId="0">
      <pane ySplit="7" topLeftCell="A8" activePane="bottomLeft" state="frozen"/>
      <selection pane="bottomLeft" sqref="A1:J1"/>
    </sheetView>
  </sheetViews>
  <sheetFormatPr defaultColWidth="8.6640625" defaultRowHeight="14.4" outlineLevelCol="1" x14ac:dyDescent="0.3"/>
  <cols>
    <col min="1" max="3" width="7" customWidth="1"/>
    <col min="4" max="25" width="9" customWidth="1" outlineLevel="1"/>
    <col min="26" max="56" width="9" customWidth="1"/>
  </cols>
  <sheetData>
    <row r="1" spans="1:82" ht="21.75" customHeight="1" x14ac:dyDescent="0.3">
      <c r="A1" s="47" t="s">
        <v>242</v>
      </c>
      <c r="B1" s="47"/>
      <c r="C1" s="47"/>
      <c r="D1" s="47"/>
      <c r="E1" s="47"/>
      <c r="F1" s="47"/>
      <c r="G1" s="47"/>
      <c r="H1" s="47"/>
      <c r="I1" s="47"/>
      <c r="J1" s="47"/>
    </row>
    <row r="2" spans="1:82" ht="45.75" customHeight="1" x14ac:dyDescent="0.3">
      <c r="A2" s="48" t="s">
        <v>243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82" ht="15" customHeight="1" x14ac:dyDescent="0.3">
      <c r="BZ3" s="34" t="s">
        <v>168</v>
      </c>
      <c r="CA3" s="35" t="s">
        <v>169</v>
      </c>
      <c r="CB3" s="35" t="s">
        <v>170</v>
      </c>
      <c r="CC3" s="35" t="s">
        <v>171</v>
      </c>
      <c r="CD3" s="35" t="s">
        <v>172</v>
      </c>
    </row>
    <row r="4" spans="1:82" ht="15" customHeight="1" x14ac:dyDescent="0.3">
      <c r="A4" s="56" t="s">
        <v>173</v>
      </c>
      <c r="B4" s="56"/>
      <c r="C4" s="56"/>
      <c r="D4" s="56"/>
      <c r="E4" s="56"/>
      <c r="F4" s="56"/>
      <c r="G4" s="56"/>
      <c r="H4" s="56"/>
      <c r="I4" s="56"/>
      <c r="J4" s="56"/>
      <c r="CA4" s="36">
        <f>IFERROR(SUMPRODUCT(ILP_C_HighResilience!$C$9:$C$13,ILP_C_HighResilience!$B$36:$B$40)/SUM(ILP_C_HighResilience!$C$9:$C$13),0)</f>
        <v>1039.8434439075356</v>
      </c>
      <c r="CB4" s="36">
        <f>IFERROR(SUMPRODUCT(ILP_C_HighResilience!$D$9:$D$13,ILP_C_HighResilience!$C$36:$C$40)/SUM(ILP_C_HighResilience!$D$9:$D$13),0)</f>
        <v>1051.4851035923025</v>
      </c>
      <c r="CC4" s="36">
        <f>IFERROR(SUMPRODUCT(ILP_C_HighResilience!$E$9:$E$13,ILP_C_HighResilience!$D$36:$D$40)/SUM(ILP_C_HighResilience!$E$9:$E$13),0)</f>
        <v>1095.2478551172999</v>
      </c>
      <c r="CD4" s="36">
        <f>(SUMPRODUCT(ILP_C_HighResilience!$C$9:$C$13,Inputs!$B$20:$B$24))+(SUMPRODUCT(ILP_C_HighResilience!$D$9:$D$13,Inputs!$C$20:$C$24))+(SUMPRODUCT(ILP_C_HighResilience!$E$9:$E$13,Inputs!$D$20:$D$24))</f>
        <v>2404180</v>
      </c>
    </row>
    <row r="5" spans="1:82" ht="30" customHeight="1" x14ac:dyDescent="0.3">
      <c r="A5" s="37" t="s">
        <v>174</v>
      </c>
      <c r="B5" s="37" t="s">
        <v>175</v>
      </c>
      <c r="C5" s="37" t="s">
        <v>176</v>
      </c>
      <c r="D5" s="37" t="s">
        <v>177</v>
      </c>
      <c r="E5" s="37" t="s">
        <v>178</v>
      </c>
      <c r="F5" s="37" t="s">
        <v>179</v>
      </c>
      <c r="G5" s="37" t="s">
        <v>180</v>
      </c>
      <c r="H5" s="37" t="s">
        <v>181</v>
      </c>
      <c r="I5" s="37" t="s">
        <v>182</v>
      </c>
      <c r="J5" s="37" t="s">
        <v>183</v>
      </c>
    </row>
    <row r="6" spans="1:82" ht="3.75" customHeight="1" x14ac:dyDescent="0.3">
      <c r="A6" s="38">
        <f ca="1">AVERAGE(BA8:BA157)</f>
        <v>0</v>
      </c>
      <c r="B6" s="39">
        <f ca="1">AVERAGE(AU8:AU157)</f>
        <v>0</v>
      </c>
      <c r="C6" s="39">
        <f ca="1">AVERAGE(AR8:AR157)+AVERAGE(AT8:AT157)+AVERAGE(AS8:AS157)</f>
        <v>0</v>
      </c>
      <c r="D6" s="40">
        <f ca="1">AVERAGE(AV8:AV157)</f>
        <v>0</v>
      </c>
      <c r="E6" s="40">
        <f ca="1">AVERAGE(AW8:AW157)</f>
        <v>0</v>
      </c>
      <c r="F6" s="40">
        <f ca="1">AVERAGE(AX8:AX157)+AVERAGE(AY8:AY157)</f>
        <v>44442674.306323729</v>
      </c>
      <c r="G6" s="40">
        <f ca="1">AVERAGE(AZ8:AZ157)</f>
        <v>0</v>
      </c>
      <c r="H6" s="38">
        <f ca="1">AVERAGE(BB8:BB157)</f>
        <v>1</v>
      </c>
      <c r="I6" s="38">
        <f ca="1">AVERAGE(BC8:BC157)</f>
        <v>1</v>
      </c>
      <c r="J6" s="38">
        <f ca="1">AVERAGE(BD8:BD157)</f>
        <v>1</v>
      </c>
    </row>
    <row r="7" spans="1:82" ht="33.75" customHeight="1" x14ac:dyDescent="0.3">
      <c r="A7" s="37" t="s">
        <v>184</v>
      </c>
      <c r="B7" s="37" t="s">
        <v>185</v>
      </c>
      <c r="C7" s="37" t="s">
        <v>186</v>
      </c>
      <c r="D7" s="37" t="s">
        <v>187</v>
      </c>
      <c r="E7" s="37" t="s">
        <v>188</v>
      </c>
      <c r="F7" s="37" t="s">
        <v>189</v>
      </c>
      <c r="G7" s="37" t="s">
        <v>190</v>
      </c>
      <c r="H7" s="37" t="s">
        <v>191</v>
      </c>
      <c r="I7" s="37" t="s">
        <v>192</v>
      </c>
      <c r="J7" s="37" t="s">
        <v>193</v>
      </c>
      <c r="K7" s="37" t="s">
        <v>194</v>
      </c>
      <c r="L7" s="37" t="s">
        <v>195</v>
      </c>
      <c r="M7" s="37" t="s">
        <v>196</v>
      </c>
      <c r="N7" s="37" t="s">
        <v>197</v>
      </c>
      <c r="O7" s="37" t="s">
        <v>198</v>
      </c>
      <c r="P7" s="37" t="s">
        <v>199</v>
      </c>
      <c r="Q7" s="37" t="s">
        <v>200</v>
      </c>
      <c r="R7" s="37" t="s">
        <v>201</v>
      </c>
      <c r="S7" s="37" t="s">
        <v>202</v>
      </c>
      <c r="T7" s="37" t="s">
        <v>203</v>
      </c>
      <c r="U7" s="37" t="s">
        <v>204</v>
      </c>
      <c r="V7" s="37" t="s">
        <v>205</v>
      </c>
      <c r="W7" s="37" t="s">
        <v>206</v>
      </c>
      <c r="X7" s="37" t="s">
        <v>207</v>
      </c>
      <c r="Y7" s="37" t="s">
        <v>208</v>
      </c>
      <c r="Z7" s="37" t="s">
        <v>209</v>
      </c>
      <c r="AA7" s="37" t="s">
        <v>210</v>
      </c>
      <c r="AB7" s="37" t="s">
        <v>211</v>
      </c>
      <c r="AC7" s="37" t="s">
        <v>212</v>
      </c>
      <c r="AD7" s="37" t="s">
        <v>213</v>
      </c>
      <c r="AE7" s="37" t="s">
        <v>214</v>
      </c>
      <c r="AF7" s="37" t="s">
        <v>215</v>
      </c>
      <c r="AG7" s="37" t="s">
        <v>216</v>
      </c>
      <c r="AH7" s="37" t="s">
        <v>217</v>
      </c>
      <c r="AI7" s="37" t="s">
        <v>218</v>
      </c>
      <c r="AJ7" s="37" t="s">
        <v>219</v>
      </c>
      <c r="AK7" s="37" t="s">
        <v>220</v>
      </c>
      <c r="AL7" s="37" t="s">
        <v>221</v>
      </c>
      <c r="AM7" s="37" t="s">
        <v>222</v>
      </c>
      <c r="AN7" s="37" t="s">
        <v>223</v>
      </c>
      <c r="AO7" s="37" t="s">
        <v>224</v>
      </c>
      <c r="AP7" s="37" t="s">
        <v>225</v>
      </c>
      <c r="AQ7" s="37" t="s">
        <v>226</v>
      </c>
      <c r="AR7" s="37" t="s">
        <v>227</v>
      </c>
      <c r="AS7" s="37" t="s">
        <v>228</v>
      </c>
      <c r="AT7" s="37" t="s">
        <v>229</v>
      </c>
      <c r="AU7" s="37" t="s">
        <v>230</v>
      </c>
      <c r="AV7" s="37" t="s">
        <v>231</v>
      </c>
      <c r="AW7" s="37" t="s">
        <v>232</v>
      </c>
      <c r="AX7" s="37" t="s">
        <v>233</v>
      </c>
      <c r="AY7" s="37" t="s">
        <v>234</v>
      </c>
      <c r="AZ7" s="37" t="s">
        <v>235</v>
      </c>
      <c r="BA7" s="37" t="s">
        <v>236</v>
      </c>
      <c r="BB7" s="37" t="s">
        <v>237</v>
      </c>
      <c r="BC7" s="37" t="s">
        <v>238</v>
      </c>
      <c r="BD7" s="37" t="s">
        <v>239</v>
      </c>
    </row>
    <row r="8" spans="1:82" ht="15" customHeight="1" x14ac:dyDescent="0.3">
      <c r="A8" s="41">
        <v>1</v>
      </c>
      <c r="B8" s="42">
        <f t="shared" ref="B8:B39" ca="1" si="0">RAND()</f>
        <v>0.82659820555884911</v>
      </c>
      <c r="C8" s="43">
        <f ca="1">IF(B8&lt;=Inputs!$C$40,Inputs!$D$40,IF(B8&lt;=Inputs!$C$41,Inputs!$D$41,Inputs!$D$42))</f>
        <v>1.1499999999999999</v>
      </c>
      <c r="D8" s="42">
        <f t="shared" ref="D8:I17" ca="1" si="1">RAND()</f>
        <v>0.92771047523028705</v>
      </c>
      <c r="E8" s="42">
        <f t="shared" ca="1" si="1"/>
        <v>0.97929510404563147</v>
      </c>
      <c r="F8" s="42">
        <f t="shared" ca="1" si="1"/>
        <v>0.48958021209983893</v>
      </c>
      <c r="G8" s="42">
        <f t="shared" ca="1" si="1"/>
        <v>0.84014069928105761</v>
      </c>
      <c r="H8" s="42">
        <f t="shared" ca="1" si="1"/>
        <v>0.89650635551741364</v>
      </c>
      <c r="I8" s="42">
        <f t="shared" ca="1" si="1"/>
        <v>8.7202884908236244E-2</v>
      </c>
      <c r="J8" s="43">
        <f ca="1">IF(I8&lt;Inputs!$B$54,1+Inputs!$B$55,1)</f>
        <v>1</v>
      </c>
      <c r="K8" s="42">
        <f t="shared" ref="K8:T17" ca="1" si="2">RAND()</f>
        <v>0.10913972904559999</v>
      </c>
      <c r="L8" s="42">
        <f t="shared" ca="1" si="2"/>
        <v>0.58306464767216259</v>
      </c>
      <c r="M8" s="42">
        <f t="shared" ca="1" si="2"/>
        <v>0.34784725098691616</v>
      </c>
      <c r="N8" s="42">
        <f t="shared" ca="1" si="2"/>
        <v>0.98594097013334081</v>
      </c>
      <c r="O8" s="42">
        <f t="shared" ca="1" si="2"/>
        <v>2.763406028732851E-2</v>
      </c>
      <c r="P8" s="42">
        <f t="shared" ca="1" si="2"/>
        <v>0.77928852430056672</v>
      </c>
      <c r="Q8" s="42">
        <f t="shared" ca="1" si="2"/>
        <v>0.84759028502892153</v>
      </c>
      <c r="R8" s="42">
        <f t="shared" ca="1" si="2"/>
        <v>0.83215871807754838</v>
      </c>
      <c r="S8" s="42">
        <f t="shared" ca="1" si="2"/>
        <v>5.0847969524927872E-2</v>
      </c>
      <c r="T8" s="42">
        <f t="shared" ca="1" si="2"/>
        <v>0.89552949603073262</v>
      </c>
      <c r="U8" s="44">
        <f ca="1">(IF(D8&gt;=Inputs!$E$12,1,IF(K8&lt;=Inputs!$C$46,Inputs!$D$46,IF(K8&lt;=Inputs!$C$47,Inputs!$D$47,Inputs!$D$48))))*((Inputs!$B$28+(P8-0.5)*2*Inputs!$B$53)/Inputs!$B$28)</f>
        <v>1.002826806926119</v>
      </c>
      <c r="V8" s="44">
        <f ca="1">(IF(E8&gt;=Inputs!$E$13,1,IF(L8&lt;=Inputs!$C$46,Inputs!$D$46,IF(L8&lt;=Inputs!$C$47,Inputs!$D$47,Inputs!$D$48))))*((Inputs!$B$29+(Q8-0.5)*2*Inputs!$B$53)/Inputs!$B$29)</f>
        <v>1.0035039343248884</v>
      </c>
      <c r="W8" s="44">
        <f ca="1">(IF(F8&gt;=Inputs!$E$14,1,IF(M8&lt;=Inputs!$C$46,Inputs!$D$46,IF(M8&lt;=Inputs!$C$47,Inputs!$D$47,Inputs!$D$48))))*((Inputs!$B$30+(R8-0.5)*2*Inputs!$B$53)/Inputs!$B$30)</f>
        <v>1.0033382785736438</v>
      </c>
      <c r="X8" s="44">
        <f ca="1">(IF(G8&gt;=Inputs!$E$15,1,IF(N8&lt;=Inputs!$C$46,Inputs!$D$46,IF(N8&lt;=Inputs!$C$47,Inputs!$D$47,Inputs!$D$48))))*((Inputs!$B$31+(S8-0.5)*2*Inputs!$B$53)/Inputs!$B$31)</f>
        <v>0.99544008090888247</v>
      </c>
      <c r="Y8" s="44">
        <f ca="1">(IF(H8&gt;=Inputs!$E$16,1,IF(O8&lt;=Inputs!$C$46,Inputs!$D$46,IF(O8&lt;=Inputs!$C$47,Inputs!$D$47,Inputs!$D$48))))*((Inputs!$B$32+(T8-0.5)*2*Inputs!$B$53)/Inputs!$B$32)</f>
        <v>1.0039791699801885</v>
      </c>
      <c r="Z8" s="45">
        <f ca="1">ILP_C_HighResilience!$C$9*U8+ILP_C_HighResilience!$C$10*V8+ILP_C_HighResilience!$C$11*W8+ILP_C_HighResilience!$C$12*X8+ILP_C_HighResilience!$C$13*Y8</f>
        <v>18000.13575598161</v>
      </c>
      <c r="AA8" s="45">
        <f ca="1">ILP_C_HighResilience!$D$9*U8+ILP_C_HighResilience!$D$10*V8+ILP_C_HighResilience!$D$11*W8+ILP_C_HighResilience!$D$12*X8+ILP_C_HighResilience!$D$13*Y8</f>
        <v>15014.578439900924</v>
      </c>
      <c r="AB8" s="45">
        <f ca="1">ILP_C_HighResilience!$E$9*U8+ILP_C_HighResilience!$E$10*V8+ILP_C_HighResilience!$E$11*W8+ILP_C_HighResilience!$E$12*X8+ILP_C_HighResilience!$E$13*Y8</f>
        <v>12038.314610836944</v>
      </c>
      <c r="AC8" s="45">
        <f ca="1">Inputs!$B$6*$C8</f>
        <v>20700</v>
      </c>
      <c r="AD8" s="45">
        <f ca="1">Inputs!$B$7*$C8</f>
        <v>17250</v>
      </c>
      <c r="AE8" s="45">
        <f ca="1">Inputs!$B$8*$C8</f>
        <v>13799.999999999998</v>
      </c>
      <c r="AF8" s="45">
        <f t="shared" ref="AF8:AF39" ca="1" si="3">MAX(0,AC8-Z8)</f>
        <v>2699.8642440183903</v>
      </c>
      <c r="AG8" s="45">
        <f t="shared" ref="AG8:AG39" ca="1" si="4">MAX(0,AD8-AA8)</f>
        <v>2235.4215600990756</v>
      </c>
      <c r="AH8" s="45">
        <f t="shared" ref="AH8:AH39" ca="1" si="5">MAX(0,AE8-AB8)</f>
        <v>1761.6853891630544</v>
      </c>
      <c r="AI8" s="45">
        <f t="shared" ref="AI8:AI39" ca="1" si="6">SUM(AF8:AH8)</f>
        <v>6696.9711932805203</v>
      </c>
      <c r="AJ8" s="45">
        <f ca="1">U8*(Inputs!$B$12-ILP_C_HighResilience!$F$9)+V8*(Inputs!$B$13-ILP_C_HighResilience!$F$10)+W8*(Inputs!$B$14-ILP_C_HighResilience!$F$11)+X8*(Inputs!$B$15-ILP_C_HighResilience!$F$12)+Y8*(Inputs!$B$16-ILP_C_HighResilience!$F$13)</f>
        <v>25089.621326713648</v>
      </c>
      <c r="AK8" s="45">
        <f t="shared" ref="AK8:AK39" ca="1" si="7">MIN(AI8,MAX(0,AJ8))</f>
        <v>6696.9711932805203</v>
      </c>
      <c r="AL8" s="45">
        <f t="shared" ref="AL8:AL39" ca="1" si="8">AF8*(1-(IF(AI8&gt;0,AK8/AI8,0)))</f>
        <v>0</v>
      </c>
      <c r="AM8" s="45">
        <f t="shared" ref="AM8:AM39" ca="1" si="9">AG8*(1-(IF(AI8&gt;0,AK8/AI8,0)))</f>
        <v>0</v>
      </c>
      <c r="AN8" s="45">
        <f t="shared" ref="AN8:AN39" ca="1" si="10">AH8*(1-(IF(AI8&gt;0,AK8/AI8,0)))</f>
        <v>0</v>
      </c>
      <c r="AO8" s="45">
        <f ca="1">MIN(AL8,Inputs!$B$36)</f>
        <v>0</v>
      </c>
      <c r="AP8" s="45">
        <f ca="1">MIN(AN8,Inputs!$B$36-AO8)</f>
        <v>0</v>
      </c>
      <c r="AQ8" s="45">
        <f ca="1">MIN(AM8,Inputs!$B$36-AO8-AP8)</f>
        <v>0</v>
      </c>
      <c r="AR8" s="45">
        <f t="shared" ref="AR8:AR39" ca="1" si="11">AL8-AO8</f>
        <v>0</v>
      </c>
      <c r="AS8" s="45">
        <f t="shared" ref="AS8:AS39" ca="1" si="12">AN8-AP8</f>
        <v>0</v>
      </c>
      <c r="AT8" s="45">
        <f t="shared" ref="AT8:AT39" ca="1" si="13">AM8-AQ8</f>
        <v>0</v>
      </c>
      <c r="AU8" s="45">
        <f t="shared" ref="AU8:AU39" ca="1" si="14">AO8+AP8+AQ8</f>
        <v>0</v>
      </c>
      <c r="AV8" s="46">
        <f ca="1">AU8*Inputs!$B$35</f>
        <v>0</v>
      </c>
      <c r="AW8" s="46">
        <f ca="1">AR8*Inputs!$C$6+AT8*Inputs!$C$7+AS8*Inputs!$C$8</f>
        <v>0</v>
      </c>
      <c r="AX8" s="46">
        <f t="shared" ref="AX8:AX39" ca="1" si="15">Z8*$CA$4+AA8*$CB$4+AB8*$CC$4</f>
        <v>47689866.978323475</v>
      </c>
      <c r="AY8" s="46">
        <f ca="1">IF(J8&gt;1,($CD$4)*Inputs!$B$55*((Z8+AA8+AB8)/(SUM(ILP_C_HighResilience!$C$9:$E$13))),0)</f>
        <v>0</v>
      </c>
      <c r="AZ8" s="46">
        <f t="shared" ref="AZ8:AZ39" ca="1" si="16">AV8+AW8</f>
        <v>0</v>
      </c>
      <c r="BA8" s="41">
        <f t="shared" ref="BA8:BA39" ca="1" si="17">IF(AR8+AT8+AS8&gt;0,1,0)</f>
        <v>0</v>
      </c>
      <c r="BB8" s="41">
        <f t="shared" ref="BB8:BB39" ca="1" si="18">IF(AR8=0,1,0)</f>
        <v>1</v>
      </c>
      <c r="BC8" s="41">
        <f t="shared" ref="BC8:BC39" ca="1" si="19">IF(AT8=0,1,0)</f>
        <v>1</v>
      </c>
      <c r="BD8" s="41">
        <f t="shared" ref="BD8:BD39" ca="1" si="20">IF(AS8=0,1,0)</f>
        <v>1</v>
      </c>
    </row>
    <row r="9" spans="1:82" ht="15" customHeight="1" x14ac:dyDescent="0.3">
      <c r="A9" s="41">
        <v>2</v>
      </c>
      <c r="B9" s="42">
        <f t="shared" ca="1" si="0"/>
        <v>0.81283028880083819</v>
      </c>
      <c r="C9" s="43">
        <f ca="1">IF(B9&lt;=Inputs!$C$40,Inputs!$D$40,IF(B9&lt;=Inputs!$C$41,Inputs!$D$41,Inputs!$D$42))</f>
        <v>1.1499999999999999</v>
      </c>
      <c r="D9" s="42">
        <f t="shared" ca="1" si="1"/>
        <v>0.51727215370916679</v>
      </c>
      <c r="E9" s="42">
        <f t="shared" ca="1" si="1"/>
        <v>0.20135941472239127</v>
      </c>
      <c r="F9" s="42">
        <f t="shared" ca="1" si="1"/>
        <v>0.2142289713085771</v>
      </c>
      <c r="G9" s="42">
        <f t="shared" ca="1" si="1"/>
        <v>0.37309470515210974</v>
      </c>
      <c r="H9" s="42">
        <f t="shared" ca="1" si="1"/>
        <v>0.91551841322493188</v>
      </c>
      <c r="I9" s="42">
        <f t="shared" ca="1" si="1"/>
        <v>0.67699300824516073</v>
      </c>
      <c r="J9" s="43">
        <f ca="1">IF(I9&lt;Inputs!$B$54,1+Inputs!$B$55,1)</f>
        <v>1</v>
      </c>
      <c r="K9" s="42">
        <f t="shared" ca="1" si="2"/>
        <v>0.78578270723805954</v>
      </c>
      <c r="L9" s="42">
        <f t="shared" ca="1" si="2"/>
        <v>0.86952707674965413</v>
      </c>
      <c r="M9" s="42">
        <f t="shared" ca="1" si="2"/>
        <v>0.81984088619317808</v>
      </c>
      <c r="N9" s="42">
        <f t="shared" ca="1" si="2"/>
        <v>0.14820848426852307</v>
      </c>
      <c r="O9" s="42">
        <f t="shared" ca="1" si="2"/>
        <v>0.8657372059724654</v>
      </c>
      <c r="P9" s="42">
        <f t="shared" ca="1" si="2"/>
        <v>0.36678496632400404</v>
      </c>
      <c r="Q9" s="42">
        <f t="shared" ca="1" si="2"/>
        <v>2.9216087138501101E-2</v>
      </c>
      <c r="R9" s="42">
        <f t="shared" ca="1" si="2"/>
        <v>0.64745973856606709</v>
      </c>
      <c r="S9" s="42">
        <f t="shared" ca="1" si="2"/>
        <v>0.52933031845463663</v>
      </c>
      <c r="T9" s="42">
        <f t="shared" ca="1" si="2"/>
        <v>0.4436952839569982</v>
      </c>
      <c r="U9" s="44">
        <f ca="1">(IF(D9&gt;=Inputs!$E$12,1,IF(K9&lt;=Inputs!$C$46,Inputs!$D$46,IF(K9&lt;=Inputs!$C$47,Inputs!$D$47,Inputs!$D$48))))*((Inputs!$B$28+(P9-0.5)*2*Inputs!$B$53)/Inputs!$B$28)</f>
        <v>0.9986516696996357</v>
      </c>
      <c r="V9" s="44">
        <f ca="1">(IF(E9&gt;=Inputs!$E$13,1,IF(L9&lt;=Inputs!$C$46,Inputs!$D$46,IF(L9&lt;=Inputs!$C$47,Inputs!$D$47,Inputs!$D$48))))*((Inputs!$B$29+(Q9-0.5)*2*Inputs!$B$53)/Inputs!$B$29)</f>
        <v>0.99525419442679941</v>
      </c>
      <c r="W9" s="44">
        <f ca="1">(IF(F9&gt;=Inputs!$E$14,1,IF(M9&lt;=Inputs!$C$46,Inputs!$D$46,IF(M9&lt;=Inputs!$C$47,Inputs!$D$47,Inputs!$D$48))))*((Inputs!$B$30+(R9-0.5)*2*Inputs!$B$53)/Inputs!$B$30)</f>
        <v>1.0014820074227746</v>
      </c>
      <c r="X9" s="44">
        <f ca="1">(IF(G9&gt;=Inputs!$E$15,1,IF(N9&lt;=Inputs!$C$46,Inputs!$D$46,IF(N9&lt;=Inputs!$C$47,Inputs!$D$47,Inputs!$D$48))))*((Inputs!$B$31+(S9-0.5)*2*Inputs!$B$53)/Inputs!$B$31)</f>
        <v>1.000297769730504</v>
      </c>
      <c r="Y9" s="44">
        <f ca="1">(IF(H9&gt;=Inputs!$E$16,1,IF(O9&lt;=Inputs!$C$46,Inputs!$D$46,IF(O9&lt;=Inputs!$C$47,Inputs!$D$47,Inputs!$D$48))))*((Inputs!$B$32+(T9-0.5)*2*Inputs!$B$53)/Inputs!$B$32)</f>
        <v>0.99943355416455737</v>
      </c>
      <c r="Z9" s="45">
        <f ca="1">ILP_C_HighResilience!$C$9*U9+ILP_C_HighResilience!$C$10*V9+ILP_C_HighResilience!$C$11*W9+ILP_C_HighResilience!$C$12*X9+ILP_C_HighResilience!$C$13*Y9</f>
        <v>17975.351063833485</v>
      </c>
      <c r="AA9" s="45">
        <f ca="1">ILP_C_HighResilience!$D$9*U9+ILP_C_HighResilience!$D$10*V9+ILP_C_HighResilience!$D$11*W9+ILP_C_HighResilience!$D$12*X9+ILP_C_HighResilience!$D$13*Y9</f>
        <v>14979.392055227479</v>
      </c>
      <c r="AB9" s="45">
        <f ca="1">ILP_C_HighResilience!$E$9*U9+ILP_C_HighResilience!$E$10*V9+ILP_C_HighResilience!$E$11*W9+ILP_C_HighResilience!$E$12*X9+ILP_C_HighResilience!$E$13*Y9</f>
        <v>11977.493605875487</v>
      </c>
      <c r="AC9" s="45">
        <f ca="1">Inputs!$B$6*$C9</f>
        <v>20700</v>
      </c>
      <c r="AD9" s="45">
        <f ca="1">Inputs!$B$7*$C9</f>
        <v>17250</v>
      </c>
      <c r="AE9" s="45">
        <f ca="1">Inputs!$B$8*$C9</f>
        <v>13799.999999999998</v>
      </c>
      <c r="AF9" s="45">
        <f t="shared" ca="1" si="3"/>
        <v>2724.6489361665153</v>
      </c>
      <c r="AG9" s="45">
        <f t="shared" ca="1" si="4"/>
        <v>2270.6079447725206</v>
      </c>
      <c r="AH9" s="45">
        <f t="shared" ca="1" si="5"/>
        <v>1822.5063941245116</v>
      </c>
      <c r="AI9" s="45">
        <f t="shared" ca="1" si="6"/>
        <v>6817.7632750635476</v>
      </c>
      <c r="AJ9" s="45">
        <f ca="1">U9*(Inputs!$B$12-ILP_C_HighResilience!$F$9)+V9*(Inputs!$B$13-ILP_C_HighResilience!$F$10)+W9*(Inputs!$B$14-ILP_C_HighResilience!$F$11)+X9*(Inputs!$B$15-ILP_C_HighResilience!$F$12)+Y9*(Inputs!$B$16-ILP_C_HighResilience!$F$13)</f>
        <v>24994.091357963393</v>
      </c>
      <c r="AK9" s="45">
        <f t="shared" ca="1" si="7"/>
        <v>6817.7632750635476</v>
      </c>
      <c r="AL9" s="45">
        <f t="shared" ca="1" si="8"/>
        <v>0</v>
      </c>
      <c r="AM9" s="45">
        <f t="shared" ca="1" si="9"/>
        <v>0</v>
      </c>
      <c r="AN9" s="45">
        <f t="shared" ca="1" si="10"/>
        <v>0</v>
      </c>
      <c r="AO9" s="45">
        <f ca="1">MIN(AL9,Inputs!$B$36)</f>
        <v>0</v>
      </c>
      <c r="AP9" s="45">
        <f ca="1">MIN(AN9,Inputs!$B$36-AO9)</f>
        <v>0</v>
      </c>
      <c r="AQ9" s="45">
        <f ca="1">MIN(AM9,Inputs!$B$36-AO9-AP9)</f>
        <v>0</v>
      </c>
      <c r="AR9" s="45">
        <f t="shared" ca="1" si="11"/>
        <v>0</v>
      </c>
      <c r="AS9" s="45">
        <f t="shared" ca="1" si="12"/>
        <v>0</v>
      </c>
      <c r="AT9" s="45">
        <f t="shared" ca="1" si="13"/>
        <v>0</v>
      </c>
      <c r="AU9" s="45">
        <f t="shared" ca="1" si="14"/>
        <v>0</v>
      </c>
      <c r="AV9" s="46">
        <f ca="1">AU9*Inputs!$B$35</f>
        <v>0</v>
      </c>
      <c r="AW9" s="46">
        <f ca="1">AR9*Inputs!$C$6+AT9*Inputs!$C$7+AS9*Inputs!$C$8</f>
        <v>0</v>
      </c>
      <c r="AX9" s="46">
        <f t="shared" ca="1" si="15"/>
        <v>47560482.744120479</v>
      </c>
      <c r="AY9" s="46">
        <f ca="1">IF(J9&gt;1,($CD$4)*Inputs!$B$55*((Z9+AA9+AB9)/(SUM(ILP_C_HighResilience!$C$9:$E$13))),0)</f>
        <v>0</v>
      </c>
      <c r="AZ9" s="46">
        <f t="shared" ca="1" si="16"/>
        <v>0</v>
      </c>
      <c r="BA9" s="41">
        <f t="shared" ca="1" si="17"/>
        <v>0</v>
      </c>
      <c r="BB9" s="41">
        <f t="shared" ca="1" si="18"/>
        <v>1</v>
      </c>
      <c r="BC9" s="41">
        <f t="shared" ca="1" si="19"/>
        <v>1</v>
      </c>
      <c r="BD9" s="41">
        <f t="shared" ca="1" si="20"/>
        <v>1</v>
      </c>
    </row>
    <row r="10" spans="1:82" ht="15" customHeight="1" x14ac:dyDescent="0.3">
      <c r="A10" s="41">
        <v>3</v>
      </c>
      <c r="B10" s="42">
        <f t="shared" ca="1" si="0"/>
        <v>9.9634015474837523E-2</v>
      </c>
      <c r="C10" s="43">
        <f ca="1">IF(B10&lt;=Inputs!$C$40,Inputs!$D$40,IF(B10&lt;=Inputs!$C$41,Inputs!$D$41,Inputs!$D$42))</f>
        <v>0.9</v>
      </c>
      <c r="D10" s="42">
        <f t="shared" ca="1" si="1"/>
        <v>0.76126391833691209</v>
      </c>
      <c r="E10" s="42">
        <f t="shared" ca="1" si="1"/>
        <v>0.90970662298225791</v>
      </c>
      <c r="F10" s="42">
        <f t="shared" ca="1" si="1"/>
        <v>0.17051955210420977</v>
      </c>
      <c r="G10" s="42">
        <f t="shared" ca="1" si="1"/>
        <v>0.24170882374064073</v>
      </c>
      <c r="H10" s="42">
        <f t="shared" ca="1" si="1"/>
        <v>7.004419508309323E-2</v>
      </c>
      <c r="I10" s="42">
        <f t="shared" ca="1" si="1"/>
        <v>0.64388988608980546</v>
      </c>
      <c r="J10" s="43">
        <f ca="1">IF(I10&lt;Inputs!$B$54,1+Inputs!$B$55,1)</f>
        <v>1</v>
      </c>
      <c r="K10" s="42">
        <f t="shared" ca="1" si="2"/>
        <v>0.60824278554366351</v>
      </c>
      <c r="L10" s="42">
        <f t="shared" ca="1" si="2"/>
        <v>0.83536843915751557</v>
      </c>
      <c r="M10" s="42">
        <f t="shared" ca="1" si="2"/>
        <v>0.92220008517759411</v>
      </c>
      <c r="N10" s="42">
        <f t="shared" ca="1" si="2"/>
        <v>9.3692899720778544E-2</v>
      </c>
      <c r="O10" s="42">
        <f t="shared" ca="1" si="2"/>
        <v>0.74406772183209691</v>
      </c>
      <c r="P10" s="42">
        <f t="shared" ca="1" si="2"/>
        <v>0.32310549589749471</v>
      </c>
      <c r="Q10" s="42">
        <f t="shared" ca="1" si="2"/>
        <v>0.58406022861163198</v>
      </c>
      <c r="R10" s="42">
        <f t="shared" ca="1" si="2"/>
        <v>0.8135791058276598</v>
      </c>
      <c r="S10" s="42">
        <f t="shared" ca="1" si="2"/>
        <v>0.46840008127011556</v>
      </c>
      <c r="T10" s="42">
        <f t="shared" ca="1" si="2"/>
        <v>0.98796722989137531</v>
      </c>
      <c r="U10" s="44">
        <f ca="1">(IF(D10&gt;=Inputs!$E$12,1,IF(K10&lt;=Inputs!$C$46,Inputs!$D$46,IF(K10&lt;=Inputs!$C$47,Inputs!$D$47,Inputs!$D$48))))*((Inputs!$B$28+(P10-0.5)*2*Inputs!$B$53)/Inputs!$B$28)</f>
        <v>0.9982095697965333</v>
      </c>
      <c r="V10" s="44">
        <f ca="1">(IF(E10&gt;=Inputs!$E$13,1,IF(L10&lt;=Inputs!$C$46,Inputs!$D$46,IF(L10&lt;=Inputs!$C$47,Inputs!$D$47,Inputs!$D$48))))*((Inputs!$B$29+(Q10-0.5)*2*Inputs!$B$53)/Inputs!$B$29)</f>
        <v>1.0008473813368108</v>
      </c>
      <c r="W10" s="44">
        <f ca="1">(IF(F10&gt;=Inputs!$E$14,1,IF(M10&lt;=Inputs!$C$46,Inputs!$D$46,IF(M10&lt;=Inputs!$C$47,Inputs!$D$47,Inputs!$D$48))))*((Inputs!$B$30+(R10-0.5)*2*Inputs!$B$53)/Inputs!$B$30)</f>
        <v>1.003151548802288</v>
      </c>
      <c r="X10" s="44">
        <f ca="1">(IF(G10&gt;=Inputs!$E$15,1,IF(N10&lt;=Inputs!$C$46,Inputs!$D$46,IF(N10&lt;=Inputs!$C$47,Inputs!$D$47,Inputs!$D$48))))*((Inputs!$B$31+(S10-0.5)*2*Inputs!$B$53)/Inputs!$B$31)</f>
        <v>0.99967918864233618</v>
      </c>
      <c r="Y10" s="44">
        <f ca="1">(IF(H10&gt;=Inputs!$E$16,1,IF(O10&lt;=Inputs!$C$46,Inputs!$D$46,IF(O10&lt;=Inputs!$C$47,Inputs!$D$47,Inputs!$D$48))))*((Inputs!$B$32+(T10-0.5)*2*Inputs!$B$53)/Inputs!$B$32)</f>
        <v>1.0049091270612813</v>
      </c>
      <c r="Z10" s="45">
        <f ca="1">ILP_C_HighResilience!$C$9*U10+ILP_C_HighResilience!$C$10*V10+ILP_C_HighResilience!$C$11*W10+ILP_C_HighResilience!$C$12*X10+ILP_C_HighResilience!$C$13*Y10</f>
        <v>17987.849633572379</v>
      </c>
      <c r="AA10" s="45">
        <f ca="1">ILP_C_HighResilience!$D$9*U10+ILP_C_HighResilience!$D$10*V10+ILP_C_HighResilience!$D$11*W10+ILP_C_HighResilience!$D$12*X10+ILP_C_HighResilience!$D$13*Y10</f>
        <v>15017.40592330248</v>
      </c>
      <c r="AB10" s="45">
        <f ca="1">ILP_C_HighResilience!$E$9*U10+ILP_C_HighResilience!$E$10*V10+ILP_C_HighResilience!$E$11*W10+ILP_C_HighResilience!$E$12*X10+ILP_C_HighResilience!$E$13*Y10</f>
        <v>12004.216816307868</v>
      </c>
      <c r="AC10" s="45">
        <f ca="1">Inputs!$B$6*$C10</f>
        <v>16200</v>
      </c>
      <c r="AD10" s="45">
        <f ca="1">Inputs!$B$7*$C10</f>
        <v>13500</v>
      </c>
      <c r="AE10" s="45">
        <f ca="1">Inputs!$B$8*$C10</f>
        <v>10800</v>
      </c>
      <c r="AF10" s="45">
        <f t="shared" ca="1" si="3"/>
        <v>0</v>
      </c>
      <c r="AG10" s="45">
        <f t="shared" ca="1" si="4"/>
        <v>0</v>
      </c>
      <c r="AH10" s="45">
        <f t="shared" ca="1" si="5"/>
        <v>0</v>
      </c>
      <c r="AI10" s="45">
        <f t="shared" ca="1" si="6"/>
        <v>0</v>
      </c>
      <c r="AJ10" s="45">
        <f ca="1">U10*(Inputs!$B$12-ILP_C_HighResilience!$F$9)+V10*(Inputs!$B$13-ILP_C_HighResilience!$F$10)+W10*(Inputs!$B$14-ILP_C_HighResilience!$F$11)+X10*(Inputs!$B$15-ILP_C_HighResilience!$F$12)+Y10*(Inputs!$B$16-ILP_C_HighResilience!$F$13)</f>
        <v>25084.501386334156</v>
      </c>
      <c r="AK10" s="45">
        <f t="shared" ca="1" si="7"/>
        <v>0</v>
      </c>
      <c r="AL10" s="45">
        <f t="shared" ca="1" si="8"/>
        <v>0</v>
      </c>
      <c r="AM10" s="45">
        <f t="shared" ca="1" si="9"/>
        <v>0</v>
      </c>
      <c r="AN10" s="45">
        <f t="shared" ca="1" si="10"/>
        <v>0</v>
      </c>
      <c r="AO10" s="45">
        <f ca="1">MIN(AL10,Inputs!$B$36)</f>
        <v>0</v>
      </c>
      <c r="AP10" s="45">
        <f ca="1">MIN(AN10,Inputs!$B$36-AO10)</f>
        <v>0</v>
      </c>
      <c r="AQ10" s="45">
        <f ca="1">MIN(AM10,Inputs!$B$36-AO10-AP10)</f>
        <v>0</v>
      </c>
      <c r="AR10" s="45">
        <f t="shared" ca="1" si="11"/>
        <v>0</v>
      </c>
      <c r="AS10" s="45">
        <f t="shared" ca="1" si="12"/>
        <v>0</v>
      </c>
      <c r="AT10" s="45">
        <f t="shared" ca="1" si="13"/>
        <v>0</v>
      </c>
      <c r="AU10" s="45">
        <f t="shared" ca="1" si="14"/>
        <v>0</v>
      </c>
      <c r="AV10" s="46">
        <f ca="1">AU10*Inputs!$B$35</f>
        <v>0</v>
      </c>
      <c r="AW10" s="46">
        <f ca="1">AR10*Inputs!$C$6+AT10*Inputs!$C$7+AS10*Inputs!$C$8</f>
        <v>0</v>
      </c>
      <c r="AX10" s="46">
        <f t="shared" ca="1" si="15"/>
        <v>47642718.854840383</v>
      </c>
      <c r="AY10" s="46">
        <f ca="1">IF(J10&gt;1,($CD$4)*Inputs!$B$55*((Z10+AA10+AB10)/(SUM(ILP_C_HighResilience!$C$9:$E$13))),0)</f>
        <v>0</v>
      </c>
      <c r="AZ10" s="46">
        <f t="shared" ca="1" si="16"/>
        <v>0</v>
      </c>
      <c r="BA10" s="41">
        <f t="shared" ca="1" si="17"/>
        <v>0</v>
      </c>
      <c r="BB10" s="41">
        <f t="shared" ca="1" si="18"/>
        <v>1</v>
      </c>
      <c r="BC10" s="41">
        <f t="shared" ca="1" si="19"/>
        <v>1</v>
      </c>
      <c r="BD10" s="41">
        <f t="shared" ca="1" si="20"/>
        <v>1</v>
      </c>
    </row>
    <row r="11" spans="1:82" ht="15" customHeight="1" x14ac:dyDescent="0.3">
      <c r="A11" s="41">
        <v>4</v>
      </c>
      <c r="B11" s="42">
        <f t="shared" ca="1" si="0"/>
        <v>7.7962089446826921E-2</v>
      </c>
      <c r="C11" s="43">
        <f ca="1">IF(B11&lt;=Inputs!$C$40,Inputs!$D$40,IF(B11&lt;=Inputs!$C$41,Inputs!$D$41,Inputs!$D$42))</f>
        <v>0.9</v>
      </c>
      <c r="D11" s="42">
        <f t="shared" ca="1" si="1"/>
        <v>1.4516373929491122E-2</v>
      </c>
      <c r="E11" s="42">
        <f t="shared" ca="1" si="1"/>
        <v>2.7485429750495838E-2</v>
      </c>
      <c r="F11" s="42">
        <f t="shared" ca="1" si="1"/>
        <v>0.91749619780096969</v>
      </c>
      <c r="G11" s="42">
        <f t="shared" ca="1" si="1"/>
        <v>0.32121512995980284</v>
      </c>
      <c r="H11" s="42">
        <f t="shared" ca="1" si="1"/>
        <v>0.45863942726631834</v>
      </c>
      <c r="I11" s="42">
        <f t="shared" ca="1" si="1"/>
        <v>0.4371975396067781</v>
      </c>
      <c r="J11" s="43">
        <f ca="1">IF(I11&lt;Inputs!$B$54,1+Inputs!$B$55,1)</f>
        <v>1</v>
      </c>
      <c r="K11" s="42">
        <f t="shared" ca="1" si="2"/>
        <v>5.8823187309227531E-2</v>
      </c>
      <c r="L11" s="42">
        <f t="shared" ca="1" si="2"/>
        <v>0.83537859201516895</v>
      </c>
      <c r="M11" s="42">
        <f t="shared" ca="1" si="2"/>
        <v>0.51941899106365019</v>
      </c>
      <c r="N11" s="42">
        <f t="shared" ca="1" si="2"/>
        <v>0.25992751213603627</v>
      </c>
      <c r="O11" s="42">
        <f t="shared" ca="1" si="2"/>
        <v>0.75240223390370053</v>
      </c>
      <c r="P11" s="42">
        <f t="shared" ca="1" si="2"/>
        <v>0.41344424595644469</v>
      </c>
      <c r="Q11" s="42">
        <f t="shared" ca="1" si="2"/>
        <v>0.13714372296185029</v>
      </c>
      <c r="R11" s="42">
        <f t="shared" ca="1" si="2"/>
        <v>0.69534148913007154</v>
      </c>
      <c r="S11" s="42">
        <f t="shared" ca="1" si="2"/>
        <v>7.7605280303049695E-2</v>
      </c>
      <c r="T11" s="42">
        <f t="shared" ca="1" si="2"/>
        <v>0.21168542279102787</v>
      </c>
      <c r="U11" s="44">
        <f ca="1">(IF(D11&gt;=Inputs!$E$12,1,IF(K11&lt;=Inputs!$C$46,Inputs!$D$46,IF(K11&lt;=Inputs!$C$47,Inputs!$D$47,Inputs!$D$48))))*((Inputs!$B$28+(P11-0.5)*2*Inputs!$B$53)/Inputs!$B$28)</f>
        <v>0.59947435776896618</v>
      </c>
      <c r="V11" s="44">
        <f ca="1">(IF(E11&gt;=Inputs!$E$13,1,IF(L11&lt;=Inputs!$C$46,Inputs!$D$46,IF(L11&lt;=Inputs!$C$47,Inputs!$D$47,Inputs!$D$48))))*((Inputs!$B$29+(Q11-0.5)*2*Inputs!$B$53)/Inputs!$B$29)</f>
        <v>0</v>
      </c>
      <c r="W11" s="44">
        <f ca="1">(IF(F11&gt;=Inputs!$E$14,1,IF(M11&lt;=Inputs!$C$46,Inputs!$D$46,IF(M11&lt;=Inputs!$C$47,Inputs!$D$47,Inputs!$D$48))))*((Inputs!$B$30+(R11-0.5)*2*Inputs!$B$53)/Inputs!$B$30)</f>
        <v>1.0019632310465334</v>
      </c>
      <c r="X11" s="44">
        <f ca="1">(IF(G11&gt;=Inputs!$E$15,1,IF(N11&lt;=Inputs!$C$46,Inputs!$D$46,IF(N11&lt;=Inputs!$C$47,Inputs!$D$47,Inputs!$D$48))))*((Inputs!$B$31+(S11-0.5)*2*Inputs!$B$53)/Inputs!$B$31)</f>
        <v>0.99571172873404112</v>
      </c>
      <c r="Y11" s="44">
        <f ca="1">(IF(H11&gt;=Inputs!$E$16,1,IF(O11&lt;=Inputs!$C$46,Inputs!$D$46,IF(O11&lt;=Inputs!$C$47,Inputs!$D$47,Inputs!$D$48))))*((Inputs!$B$32+(T11-0.5)*2*Inputs!$B$53)/Inputs!$B$32)</f>
        <v>0.99709945093351138</v>
      </c>
      <c r="Z11" s="45">
        <f ca="1">ILP_C_HighResilience!$C$9*U11+ILP_C_HighResilience!$C$10*V11+ILP_C_HighResilience!$C$11*W11+ILP_C_HighResilience!$C$12*X11+ILP_C_HighResilience!$C$13*Y11</f>
        <v>11485.339822821654</v>
      </c>
      <c r="AA11" s="45">
        <f ca="1">ILP_C_HighResilience!$D$9*U11+ILP_C_HighResilience!$D$10*V11+ILP_C_HighResilience!$D$11*W11+ILP_C_HighResilience!$D$12*X11+ILP_C_HighResilience!$D$13*Y11</f>
        <v>8988.787138735086</v>
      </c>
      <c r="AB11" s="45">
        <f ca="1">ILP_C_HighResilience!$E$9*U11+ILP_C_HighResilience!$E$10*V11+ILP_C_HighResilience!$E$11*W11+ILP_C_HighResilience!$E$12*X11+ILP_C_HighResilience!$E$13*Y11</f>
        <v>5795.193846098543</v>
      </c>
      <c r="AC11" s="45">
        <f ca="1">Inputs!$B$6*$C11</f>
        <v>16200</v>
      </c>
      <c r="AD11" s="45">
        <f ca="1">Inputs!$B$7*$C11</f>
        <v>13500</v>
      </c>
      <c r="AE11" s="45">
        <f ca="1">Inputs!$B$8*$C11</f>
        <v>10800</v>
      </c>
      <c r="AF11" s="45">
        <f t="shared" ca="1" si="3"/>
        <v>4714.6601771783462</v>
      </c>
      <c r="AG11" s="45">
        <f t="shared" ca="1" si="4"/>
        <v>4511.212861264914</v>
      </c>
      <c r="AH11" s="45">
        <f t="shared" ca="1" si="5"/>
        <v>5004.806153901457</v>
      </c>
      <c r="AI11" s="45">
        <f t="shared" ca="1" si="6"/>
        <v>14230.679192344716</v>
      </c>
      <c r="AJ11" s="45">
        <f ca="1">U11*(Inputs!$B$12-ILP_C_HighResilience!$F$9)+V11*(Inputs!$B$13-ILP_C_HighResilience!$F$10)+W11*(Inputs!$B$14-ILP_C_HighResilience!$F$11)+X11*(Inputs!$B$15-ILP_C_HighResilience!$F$12)+Y11*(Inputs!$B$16-ILP_C_HighResilience!$F$13)</f>
        <v>23252.823429064276</v>
      </c>
      <c r="AK11" s="45">
        <f t="shared" ca="1" si="7"/>
        <v>14230.679192344716</v>
      </c>
      <c r="AL11" s="45">
        <f t="shared" ca="1" si="8"/>
        <v>0</v>
      </c>
      <c r="AM11" s="45">
        <f t="shared" ca="1" si="9"/>
        <v>0</v>
      </c>
      <c r="AN11" s="45">
        <f t="shared" ca="1" si="10"/>
        <v>0</v>
      </c>
      <c r="AO11" s="45">
        <f ca="1">MIN(AL11,Inputs!$B$36)</f>
        <v>0</v>
      </c>
      <c r="AP11" s="45">
        <f ca="1">MIN(AN11,Inputs!$B$36-AO11)</f>
        <v>0</v>
      </c>
      <c r="AQ11" s="45">
        <f ca="1">MIN(AM11,Inputs!$B$36-AO11-AP11)</f>
        <v>0</v>
      </c>
      <c r="AR11" s="45">
        <f t="shared" ca="1" si="11"/>
        <v>0</v>
      </c>
      <c r="AS11" s="45">
        <f t="shared" ca="1" si="12"/>
        <v>0</v>
      </c>
      <c r="AT11" s="45">
        <f t="shared" ca="1" si="13"/>
        <v>0</v>
      </c>
      <c r="AU11" s="45">
        <f t="shared" ca="1" si="14"/>
        <v>0</v>
      </c>
      <c r="AV11" s="46">
        <f ca="1">AU11*Inputs!$B$35</f>
        <v>0</v>
      </c>
      <c r="AW11" s="46">
        <f ca="1">AR11*Inputs!$C$6+AT11*Inputs!$C$7+AS11*Inputs!$C$8</f>
        <v>0</v>
      </c>
      <c r="AX11" s="46">
        <f t="shared" ca="1" si="15"/>
        <v>27741704.721481659</v>
      </c>
      <c r="AY11" s="46">
        <f ca="1">IF(J11&gt;1,($CD$4)*Inputs!$B$55*((Z11+AA11+AB11)/(SUM(ILP_C_HighResilience!$C$9:$E$13))),0)</f>
        <v>0</v>
      </c>
      <c r="AZ11" s="46">
        <f t="shared" ca="1" si="16"/>
        <v>0</v>
      </c>
      <c r="BA11" s="41">
        <f t="shared" ca="1" si="17"/>
        <v>0</v>
      </c>
      <c r="BB11" s="41">
        <f t="shared" ca="1" si="18"/>
        <v>1</v>
      </c>
      <c r="BC11" s="41">
        <f t="shared" ca="1" si="19"/>
        <v>1</v>
      </c>
      <c r="BD11" s="41">
        <f t="shared" ca="1" si="20"/>
        <v>1</v>
      </c>
    </row>
    <row r="12" spans="1:82" ht="15" customHeight="1" x14ac:dyDescent="0.3">
      <c r="A12" s="41">
        <v>5</v>
      </c>
      <c r="B12" s="42">
        <f t="shared" ca="1" si="0"/>
        <v>0.36186849306908342</v>
      </c>
      <c r="C12" s="43">
        <f ca="1">IF(B12&lt;=Inputs!$C$40,Inputs!$D$40,IF(B12&lt;=Inputs!$C$41,Inputs!$D$41,Inputs!$D$42))</f>
        <v>1</v>
      </c>
      <c r="D12" s="42">
        <f t="shared" ca="1" si="1"/>
        <v>0.14954551681759221</v>
      </c>
      <c r="E12" s="42">
        <f t="shared" ca="1" si="1"/>
        <v>0.23090636068137238</v>
      </c>
      <c r="F12" s="42">
        <f t="shared" ca="1" si="1"/>
        <v>0.39237309539860998</v>
      </c>
      <c r="G12" s="42">
        <f t="shared" ca="1" si="1"/>
        <v>0.37280775504614083</v>
      </c>
      <c r="H12" s="42">
        <f t="shared" ca="1" si="1"/>
        <v>0.45086367920812864</v>
      </c>
      <c r="I12" s="42">
        <f t="shared" ca="1" si="1"/>
        <v>0.20652804321914442</v>
      </c>
      <c r="J12" s="43">
        <f ca="1">IF(I12&lt;Inputs!$B$54,1+Inputs!$B$55,1)</f>
        <v>1</v>
      </c>
      <c r="K12" s="42">
        <f t="shared" ca="1" si="2"/>
        <v>0.92290393262625947</v>
      </c>
      <c r="L12" s="42">
        <f t="shared" ca="1" si="2"/>
        <v>0.22439445141678382</v>
      </c>
      <c r="M12" s="42">
        <f t="shared" ca="1" si="2"/>
        <v>0.67370105224305787</v>
      </c>
      <c r="N12" s="42">
        <f t="shared" ca="1" si="2"/>
        <v>0.209118021488925</v>
      </c>
      <c r="O12" s="42">
        <f t="shared" ca="1" si="2"/>
        <v>0.14266348333574119</v>
      </c>
      <c r="P12" s="42">
        <f t="shared" ca="1" si="2"/>
        <v>0.85424292161365789</v>
      </c>
      <c r="Q12" s="42">
        <f t="shared" ca="1" si="2"/>
        <v>0.29656512313593963</v>
      </c>
      <c r="R12" s="42">
        <f t="shared" ca="1" si="2"/>
        <v>0.52139679536620931</v>
      </c>
      <c r="S12" s="42">
        <f t="shared" ca="1" si="2"/>
        <v>0.83228852008696297</v>
      </c>
      <c r="T12" s="42">
        <f t="shared" ca="1" si="2"/>
        <v>0.1546942100856149</v>
      </c>
      <c r="U12" s="44">
        <f ca="1">(IF(D12&gt;=Inputs!$E$12,1,IF(K12&lt;=Inputs!$C$46,Inputs!$D$46,IF(K12&lt;=Inputs!$C$47,Inputs!$D$47,Inputs!$D$48))))*((Inputs!$B$28+(P12-0.5)*2*Inputs!$B$53)/Inputs!$B$28)</f>
        <v>1.0035854546722029</v>
      </c>
      <c r="V12" s="44">
        <f ca="1">(IF(E12&gt;=Inputs!$E$13,1,IF(L12&lt;=Inputs!$C$46,Inputs!$D$46,IF(L12&lt;=Inputs!$C$47,Inputs!$D$47,Inputs!$D$48))))*((Inputs!$B$29+(Q12-0.5)*2*Inputs!$B$53)/Inputs!$B$29)</f>
        <v>0.99794924519290262</v>
      </c>
      <c r="W12" s="44">
        <f ca="1">(IF(F12&gt;=Inputs!$E$14,1,IF(M12&lt;=Inputs!$C$46,Inputs!$D$46,IF(M12&lt;=Inputs!$C$47,Inputs!$D$47,Inputs!$D$48))))*((Inputs!$B$30+(R12-0.5)*2*Inputs!$B$53)/Inputs!$B$30)</f>
        <v>1.0002150431695096</v>
      </c>
      <c r="X12" s="44">
        <f ca="1">(IF(G12&gt;=Inputs!$E$15,1,IF(N12&lt;=Inputs!$C$46,Inputs!$D$46,IF(N12&lt;=Inputs!$C$47,Inputs!$D$47,Inputs!$D$48))))*((Inputs!$B$31+(S12-0.5)*2*Inputs!$B$53)/Inputs!$B$31)</f>
        <v>1.0033734875135734</v>
      </c>
      <c r="Y12" s="44">
        <f ca="1">(IF(H12&gt;=Inputs!$E$16,1,IF(O12&lt;=Inputs!$C$46,Inputs!$D$46,IF(O12&lt;=Inputs!$C$47,Inputs!$D$47,Inputs!$D$48))))*((Inputs!$B$32+(T12-0.5)*2*Inputs!$B$53)/Inputs!$B$32)</f>
        <v>0.99652609869301423</v>
      </c>
      <c r="Z12" s="45">
        <f ca="1">ILP_C_HighResilience!$C$9*U12+ILP_C_HighResilience!$C$10*V12+ILP_C_HighResilience!$C$11*W12+ILP_C_HighResilience!$C$12*X12+ILP_C_HighResilience!$C$13*Y12</f>
        <v>18042.72166643204</v>
      </c>
      <c r="AA12" s="45">
        <f ca="1">ILP_C_HighResilience!$D$9*U12+ILP_C_HighResilience!$D$10*V12+ILP_C_HighResilience!$D$11*W12+ILP_C_HighResilience!$D$12*X12+ILP_C_HighResilience!$D$13*Y12</f>
        <v>15004.222872552575</v>
      </c>
      <c r="AB12" s="45">
        <f ca="1">ILP_C_HighResilience!$E$9*U12+ILP_C_HighResilience!$E$10*V12+ILP_C_HighResilience!$E$11*W12+ILP_C_HighResilience!$E$12*X12+ILP_C_HighResilience!$E$13*Y12</f>
        <v>12009.042751523351</v>
      </c>
      <c r="AC12" s="45">
        <f ca="1">Inputs!$B$6*$C12</f>
        <v>18000</v>
      </c>
      <c r="AD12" s="45">
        <f ca="1">Inputs!$B$7*$C12</f>
        <v>15000</v>
      </c>
      <c r="AE12" s="45">
        <f ca="1">Inputs!$B$8*$C12</f>
        <v>12000</v>
      </c>
      <c r="AF12" s="45">
        <f t="shared" ca="1" si="3"/>
        <v>0</v>
      </c>
      <c r="AG12" s="45">
        <f t="shared" ca="1" si="4"/>
        <v>0</v>
      </c>
      <c r="AH12" s="45">
        <f t="shared" ca="1" si="5"/>
        <v>0</v>
      </c>
      <c r="AI12" s="45">
        <f t="shared" ca="1" si="6"/>
        <v>0</v>
      </c>
      <c r="AJ12" s="45">
        <f ca="1">U12*(Inputs!$B$12-ILP_C_HighResilience!$F$9)+V12*(Inputs!$B$13-ILP_C_HighResilience!$F$10)+W12*(Inputs!$B$14-ILP_C_HighResilience!$F$11)+X12*(Inputs!$B$15-ILP_C_HighResilience!$F$12)+Y12*(Inputs!$B$16-ILP_C_HighResilience!$F$13)</f>
        <v>24963.838308709637</v>
      </c>
      <c r="AK12" s="45">
        <f t="shared" ca="1" si="7"/>
        <v>0</v>
      </c>
      <c r="AL12" s="45">
        <f t="shared" ca="1" si="8"/>
        <v>0</v>
      </c>
      <c r="AM12" s="45">
        <f t="shared" ca="1" si="9"/>
        <v>0</v>
      </c>
      <c r="AN12" s="45">
        <f t="shared" ca="1" si="10"/>
        <v>0</v>
      </c>
      <c r="AO12" s="45">
        <f ca="1">MIN(AL12,Inputs!$B$36)</f>
        <v>0</v>
      </c>
      <c r="AP12" s="45">
        <f ca="1">MIN(AN12,Inputs!$B$36-AO12)</f>
        <v>0</v>
      </c>
      <c r="AQ12" s="45">
        <f ca="1">MIN(AM12,Inputs!$B$36-AO12-AP12)</f>
        <v>0</v>
      </c>
      <c r="AR12" s="45">
        <f t="shared" ca="1" si="11"/>
        <v>0</v>
      </c>
      <c r="AS12" s="45">
        <f t="shared" ca="1" si="12"/>
        <v>0</v>
      </c>
      <c r="AT12" s="45">
        <f t="shared" ca="1" si="13"/>
        <v>0</v>
      </c>
      <c r="AU12" s="45">
        <f t="shared" ca="1" si="14"/>
        <v>0</v>
      </c>
      <c r="AV12" s="46">
        <f ca="1">AU12*Inputs!$B$35</f>
        <v>0</v>
      </c>
      <c r="AW12" s="46">
        <f ca="1">AR12*Inputs!$C$6+AT12*Inputs!$C$7+AS12*Inputs!$C$8</f>
        <v>0</v>
      </c>
      <c r="AX12" s="46">
        <f t="shared" ca="1" si="15"/>
        <v>47691200.992173642</v>
      </c>
      <c r="AY12" s="46">
        <f ca="1">IF(J12&gt;1,($CD$4)*Inputs!$B$55*((Z12+AA12+AB12)/(SUM(ILP_C_HighResilience!$C$9:$E$13))),0)</f>
        <v>0</v>
      </c>
      <c r="AZ12" s="46">
        <f t="shared" ca="1" si="16"/>
        <v>0</v>
      </c>
      <c r="BA12" s="41">
        <f t="shared" ca="1" si="17"/>
        <v>0</v>
      </c>
      <c r="BB12" s="41">
        <f t="shared" ca="1" si="18"/>
        <v>1</v>
      </c>
      <c r="BC12" s="41">
        <f t="shared" ca="1" si="19"/>
        <v>1</v>
      </c>
      <c r="BD12" s="41">
        <f t="shared" ca="1" si="20"/>
        <v>1</v>
      </c>
    </row>
    <row r="13" spans="1:82" ht="15" customHeight="1" x14ac:dyDescent="0.3">
      <c r="A13" s="41">
        <v>6</v>
      </c>
      <c r="B13" s="42">
        <f t="shared" ca="1" si="0"/>
        <v>0.94399024365396</v>
      </c>
      <c r="C13" s="43">
        <f ca="1">IF(B13&lt;=Inputs!$C$40,Inputs!$D$40,IF(B13&lt;=Inputs!$C$41,Inputs!$D$41,Inputs!$D$42))</f>
        <v>1.1499999999999999</v>
      </c>
      <c r="D13" s="42">
        <f t="shared" ca="1" si="1"/>
        <v>0.79175762423832996</v>
      </c>
      <c r="E13" s="42">
        <f t="shared" ca="1" si="1"/>
        <v>0.65365317671346967</v>
      </c>
      <c r="F13" s="42">
        <f t="shared" ca="1" si="1"/>
        <v>0.57746121258782313</v>
      </c>
      <c r="G13" s="42">
        <f t="shared" ca="1" si="1"/>
        <v>0.5170139640794793</v>
      </c>
      <c r="H13" s="42">
        <f t="shared" ca="1" si="1"/>
        <v>0.29298181566072334</v>
      </c>
      <c r="I13" s="42">
        <f t="shared" ca="1" si="1"/>
        <v>0.46289351127036427</v>
      </c>
      <c r="J13" s="43">
        <f ca="1">IF(I13&lt;Inputs!$B$54,1+Inputs!$B$55,1)</f>
        <v>1</v>
      </c>
      <c r="K13" s="42">
        <f t="shared" ca="1" si="2"/>
        <v>7.0019690314647609E-2</v>
      </c>
      <c r="L13" s="42">
        <f t="shared" ca="1" si="2"/>
        <v>0.49601780599284051</v>
      </c>
      <c r="M13" s="42">
        <f t="shared" ca="1" si="2"/>
        <v>0.66242615241087188</v>
      </c>
      <c r="N13" s="42">
        <f t="shared" ca="1" si="2"/>
        <v>0.56627119391028846</v>
      </c>
      <c r="O13" s="42">
        <f t="shared" ca="1" si="2"/>
        <v>0.76906078261199551</v>
      </c>
      <c r="P13" s="42">
        <f t="shared" ca="1" si="2"/>
        <v>0.72053370511763348</v>
      </c>
      <c r="Q13" s="42">
        <f t="shared" ca="1" si="2"/>
        <v>0.67846612130532347</v>
      </c>
      <c r="R13" s="42">
        <f t="shared" ca="1" si="2"/>
        <v>0.43007695075899777</v>
      </c>
      <c r="S13" s="42">
        <f t="shared" ca="1" si="2"/>
        <v>0.4738664682598942</v>
      </c>
      <c r="T13" s="42">
        <f t="shared" ca="1" si="2"/>
        <v>0.65271554598169346</v>
      </c>
      <c r="U13" s="44">
        <f ca="1">(IF(D13&gt;=Inputs!$E$12,1,IF(K13&lt;=Inputs!$C$46,Inputs!$D$46,IF(K13&lt;=Inputs!$C$47,Inputs!$D$47,Inputs!$D$48))))*((Inputs!$B$28+(P13-0.5)*2*Inputs!$B$53)/Inputs!$B$28)</f>
        <v>1.0022321225214335</v>
      </c>
      <c r="V13" s="44">
        <f ca="1">(IF(E13&gt;=Inputs!$E$13,1,IF(L13&lt;=Inputs!$C$46,Inputs!$D$46,IF(L13&lt;=Inputs!$C$47,Inputs!$D$47,Inputs!$D$48))))*((Inputs!$B$29+(Q13-0.5)*2*Inputs!$B$53)/Inputs!$B$29)</f>
        <v>1.0017990536421908</v>
      </c>
      <c r="W13" s="44">
        <f ca="1">(IF(F13&gt;=Inputs!$E$14,1,IF(M13&lt;=Inputs!$C$46,Inputs!$D$46,IF(M13&lt;=Inputs!$C$47,Inputs!$D$47,Inputs!$D$48))))*((Inputs!$B$30+(R13-0.5)*2*Inputs!$B$53)/Inputs!$B$30)</f>
        <v>0.99929725578652251</v>
      </c>
      <c r="X13" s="44">
        <f ca="1">(IF(G13&gt;=Inputs!$E$15,1,IF(N13&lt;=Inputs!$C$46,Inputs!$D$46,IF(N13&lt;=Inputs!$C$47,Inputs!$D$47,Inputs!$D$48))))*((Inputs!$B$31+(S13-0.5)*2*Inputs!$B$53)/Inputs!$B$31)</f>
        <v>0.99973468495695328</v>
      </c>
      <c r="Y13" s="44">
        <f ca="1">(IF(H13&gt;=Inputs!$E$16,1,IF(O13&lt;=Inputs!$C$46,Inputs!$D$46,IF(O13&lt;=Inputs!$C$47,Inputs!$D$47,Inputs!$D$48))))*((Inputs!$B$32+(T13-0.5)*2*Inputs!$B$53)/Inputs!$B$32)</f>
        <v>1.0015363737020291</v>
      </c>
      <c r="Z13" s="45">
        <f ca="1">ILP_C_HighResilience!$C$9*U13+ILP_C_HighResilience!$C$10*V13+ILP_C_HighResilience!$C$11*W13+ILP_C_HighResilience!$C$12*X13+ILP_C_HighResilience!$C$13*Y13</f>
        <v>18020.637606956272</v>
      </c>
      <c r="AA13" s="45">
        <f ca="1">ILP_C_HighResilience!$D$9*U13+ILP_C_HighResilience!$D$10*V13+ILP_C_HighResilience!$D$11*W13+ILP_C_HighResilience!$D$12*X13+ILP_C_HighResilience!$D$13*Y13</f>
        <v>15006.490546699239</v>
      </c>
      <c r="AB13" s="45">
        <f ca="1">ILP_C_HighResilience!$E$9*U13+ILP_C_HighResilience!$E$10*V13+ILP_C_HighResilience!$E$11*W13+ILP_C_HighResilience!$E$12*X13+ILP_C_HighResilience!$E$13*Y13</f>
        <v>12016.382138970948</v>
      </c>
      <c r="AC13" s="45">
        <f ca="1">Inputs!$B$6*$C13</f>
        <v>20700</v>
      </c>
      <c r="AD13" s="45">
        <f ca="1">Inputs!$B$7*$C13</f>
        <v>17250</v>
      </c>
      <c r="AE13" s="45">
        <f ca="1">Inputs!$B$8*$C13</f>
        <v>13799.999999999998</v>
      </c>
      <c r="AF13" s="45">
        <f t="shared" ca="1" si="3"/>
        <v>2679.3623930437279</v>
      </c>
      <c r="AG13" s="45">
        <f t="shared" ca="1" si="4"/>
        <v>2243.5094533007614</v>
      </c>
      <c r="AH13" s="45">
        <f t="shared" ca="1" si="5"/>
        <v>1783.6178610290499</v>
      </c>
      <c r="AI13" s="45">
        <f t="shared" ca="1" si="6"/>
        <v>6706.4897073735392</v>
      </c>
      <c r="AJ13" s="45">
        <f ca="1">U13*(Inputs!$B$12-ILP_C_HighResilience!$F$9)+V13*(Inputs!$B$13-ILP_C_HighResilience!$F$10)+W13*(Inputs!$B$14-ILP_C_HighResilience!$F$11)+X13*(Inputs!$B$15-ILP_C_HighResilience!$F$12)+Y13*(Inputs!$B$16-ILP_C_HighResilience!$F$13)</f>
        <v>25028.116568945818</v>
      </c>
      <c r="AK13" s="45">
        <f t="shared" ca="1" si="7"/>
        <v>6706.4897073735392</v>
      </c>
      <c r="AL13" s="45">
        <f t="shared" ca="1" si="8"/>
        <v>0</v>
      </c>
      <c r="AM13" s="45">
        <f t="shared" ca="1" si="9"/>
        <v>0</v>
      </c>
      <c r="AN13" s="45">
        <f t="shared" ca="1" si="10"/>
        <v>0</v>
      </c>
      <c r="AO13" s="45">
        <f ca="1">MIN(AL13,Inputs!$B$36)</f>
        <v>0</v>
      </c>
      <c r="AP13" s="45">
        <f ca="1">MIN(AN13,Inputs!$B$36-AO13)</f>
        <v>0</v>
      </c>
      <c r="AQ13" s="45">
        <f ca="1">MIN(AM13,Inputs!$B$36-AO13-AP13)</f>
        <v>0</v>
      </c>
      <c r="AR13" s="45">
        <f t="shared" ca="1" si="11"/>
        <v>0</v>
      </c>
      <c r="AS13" s="45">
        <f t="shared" ca="1" si="12"/>
        <v>0</v>
      </c>
      <c r="AT13" s="45">
        <f t="shared" ca="1" si="13"/>
        <v>0</v>
      </c>
      <c r="AU13" s="45">
        <f t="shared" ca="1" si="14"/>
        <v>0</v>
      </c>
      <c r="AV13" s="46">
        <f ca="1">AU13*Inputs!$B$35</f>
        <v>0</v>
      </c>
      <c r="AW13" s="46">
        <f ca="1">AR13*Inputs!$C$6+AT13*Inputs!$C$7+AS13*Inputs!$C$8</f>
        <v>0</v>
      </c>
      <c r="AX13" s="46">
        <f t="shared" ca="1" si="15"/>
        <v>47678659.901657775</v>
      </c>
      <c r="AY13" s="46">
        <f ca="1">IF(J13&gt;1,($CD$4)*Inputs!$B$55*((Z13+AA13+AB13)/(SUM(ILP_C_HighResilience!$C$9:$E$13))),0)</f>
        <v>0</v>
      </c>
      <c r="AZ13" s="46">
        <f t="shared" ca="1" si="16"/>
        <v>0</v>
      </c>
      <c r="BA13" s="41">
        <f t="shared" ca="1" si="17"/>
        <v>0</v>
      </c>
      <c r="BB13" s="41">
        <f t="shared" ca="1" si="18"/>
        <v>1</v>
      </c>
      <c r="BC13" s="41">
        <f t="shared" ca="1" si="19"/>
        <v>1</v>
      </c>
      <c r="BD13" s="41">
        <f t="shared" ca="1" si="20"/>
        <v>1</v>
      </c>
    </row>
    <row r="14" spans="1:82" ht="15" customHeight="1" x14ac:dyDescent="0.3">
      <c r="A14" s="41">
        <v>7</v>
      </c>
      <c r="B14" s="42">
        <f t="shared" ca="1" si="0"/>
        <v>0.26498278133667086</v>
      </c>
      <c r="C14" s="43">
        <f ca="1">IF(B14&lt;=Inputs!$C$40,Inputs!$D$40,IF(B14&lt;=Inputs!$C$41,Inputs!$D$41,Inputs!$D$42))</f>
        <v>1</v>
      </c>
      <c r="D14" s="42">
        <f t="shared" ca="1" si="1"/>
        <v>0.15021048194474707</v>
      </c>
      <c r="E14" s="42">
        <f t="shared" ca="1" si="1"/>
        <v>0.74207559546193502</v>
      </c>
      <c r="F14" s="42">
        <f t="shared" ca="1" si="1"/>
        <v>0.16132117040231453</v>
      </c>
      <c r="G14" s="42">
        <f t="shared" ca="1" si="1"/>
        <v>0.58805523644242363</v>
      </c>
      <c r="H14" s="42">
        <f t="shared" ca="1" si="1"/>
        <v>0.85213159518746107</v>
      </c>
      <c r="I14" s="42">
        <f t="shared" ca="1" si="1"/>
        <v>5.4479099959098609E-2</v>
      </c>
      <c r="J14" s="43">
        <f ca="1">IF(I14&lt;Inputs!$B$54,1+Inputs!$B$55,1)</f>
        <v>1.25</v>
      </c>
      <c r="K14" s="42">
        <f t="shared" ca="1" si="2"/>
        <v>0.757268205247705</v>
      </c>
      <c r="L14" s="42">
        <f t="shared" ca="1" si="2"/>
        <v>0.46789380450060769</v>
      </c>
      <c r="M14" s="42">
        <f t="shared" ca="1" si="2"/>
        <v>4.9735293721798191E-2</v>
      </c>
      <c r="N14" s="42">
        <f t="shared" ca="1" si="2"/>
        <v>0.66873789877714807</v>
      </c>
      <c r="O14" s="42">
        <f t="shared" ca="1" si="2"/>
        <v>0.23501458849828172</v>
      </c>
      <c r="P14" s="42">
        <f t="shared" ca="1" si="2"/>
        <v>0.64639066942463907</v>
      </c>
      <c r="Q14" s="42">
        <f t="shared" ca="1" si="2"/>
        <v>0.46322352642455511</v>
      </c>
      <c r="R14" s="42">
        <f t="shared" ca="1" si="2"/>
        <v>0.66788106864953167</v>
      </c>
      <c r="S14" s="42">
        <f t="shared" ca="1" si="2"/>
        <v>0.64695905059964465</v>
      </c>
      <c r="T14" s="42">
        <f t="shared" ca="1" si="2"/>
        <v>0.79921338785564544</v>
      </c>
      <c r="U14" s="44">
        <f ca="1">(IF(D14&gt;=Inputs!$E$12,1,IF(K14&lt;=Inputs!$C$46,Inputs!$D$46,IF(K14&lt;=Inputs!$C$47,Inputs!$D$47,Inputs!$D$48))))*((Inputs!$B$28+(P14-0.5)*2*Inputs!$B$53)/Inputs!$B$28)</f>
        <v>1.0014816869374963</v>
      </c>
      <c r="V14" s="44">
        <f ca="1">(IF(E14&gt;=Inputs!$E$13,1,IF(L14&lt;=Inputs!$C$46,Inputs!$D$46,IF(L14&lt;=Inputs!$C$47,Inputs!$D$47,Inputs!$D$48))))*((Inputs!$B$29+(Q14-0.5)*2*Inputs!$B$53)/Inputs!$B$29)</f>
        <v>0.9996292694196024</v>
      </c>
      <c r="W14" s="44">
        <f ca="1">(IF(F14&gt;=Inputs!$E$14,1,IF(M14&lt;=Inputs!$C$46,Inputs!$D$46,IF(M14&lt;=Inputs!$C$47,Inputs!$D$47,Inputs!$D$48))))*((Inputs!$B$30+(R14-0.5)*2*Inputs!$B$53)/Inputs!$B$30)</f>
        <v>1.0016872469211009</v>
      </c>
      <c r="X14" s="44">
        <f ca="1">(IF(G14&gt;=Inputs!$E$15,1,IF(N14&lt;=Inputs!$C$46,Inputs!$D$46,IF(N14&lt;=Inputs!$C$47,Inputs!$D$47,Inputs!$D$48))))*((Inputs!$B$31+(S14-0.5)*2*Inputs!$B$53)/Inputs!$B$31)</f>
        <v>1.0014919700568492</v>
      </c>
      <c r="Y14" s="44">
        <f ca="1">(IF(H14&gt;=Inputs!$E$16,1,IF(O14&lt;=Inputs!$C$46,Inputs!$D$46,IF(O14&lt;=Inputs!$C$47,Inputs!$D$47,Inputs!$D$48))))*((Inputs!$B$32+(T14-0.5)*2*Inputs!$B$53)/Inputs!$B$32)</f>
        <v>1.0030101950488495</v>
      </c>
      <c r="Z14" s="45">
        <f ca="1">ILP_C_HighResilience!$C$9*U14+ILP_C_HighResilience!$C$10*V14+ILP_C_HighResilience!$C$11*W14+ILP_C_HighResilience!$C$12*X14+ILP_C_HighResilience!$C$13*Y14</f>
        <v>18020.075700269856</v>
      </c>
      <c r="AA14" s="45">
        <f ca="1">ILP_C_HighResilience!$D$9*U14+ILP_C_HighResilience!$D$10*V14+ILP_C_HighResilience!$D$11*W14+ILP_C_HighResilience!$D$12*X14+ILP_C_HighResilience!$D$13*Y14</f>
        <v>15012.058659694678</v>
      </c>
      <c r="AB14" s="45">
        <f ca="1">ILP_C_HighResilience!$E$9*U14+ILP_C_HighResilience!$E$10*V14+ILP_C_HighResilience!$E$11*W14+ILP_C_HighResilience!$E$12*X14+ILP_C_HighResilience!$E$13*Y14</f>
        <v>12010.435667605485</v>
      </c>
      <c r="AC14" s="45">
        <f ca="1">Inputs!$B$6*$C14</f>
        <v>18000</v>
      </c>
      <c r="AD14" s="45">
        <f ca="1">Inputs!$B$7*$C14</f>
        <v>15000</v>
      </c>
      <c r="AE14" s="45">
        <f ca="1">Inputs!$B$8*$C14</f>
        <v>12000</v>
      </c>
      <c r="AF14" s="45">
        <f t="shared" ca="1" si="3"/>
        <v>0</v>
      </c>
      <c r="AG14" s="45">
        <f t="shared" ca="1" si="4"/>
        <v>0</v>
      </c>
      <c r="AH14" s="45">
        <f t="shared" ca="1" si="5"/>
        <v>0</v>
      </c>
      <c r="AI14" s="45">
        <f t="shared" ca="1" si="6"/>
        <v>0</v>
      </c>
      <c r="AJ14" s="45">
        <f ca="1">U14*(Inputs!$B$12-ILP_C_HighResilience!$F$9)+V14*(Inputs!$B$13-ILP_C_HighResilience!$F$10)+W14*(Inputs!$B$14-ILP_C_HighResilience!$F$11)+X14*(Inputs!$B$15-ILP_C_HighResilience!$F$12)+Y14*(Inputs!$B$16-ILP_C_HighResilience!$F$13)</f>
        <v>25060.937511693599</v>
      </c>
      <c r="AK14" s="45">
        <f t="shared" ca="1" si="7"/>
        <v>0</v>
      </c>
      <c r="AL14" s="45">
        <f t="shared" ca="1" si="8"/>
        <v>0</v>
      </c>
      <c r="AM14" s="45">
        <f t="shared" ca="1" si="9"/>
        <v>0</v>
      </c>
      <c r="AN14" s="45">
        <f t="shared" ca="1" si="10"/>
        <v>0</v>
      </c>
      <c r="AO14" s="45">
        <f ca="1">MIN(AL14,Inputs!$B$36)</f>
        <v>0</v>
      </c>
      <c r="AP14" s="45">
        <f ca="1">MIN(AN14,Inputs!$B$36-AO14)</f>
        <v>0</v>
      </c>
      <c r="AQ14" s="45">
        <f ca="1">MIN(AM14,Inputs!$B$36-AO14-AP14)</f>
        <v>0</v>
      </c>
      <c r="AR14" s="45">
        <f t="shared" ca="1" si="11"/>
        <v>0</v>
      </c>
      <c r="AS14" s="45">
        <f t="shared" ca="1" si="12"/>
        <v>0</v>
      </c>
      <c r="AT14" s="45">
        <f t="shared" ca="1" si="13"/>
        <v>0</v>
      </c>
      <c r="AU14" s="45">
        <f t="shared" ca="1" si="14"/>
        <v>0</v>
      </c>
      <c r="AV14" s="46">
        <f ca="1">AU14*Inputs!$B$35</f>
        <v>0</v>
      </c>
      <c r="AW14" s="46">
        <f ca="1">AR14*Inputs!$C$6+AT14*Inputs!$C$7+AS14*Inputs!$C$8</f>
        <v>0</v>
      </c>
      <c r="AX14" s="46">
        <f t="shared" ca="1" si="15"/>
        <v>47677417.534535103</v>
      </c>
      <c r="AY14" s="46">
        <f ca="1">IF(J14&gt;1,($CD$4)*Inputs!$B$55*((Z14+AA14+AB14)/(SUM(ILP_C_HighResilience!$C$9:$E$13))),0)</f>
        <v>601613.58893824054</v>
      </c>
      <c r="AZ14" s="46">
        <f t="shared" ca="1" si="16"/>
        <v>0</v>
      </c>
      <c r="BA14" s="41">
        <f t="shared" ca="1" si="17"/>
        <v>0</v>
      </c>
      <c r="BB14" s="41">
        <f t="shared" ca="1" si="18"/>
        <v>1</v>
      </c>
      <c r="BC14" s="41">
        <f t="shared" ca="1" si="19"/>
        <v>1</v>
      </c>
      <c r="BD14" s="41">
        <f t="shared" ca="1" si="20"/>
        <v>1</v>
      </c>
    </row>
    <row r="15" spans="1:82" ht="15" customHeight="1" x14ac:dyDescent="0.3">
      <c r="A15" s="41">
        <v>8</v>
      </c>
      <c r="B15" s="42">
        <f t="shared" ca="1" si="0"/>
        <v>0.2463368888846863</v>
      </c>
      <c r="C15" s="43">
        <f ca="1">IF(B15&lt;=Inputs!$C$40,Inputs!$D$40,IF(B15&lt;=Inputs!$C$41,Inputs!$D$41,Inputs!$D$42))</f>
        <v>1</v>
      </c>
      <c r="D15" s="42">
        <f t="shared" ca="1" si="1"/>
        <v>0.53896919520707565</v>
      </c>
      <c r="E15" s="42">
        <f t="shared" ca="1" si="1"/>
        <v>1.1897275374106675E-2</v>
      </c>
      <c r="F15" s="42">
        <f t="shared" ca="1" si="1"/>
        <v>0.92246354486036863</v>
      </c>
      <c r="G15" s="42">
        <f t="shared" ca="1" si="1"/>
        <v>0.60957526571991605</v>
      </c>
      <c r="H15" s="42">
        <f t="shared" ca="1" si="1"/>
        <v>0.89236733831609438</v>
      </c>
      <c r="I15" s="42">
        <f t="shared" ca="1" si="1"/>
        <v>1.2037078401828105E-2</v>
      </c>
      <c r="J15" s="43">
        <f ca="1">IF(I15&lt;Inputs!$B$54,1+Inputs!$B$55,1)</f>
        <v>1.25</v>
      </c>
      <c r="K15" s="42">
        <f t="shared" ca="1" si="2"/>
        <v>0.64358590816999117</v>
      </c>
      <c r="L15" s="42">
        <f t="shared" ca="1" si="2"/>
        <v>0.97246736050678118</v>
      </c>
      <c r="M15" s="42">
        <f t="shared" ca="1" si="2"/>
        <v>0.2604144376676063</v>
      </c>
      <c r="N15" s="42">
        <f t="shared" ca="1" si="2"/>
        <v>0.44433257231505396</v>
      </c>
      <c r="O15" s="42">
        <f t="shared" ca="1" si="2"/>
        <v>0.12411297105864205</v>
      </c>
      <c r="P15" s="42">
        <f t="shared" ca="1" si="2"/>
        <v>0.96296952669775226</v>
      </c>
      <c r="Q15" s="42">
        <f t="shared" ca="1" si="2"/>
        <v>0.78133580932463009</v>
      </c>
      <c r="R15" s="42">
        <f t="shared" ca="1" si="2"/>
        <v>0.25234868998248461</v>
      </c>
      <c r="S15" s="42">
        <f t="shared" ca="1" si="2"/>
        <v>0.58825121610976683</v>
      </c>
      <c r="T15" s="42">
        <f t="shared" ca="1" si="2"/>
        <v>0.38331034230634631</v>
      </c>
      <c r="U15" s="44">
        <f ca="1">(IF(D15&gt;=Inputs!$E$12,1,IF(K15&lt;=Inputs!$C$46,Inputs!$D$46,IF(K15&lt;=Inputs!$C$47,Inputs!$D$47,Inputs!$D$48))))*((Inputs!$B$28+(P15-0.5)*2*Inputs!$B$53)/Inputs!$B$28)</f>
        <v>1.0046859263835806</v>
      </c>
      <c r="V15" s="44">
        <f ca="1">(IF(E15&gt;=Inputs!$E$13,1,IF(L15&lt;=Inputs!$C$46,Inputs!$D$46,IF(L15&lt;=Inputs!$C$47,Inputs!$D$47,Inputs!$D$48))))*((Inputs!$B$29+(Q15-0.5)*2*Inputs!$B$53)/Inputs!$B$29)</f>
        <v>0</v>
      </c>
      <c r="W15" s="44">
        <f ca="1">(IF(F15&gt;=Inputs!$E$14,1,IF(M15&lt;=Inputs!$C$46,Inputs!$D$46,IF(M15&lt;=Inputs!$C$47,Inputs!$D$47,Inputs!$D$48))))*((Inputs!$B$30+(R15-0.5)*2*Inputs!$B$53)/Inputs!$B$30)</f>
        <v>0.99751104211037678</v>
      </c>
      <c r="X15" s="44">
        <f ca="1">(IF(G15&gt;=Inputs!$E$15,1,IF(N15&lt;=Inputs!$C$46,Inputs!$D$46,IF(N15&lt;=Inputs!$C$47,Inputs!$D$47,Inputs!$D$48))))*((Inputs!$B$31+(S15-0.5)*2*Inputs!$B$53)/Inputs!$B$31)</f>
        <v>1.0008959514325866</v>
      </c>
      <c r="Y15" s="44">
        <f ca="1">(IF(H15&gt;=Inputs!$E$16,1,IF(O15&lt;=Inputs!$C$46,Inputs!$D$46,IF(O15&lt;=Inputs!$C$47,Inputs!$D$47,Inputs!$D$48))))*((Inputs!$B$32+(T15-0.5)*2*Inputs!$B$53)/Inputs!$B$32)</f>
        <v>0.99882605978175398</v>
      </c>
      <c r="Z15" s="45">
        <f ca="1">ILP_C_HighResilience!$C$9*U15+ILP_C_HighResilience!$C$10*V15+ILP_C_HighResilience!$C$11*W15+ILP_C_HighResilience!$C$12*X15+ILP_C_HighResilience!$C$13*Y15</f>
        <v>14440.189520276403</v>
      </c>
      <c r="AA15" s="45">
        <f ca="1">ILP_C_HighResilience!$D$9*U15+ILP_C_HighResilience!$D$10*V15+ILP_C_HighResilience!$D$11*W15+ILP_C_HighResilience!$D$12*X15+ILP_C_HighResilience!$D$13*Y15</f>
        <v>8993.2376600620009</v>
      </c>
      <c r="AB15" s="45">
        <f ca="1">ILP_C_HighResilience!$E$9*U15+ILP_C_HighResilience!$E$10*V15+ILP_C_HighResilience!$E$11*W15+ILP_C_HighResilience!$E$12*X15+ILP_C_HighResilience!$E$13*Y15</f>
        <v>7727.2446012666041</v>
      </c>
      <c r="AC15" s="45">
        <f ca="1">Inputs!$B$6*$C15</f>
        <v>18000</v>
      </c>
      <c r="AD15" s="45">
        <f ca="1">Inputs!$B$7*$C15</f>
        <v>15000</v>
      </c>
      <c r="AE15" s="45">
        <f ca="1">Inputs!$B$8*$C15</f>
        <v>12000</v>
      </c>
      <c r="AF15" s="45">
        <f t="shared" ca="1" si="3"/>
        <v>3559.8104797235974</v>
      </c>
      <c r="AG15" s="45">
        <f t="shared" ca="1" si="4"/>
        <v>6006.7623399379991</v>
      </c>
      <c r="AH15" s="45">
        <f t="shared" ca="1" si="5"/>
        <v>4272.7553987333959</v>
      </c>
      <c r="AI15" s="45">
        <f t="shared" ca="1" si="6"/>
        <v>13839.328218394992</v>
      </c>
      <c r="AJ15" s="45">
        <f ca="1">U15*(Inputs!$B$12-ILP_C_HighResilience!$F$9)+V15*(Inputs!$B$13-ILP_C_HighResilience!$F$10)+W15*(Inputs!$B$14-ILP_C_HighResilience!$F$11)+X15*(Inputs!$B$15-ILP_C_HighResilience!$F$12)+Y15*(Inputs!$B$16-ILP_C_HighResilience!$F$13)</f>
        <v>24875.08890188453</v>
      </c>
      <c r="AK15" s="45">
        <f t="shared" ca="1" si="7"/>
        <v>13839.328218394992</v>
      </c>
      <c r="AL15" s="45">
        <f t="shared" ca="1" si="8"/>
        <v>0</v>
      </c>
      <c r="AM15" s="45">
        <f t="shared" ca="1" si="9"/>
        <v>0</v>
      </c>
      <c r="AN15" s="45">
        <f t="shared" ca="1" si="10"/>
        <v>0</v>
      </c>
      <c r="AO15" s="45">
        <f ca="1">MIN(AL15,Inputs!$B$36)</f>
        <v>0</v>
      </c>
      <c r="AP15" s="45">
        <f ca="1">MIN(AN15,Inputs!$B$36-AO15)</f>
        <v>0</v>
      </c>
      <c r="AQ15" s="45">
        <f ca="1">MIN(AM15,Inputs!$B$36-AO15-AP15)</f>
        <v>0</v>
      </c>
      <c r="AR15" s="45">
        <f t="shared" ca="1" si="11"/>
        <v>0</v>
      </c>
      <c r="AS15" s="45">
        <f t="shared" ca="1" si="12"/>
        <v>0</v>
      </c>
      <c r="AT15" s="45">
        <f t="shared" ca="1" si="13"/>
        <v>0</v>
      </c>
      <c r="AU15" s="45">
        <f t="shared" ca="1" si="14"/>
        <v>0</v>
      </c>
      <c r="AV15" s="46">
        <f ca="1">AU15*Inputs!$B$35</f>
        <v>0</v>
      </c>
      <c r="AW15" s="46">
        <f ca="1">AR15*Inputs!$C$6+AT15*Inputs!$C$7+AS15*Inputs!$C$8</f>
        <v>0</v>
      </c>
      <c r="AX15" s="46">
        <f t="shared" ca="1" si="15"/>
        <v>32935039.909566194</v>
      </c>
      <c r="AY15" s="46">
        <f ca="1">IF(J15&gt;1,($CD$4)*Inputs!$B$55*((Z15+AA15+AB15)/(SUM(ILP_C_HighResilience!$C$9:$E$13))),0)</f>
        <v>416199.24379943957</v>
      </c>
      <c r="AZ15" s="46">
        <f t="shared" ca="1" si="16"/>
        <v>0</v>
      </c>
      <c r="BA15" s="41">
        <f t="shared" ca="1" si="17"/>
        <v>0</v>
      </c>
      <c r="BB15" s="41">
        <f t="shared" ca="1" si="18"/>
        <v>1</v>
      </c>
      <c r="BC15" s="41">
        <f t="shared" ca="1" si="19"/>
        <v>1</v>
      </c>
      <c r="BD15" s="41">
        <f t="shared" ca="1" si="20"/>
        <v>1</v>
      </c>
    </row>
    <row r="16" spans="1:82" ht="15" customHeight="1" x14ac:dyDescent="0.3">
      <c r="A16" s="41">
        <v>9</v>
      </c>
      <c r="B16" s="42">
        <f t="shared" ca="1" si="0"/>
        <v>0.10483914609148193</v>
      </c>
      <c r="C16" s="43">
        <f ca="1">IF(B16&lt;=Inputs!$C$40,Inputs!$D$40,IF(B16&lt;=Inputs!$C$41,Inputs!$D$41,Inputs!$D$42))</f>
        <v>0.9</v>
      </c>
      <c r="D16" s="42">
        <f t="shared" ca="1" si="1"/>
        <v>0.17043010905065892</v>
      </c>
      <c r="E16" s="42">
        <f t="shared" ca="1" si="1"/>
        <v>0.83268040124508302</v>
      </c>
      <c r="F16" s="42">
        <f t="shared" ca="1" si="1"/>
        <v>0.41522718716024987</v>
      </c>
      <c r="G16" s="42">
        <f t="shared" ca="1" si="1"/>
        <v>0.25108511432002067</v>
      </c>
      <c r="H16" s="42">
        <f t="shared" ca="1" si="1"/>
        <v>0.15388699780810422</v>
      </c>
      <c r="I16" s="42">
        <f t="shared" ca="1" si="1"/>
        <v>0.14944894168852862</v>
      </c>
      <c r="J16" s="43">
        <f ca="1">IF(I16&lt;Inputs!$B$54,1+Inputs!$B$55,1)</f>
        <v>1</v>
      </c>
      <c r="K16" s="42">
        <f t="shared" ca="1" si="2"/>
        <v>0.86343237458800204</v>
      </c>
      <c r="L16" s="42">
        <f t="shared" ca="1" si="2"/>
        <v>0.92799282224569535</v>
      </c>
      <c r="M16" s="42">
        <f t="shared" ca="1" si="2"/>
        <v>0.91939932294474314</v>
      </c>
      <c r="N16" s="42">
        <f t="shared" ca="1" si="2"/>
        <v>0.92773588977127042</v>
      </c>
      <c r="O16" s="42">
        <f t="shared" ca="1" si="2"/>
        <v>0.34978104164757118</v>
      </c>
      <c r="P16" s="42">
        <f t="shared" ca="1" si="2"/>
        <v>0.3343976239555505</v>
      </c>
      <c r="Q16" s="42">
        <f t="shared" ca="1" si="2"/>
        <v>0.69721459323346202</v>
      </c>
      <c r="R16" s="42">
        <f t="shared" ca="1" si="2"/>
        <v>0.61229025141150228</v>
      </c>
      <c r="S16" s="42">
        <f t="shared" ca="1" si="2"/>
        <v>0.93467994557424239</v>
      </c>
      <c r="T16" s="42">
        <f t="shared" ca="1" si="2"/>
        <v>0.15401643931212294</v>
      </c>
      <c r="U16" s="44">
        <f ca="1">(IF(D16&gt;=Inputs!$E$12,1,IF(K16&lt;=Inputs!$C$46,Inputs!$D$46,IF(K16&lt;=Inputs!$C$47,Inputs!$D$47,Inputs!$D$48))))*((Inputs!$B$28+(P16-0.5)*2*Inputs!$B$53)/Inputs!$B$28)</f>
        <v>0.99832386259064321</v>
      </c>
      <c r="V16" s="44">
        <f ca="1">(IF(E16&gt;=Inputs!$E$13,1,IF(L16&lt;=Inputs!$C$46,Inputs!$D$46,IF(L16&lt;=Inputs!$C$47,Inputs!$D$47,Inputs!$D$48))))*((Inputs!$B$29+(Q16-0.5)*2*Inputs!$B$53)/Inputs!$B$29)</f>
        <v>1.0019880503350147</v>
      </c>
      <c r="W16" s="44">
        <f ca="1">(IF(F16&gt;=Inputs!$E$14,1,IF(M16&lt;=Inputs!$C$46,Inputs!$D$46,IF(M16&lt;=Inputs!$C$47,Inputs!$D$47,Inputs!$D$48))))*((Inputs!$B$30+(R16-0.5)*2*Inputs!$B$53)/Inputs!$B$30)</f>
        <v>1.0011285452403167</v>
      </c>
      <c r="X16" s="44">
        <f ca="1">(IF(G16&gt;=Inputs!$E$15,1,IF(N16&lt;=Inputs!$C$46,Inputs!$D$46,IF(N16&lt;=Inputs!$C$47,Inputs!$D$47,Inputs!$D$48))))*((Inputs!$B$31+(S16-0.5)*2*Inputs!$B$53)/Inputs!$B$31)</f>
        <v>1.004412994371312</v>
      </c>
      <c r="Y16" s="44">
        <f ca="1">(IF(H16&gt;=Inputs!$E$16,1,IF(O16&lt;=Inputs!$C$46,Inputs!$D$46,IF(O16&lt;=Inputs!$C$47,Inputs!$D$47,Inputs!$D$48))))*((Inputs!$B$32+(T16-0.5)*2*Inputs!$B$53)/Inputs!$B$32)</f>
        <v>0.99651928007356261</v>
      </c>
      <c r="Z16" s="45">
        <f ca="1">ILP_C_HighResilience!$C$9*U16+ILP_C_HighResilience!$C$10*V16+ILP_C_HighResilience!$C$11*W16+ILP_C_HighResilience!$C$12*X16+ILP_C_HighResilience!$C$13*Y16</f>
        <v>18026.862351332129</v>
      </c>
      <c r="AA16" s="45">
        <f ca="1">ILP_C_HighResilience!$D$9*U16+ILP_C_HighResilience!$D$10*V16+ILP_C_HighResilience!$D$11*W16+ILP_C_HighResilience!$D$12*X16+ILP_C_HighResilience!$D$13*Y16</f>
        <v>15037.259364158137</v>
      </c>
      <c r="AB16" s="45">
        <f ca="1">ILP_C_HighResilience!$E$9*U16+ILP_C_HighResilience!$E$10*V16+ILP_C_HighResilience!$E$11*W16+ILP_C_HighResilience!$E$12*X16+ILP_C_HighResilience!$E$13*Y16</f>
        <v>12003.765624011434</v>
      </c>
      <c r="AC16" s="45">
        <f ca="1">Inputs!$B$6*$C16</f>
        <v>16200</v>
      </c>
      <c r="AD16" s="45">
        <f ca="1">Inputs!$B$7*$C16</f>
        <v>13500</v>
      </c>
      <c r="AE16" s="45">
        <f ca="1">Inputs!$B$8*$C16</f>
        <v>10800</v>
      </c>
      <c r="AF16" s="45">
        <f t="shared" ca="1" si="3"/>
        <v>0</v>
      </c>
      <c r="AG16" s="45">
        <f t="shared" ca="1" si="4"/>
        <v>0</v>
      </c>
      <c r="AH16" s="45">
        <f t="shared" ca="1" si="5"/>
        <v>0</v>
      </c>
      <c r="AI16" s="45">
        <f t="shared" ca="1" si="6"/>
        <v>0</v>
      </c>
      <c r="AJ16" s="45">
        <f ca="1">U16*(Inputs!$B$12-ILP_C_HighResilience!$F$9)+V16*(Inputs!$B$13-ILP_C_HighResilience!$F$10)+W16*(Inputs!$B$14-ILP_C_HighResilience!$F$11)+X16*(Inputs!$B$15-ILP_C_HighResilience!$F$12)+Y16*(Inputs!$B$16-ILP_C_HighResilience!$F$13)</f>
        <v>24948.543388322098</v>
      </c>
      <c r="AK16" s="45">
        <f t="shared" ca="1" si="7"/>
        <v>0</v>
      </c>
      <c r="AL16" s="45">
        <f t="shared" ca="1" si="8"/>
        <v>0</v>
      </c>
      <c r="AM16" s="45">
        <f t="shared" ca="1" si="9"/>
        <v>0</v>
      </c>
      <c r="AN16" s="45">
        <f t="shared" ca="1" si="10"/>
        <v>0</v>
      </c>
      <c r="AO16" s="45">
        <f ca="1">MIN(AL16,Inputs!$B$36)</f>
        <v>0</v>
      </c>
      <c r="AP16" s="45">
        <f ca="1">MIN(AN16,Inputs!$B$36-AO16)</f>
        <v>0</v>
      </c>
      <c r="AQ16" s="45">
        <f ca="1">MIN(AM16,Inputs!$B$36-AO16-AP16)</f>
        <v>0</v>
      </c>
      <c r="AR16" s="45">
        <f t="shared" ca="1" si="11"/>
        <v>0</v>
      </c>
      <c r="AS16" s="45">
        <f t="shared" ca="1" si="12"/>
        <v>0</v>
      </c>
      <c r="AT16" s="45">
        <f t="shared" ca="1" si="13"/>
        <v>0</v>
      </c>
      <c r="AU16" s="45">
        <f t="shared" ca="1" si="14"/>
        <v>0</v>
      </c>
      <c r="AV16" s="46">
        <f ca="1">AU16*Inputs!$B$35</f>
        <v>0</v>
      </c>
      <c r="AW16" s="46">
        <f ca="1">AR16*Inputs!$C$6+AT16*Inputs!$C$7+AS16*Inputs!$C$8</f>
        <v>0</v>
      </c>
      <c r="AX16" s="46">
        <f t="shared" ca="1" si="15"/>
        <v>47703667.403551735</v>
      </c>
      <c r="AY16" s="46">
        <f ca="1">IF(J16&gt;1,($CD$4)*Inputs!$B$55*((Z16+AA16+AB16)/(SUM(ILP_C_HighResilience!$C$9:$E$13))),0)</f>
        <v>0</v>
      </c>
      <c r="AZ16" s="46">
        <f t="shared" ca="1" si="16"/>
        <v>0</v>
      </c>
      <c r="BA16" s="41">
        <f t="shared" ca="1" si="17"/>
        <v>0</v>
      </c>
      <c r="BB16" s="41">
        <f t="shared" ca="1" si="18"/>
        <v>1</v>
      </c>
      <c r="BC16" s="41">
        <f t="shared" ca="1" si="19"/>
        <v>1</v>
      </c>
      <c r="BD16" s="41">
        <f t="shared" ca="1" si="20"/>
        <v>1</v>
      </c>
    </row>
    <row r="17" spans="1:56" ht="15" customHeight="1" x14ac:dyDescent="0.3">
      <c r="A17" s="41">
        <v>10</v>
      </c>
      <c r="B17" s="42">
        <f t="shared" ca="1" si="0"/>
        <v>0.15721309092846358</v>
      </c>
      <c r="C17" s="43">
        <f ca="1">IF(B17&lt;=Inputs!$C$40,Inputs!$D$40,IF(B17&lt;=Inputs!$C$41,Inputs!$D$41,Inputs!$D$42))</f>
        <v>0.9</v>
      </c>
      <c r="D17" s="42">
        <f t="shared" ca="1" si="1"/>
        <v>0.87979274022359522</v>
      </c>
      <c r="E17" s="42">
        <f t="shared" ca="1" si="1"/>
        <v>0.31022177074179613</v>
      </c>
      <c r="F17" s="42">
        <f t="shared" ca="1" si="1"/>
        <v>0.33072695432668642</v>
      </c>
      <c r="G17" s="42">
        <f t="shared" ca="1" si="1"/>
        <v>0.14655668986936632</v>
      </c>
      <c r="H17" s="42">
        <f t="shared" ca="1" si="1"/>
        <v>0.20118491874789479</v>
      </c>
      <c r="I17" s="42">
        <f t="shared" ca="1" si="1"/>
        <v>0.66622571688957555</v>
      </c>
      <c r="J17" s="43">
        <f ca="1">IF(I17&lt;Inputs!$B$54,1+Inputs!$B$55,1)</f>
        <v>1</v>
      </c>
      <c r="K17" s="42">
        <f t="shared" ca="1" si="2"/>
        <v>0.61862221507519033</v>
      </c>
      <c r="L17" s="42">
        <f t="shared" ca="1" si="2"/>
        <v>0.59406666247971451</v>
      </c>
      <c r="M17" s="42">
        <f t="shared" ca="1" si="2"/>
        <v>0.45584698259347234</v>
      </c>
      <c r="N17" s="42">
        <f t="shared" ca="1" si="2"/>
        <v>0.30989998999866597</v>
      </c>
      <c r="O17" s="42">
        <f t="shared" ca="1" si="2"/>
        <v>0.3098818784121361</v>
      </c>
      <c r="P17" s="42">
        <f t="shared" ca="1" si="2"/>
        <v>0.7720887261939624</v>
      </c>
      <c r="Q17" s="42">
        <f t="shared" ca="1" si="2"/>
        <v>0.3227904417128219</v>
      </c>
      <c r="R17" s="42">
        <f t="shared" ca="1" si="2"/>
        <v>0.83248347456110194</v>
      </c>
      <c r="S17" s="42">
        <f t="shared" ca="1" si="2"/>
        <v>6.0918968841606524E-2</v>
      </c>
      <c r="T17" s="42">
        <f t="shared" ca="1" si="2"/>
        <v>0.21249074776349697</v>
      </c>
      <c r="U17" s="44">
        <f ca="1">(IF(D17&gt;=Inputs!$E$12,1,IF(K17&lt;=Inputs!$C$46,Inputs!$D$46,IF(K17&lt;=Inputs!$C$47,Inputs!$D$47,Inputs!$D$48))))*((Inputs!$B$28+(P17-0.5)*2*Inputs!$B$53)/Inputs!$B$28)</f>
        <v>1.0027539344756473</v>
      </c>
      <c r="V17" s="44">
        <f ca="1">(IF(E17&gt;=Inputs!$E$13,1,IF(L17&lt;=Inputs!$C$46,Inputs!$D$46,IF(L17&lt;=Inputs!$C$47,Inputs!$D$47,Inputs!$D$48))))*((Inputs!$B$29+(Q17-0.5)*2*Inputs!$B$53)/Inputs!$B$29)</f>
        <v>0.99821361332371794</v>
      </c>
      <c r="W17" s="44">
        <f ca="1">(IF(F17&gt;=Inputs!$E$14,1,IF(M17&lt;=Inputs!$C$46,Inputs!$D$46,IF(M17&lt;=Inputs!$C$47,Inputs!$D$47,Inputs!$D$48))))*((Inputs!$B$30+(R17-0.5)*2*Inputs!$B$53)/Inputs!$B$30)</f>
        <v>1.0033415424579006</v>
      </c>
      <c r="X17" s="44">
        <f ca="1">(IF(G17&gt;=Inputs!$E$15,1,IF(N17&lt;=Inputs!$C$46,Inputs!$D$46,IF(N17&lt;=Inputs!$C$47,Inputs!$D$47,Inputs!$D$48))))*((Inputs!$B$31+(S17-0.5)*2*Inputs!$B$53)/Inputs!$B$31)</f>
        <v>0.59732539473406054</v>
      </c>
      <c r="Y17" s="44">
        <f ca="1">(IF(H17&gt;=Inputs!$E$16,1,IF(O17&lt;=Inputs!$C$46,Inputs!$D$46,IF(O17&lt;=Inputs!$C$47,Inputs!$D$47,Inputs!$D$48))))*((Inputs!$B$32+(T17-0.5)*2*Inputs!$B$53)/Inputs!$B$32)</f>
        <v>0.99710755279440133</v>
      </c>
      <c r="Z17" s="45">
        <f ca="1">ILP_C_HighResilience!$C$9*U17+ILP_C_HighResilience!$C$10*V17+ILP_C_HighResilience!$C$11*W17+ILP_C_HighResilience!$C$12*X17+ILP_C_HighResilience!$C$13*Y17</f>
        <v>15114.14017827528</v>
      </c>
      <c r="AA17" s="45">
        <f ca="1">ILP_C_HighResilience!$D$9*U17+ILP_C_HighResilience!$D$10*V17+ILP_C_HighResilience!$D$11*W17+ILP_C_HighResilience!$D$12*X17+ILP_C_HighResilience!$D$13*Y17</f>
        <v>13143.560959579274</v>
      </c>
      <c r="AB17" s="45">
        <f ca="1">ILP_C_HighResilience!$E$9*U17+ILP_C_HighResilience!$E$10*V17+ILP_C_HighResilience!$E$11*W17+ILP_C_HighResilience!$E$12*X17+ILP_C_HighResilience!$E$13*Y17</f>
        <v>12015.289431052617</v>
      </c>
      <c r="AC17" s="45">
        <f ca="1">Inputs!$B$6*$C17</f>
        <v>16200</v>
      </c>
      <c r="AD17" s="45">
        <f ca="1">Inputs!$B$7*$C17</f>
        <v>13500</v>
      </c>
      <c r="AE17" s="45">
        <f ca="1">Inputs!$B$8*$C17</f>
        <v>10800</v>
      </c>
      <c r="AF17" s="45">
        <f t="shared" ca="1" si="3"/>
        <v>1085.8598217247199</v>
      </c>
      <c r="AG17" s="45">
        <f t="shared" ca="1" si="4"/>
        <v>356.43904042072609</v>
      </c>
      <c r="AH17" s="45">
        <f t="shared" ca="1" si="5"/>
        <v>0</v>
      </c>
      <c r="AI17" s="45">
        <f t="shared" ca="1" si="6"/>
        <v>1442.298862145446</v>
      </c>
      <c r="AJ17" s="45">
        <f ca="1">U17*(Inputs!$B$12-ILP_C_HighResilience!$F$9)+V17*(Inputs!$B$13-ILP_C_HighResilience!$F$10)+W17*(Inputs!$B$14-ILP_C_HighResilience!$F$11)+X17*(Inputs!$B$15-ILP_C_HighResilience!$F$12)+Y17*(Inputs!$B$16-ILP_C_HighResilience!$F$13)</f>
        <v>24914.021049912692</v>
      </c>
      <c r="AK17" s="45">
        <f t="shared" ca="1" si="7"/>
        <v>1442.298862145446</v>
      </c>
      <c r="AL17" s="45">
        <f t="shared" ca="1" si="8"/>
        <v>0</v>
      </c>
      <c r="AM17" s="45">
        <f t="shared" ca="1" si="9"/>
        <v>0</v>
      </c>
      <c r="AN17" s="45">
        <f t="shared" ca="1" si="10"/>
        <v>0</v>
      </c>
      <c r="AO17" s="45">
        <f ca="1">MIN(AL17,Inputs!$B$36)</f>
        <v>0</v>
      </c>
      <c r="AP17" s="45">
        <f ca="1">MIN(AN17,Inputs!$B$36-AO17)</f>
        <v>0</v>
      </c>
      <c r="AQ17" s="45">
        <f ca="1">MIN(AM17,Inputs!$B$36-AO17-AP17)</f>
        <v>0</v>
      </c>
      <c r="AR17" s="45">
        <f t="shared" ca="1" si="11"/>
        <v>0</v>
      </c>
      <c r="AS17" s="45">
        <f t="shared" ca="1" si="12"/>
        <v>0</v>
      </c>
      <c r="AT17" s="45">
        <f t="shared" ca="1" si="13"/>
        <v>0</v>
      </c>
      <c r="AU17" s="45">
        <f t="shared" ca="1" si="14"/>
        <v>0</v>
      </c>
      <c r="AV17" s="46">
        <f ca="1">AU17*Inputs!$B$35</f>
        <v>0</v>
      </c>
      <c r="AW17" s="46">
        <f ca="1">AR17*Inputs!$C$6+AT17*Inputs!$C$7+AS17*Inputs!$C$8</f>
        <v>0</v>
      </c>
      <c r="AX17" s="46">
        <f t="shared" ca="1" si="15"/>
        <v>42696318.109807923</v>
      </c>
      <c r="AY17" s="46">
        <f ca="1">IF(J17&gt;1,($CD$4)*Inputs!$B$55*((Z17+AA17+AB17)/(SUM(ILP_C_HighResilience!$C$9:$E$13))),0)</f>
        <v>0</v>
      </c>
      <c r="AZ17" s="46">
        <f t="shared" ca="1" si="16"/>
        <v>0</v>
      </c>
      <c r="BA17" s="41">
        <f t="shared" ca="1" si="17"/>
        <v>0</v>
      </c>
      <c r="BB17" s="41">
        <f t="shared" ca="1" si="18"/>
        <v>1</v>
      </c>
      <c r="BC17" s="41">
        <f t="shared" ca="1" si="19"/>
        <v>1</v>
      </c>
      <c r="BD17" s="41">
        <f t="shared" ca="1" si="20"/>
        <v>1</v>
      </c>
    </row>
    <row r="18" spans="1:56" ht="15" customHeight="1" x14ac:dyDescent="0.3">
      <c r="A18" s="41">
        <v>11</v>
      </c>
      <c r="B18" s="42">
        <f t="shared" ca="1" si="0"/>
        <v>0.69999356118970235</v>
      </c>
      <c r="C18" s="43">
        <f ca="1">IF(B18&lt;=Inputs!$C$40,Inputs!$D$40,IF(B18&lt;=Inputs!$C$41,Inputs!$D$41,Inputs!$D$42))</f>
        <v>1</v>
      </c>
      <c r="D18" s="42">
        <f t="shared" ref="D18:I27" ca="1" si="21">RAND()</f>
        <v>0.10259349877918778</v>
      </c>
      <c r="E18" s="42">
        <f t="shared" ca="1" si="21"/>
        <v>0.41310489462334921</v>
      </c>
      <c r="F18" s="42">
        <f t="shared" ca="1" si="21"/>
        <v>0.16310957881859334</v>
      </c>
      <c r="G18" s="42">
        <f t="shared" ca="1" si="21"/>
        <v>0.14520298974681356</v>
      </c>
      <c r="H18" s="42">
        <f t="shared" ca="1" si="21"/>
        <v>0.92569913167420925</v>
      </c>
      <c r="I18" s="42">
        <f t="shared" ca="1" si="21"/>
        <v>0.37282965324933359</v>
      </c>
      <c r="J18" s="43">
        <f ca="1">IF(I18&lt;Inputs!$B$54,1+Inputs!$B$55,1)</f>
        <v>1</v>
      </c>
      <c r="K18" s="42">
        <f t="shared" ref="K18:T27" ca="1" si="22">RAND()</f>
        <v>0.46044524854092694</v>
      </c>
      <c r="L18" s="42">
        <f t="shared" ca="1" si="22"/>
        <v>5.8351981346834059E-2</v>
      </c>
      <c r="M18" s="42">
        <f t="shared" ca="1" si="22"/>
        <v>0.88748285979504415</v>
      </c>
      <c r="N18" s="42">
        <f t="shared" ca="1" si="22"/>
        <v>0.45349208114822226</v>
      </c>
      <c r="O18" s="42">
        <f t="shared" ca="1" si="22"/>
        <v>0.27634789985323704</v>
      </c>
      <c r="P18" s="42">
        <f t="shared" ca="1" si="22"/>
        <v>6.2227037177410516E-2</v>
      </c>
      <c r="Q18" s="42">
        <f t="shared" ca="1" si="22"/>
        <v>0.38369808961260987</v>
      </c>
      <c r="R18" s="42">
        <f t="shared" ca="1" si="22"/>
        <v>0.75151503029283817</v>
      </c>
      <c r="S18" s="42">
        <f t="shared" ca="1" si="22"/>
        <v>0.75429259806980697</v>
      </c>
      <c r="T18" s="42">
        <f t="shared" ca="1" si="22"/>
        <v>0.22879744989263662</v>
      </c>
      <c r="U18" s="44">
        <f ca="1">(IF(D18&gt;=Inputs!$E$12,1,IF(K18&lt;=Inputs!$C$46,Inputs!$D$46,IF(K18&lt;=Inputs!$C$47,Inputs!$D$47,Inputs!$D$48))))*((Inputs!$B$28+(P18-0.5)*2*Inputs!$B$53)/Inputs!$B$28)</f>
        <v>0.99556909956657291</v>
      </c>
      <c r="V18" s="44">
        <f ca="1">(IF(E18&gt;=Inputs!$E$13,1,IF(L18&lt;=Inputs!$C$46,Inputs!$D$46,IF(L18&lt;=Inputs!$C$47,Inputs!$D$47,Inputs!$D$48))))*((Inputs!$B$29+(Q18-0.5)*2*Inputs!$B$53)/Inputs!$B$29)</f>
        <v>0.99882760170980445</v>
      </c>
      <c r="W18" s="44">
        <f ca="1">(IF(F18&gt;=Inputs!$E$14,1,IF(M18&lt;=Inputs!$C$46,Inputs!$D$46,IF(M18&lt;=Inputs!$C$47,Inputs!$D$47,Inputs!$D$48))))*((Inputs!$B$30+(R18-0.5)*2*Inputs!$B$53)/Inputs!$B$30)</f>
        <v>1.0025277892491742</v>
      </c>
      <c r="X18" s="44">
        <f ca="1">(IF(G18&gt;=Inputs!$E$15,1,IF(N18&lt;=Inputs!$C$46,Inputs!$D$46,IF(N18&lt;=Inputs!$C$47,Inputs!$D$47,Inputs!$D$48))))*((Inputs!$B$31+(S18-0.5)*2*Inputs!$B$53)/Inputs!$B$31)</f>
        <v>0.30077449522254762</v>
      </c>
      <c r="Y18" s="44">
        <f ca="1">(IF(H18&gt;=Inputs!$E$16,1,IF(O18&lt;=Inputs!$C$46,Inputs!$D$46,IF(O18&lt;=Inputs!$C$47,Inputs!$D$47,Inputs!$D$48))))*((Inputs!$B$32+(T18-0.5)*2*Inputs!$B$53)/Inputs!$B$32)</f>
        <v>0.99727160412366833</v>
      </c>
      <c r="Z18" s="45">
        <f ca="1">ILP_C_HighResilience!$C$9*U18+ILP_C_HighResilience!$C$10*V18+ILP_C_HighResilience!$C$11*W18+ILP_C_HighResilience!$C$12*X18+ILP_C_HighResilience!$C$13*Y18</f>
        <v>12929.453248636963</v>
      </c>
      <c r="AA18" s="45">
        <f ca="1">ILP_C_HighResilience!$D$9*U18+ILP_C_HighResilience!$D$10*V18+ILP_C_HighResilience!$D$11*W18+ILP_C_HighResilience!$D$12*X18+ILP_C_HighResilience!$D$13*Y18</f>
        <v>11773.61549509838</v>
      </c>
      <c r="AB18" s="45">
        <f ca="1">ILP_C_HighResilience!$E$9*U18+ILP_C_HighResilience!$E$10*V18+ILP_C_HighResilience!$E$11*W18+ILP_C_HighResilience!$E$12*X18+ILP_C_HighResilience!$E$13*Y18</f>
        <v>11981.065356344787</v>
      </c>
      <c r="AC18" s="45">
        <f ca="1">Inputs!$B$6*$C18</f>
        <v>18000</v>
      </c>
      <c r="AD18" s="45">
        <f ca="1">Inputs!$B$7*$C18</f>
        <v>15000</v>
      </c>
      <c r="AE18" s="45">
        <f ca="1">Inputs!$B$8*$C18</f>
        <v>12000</v>
      </c>
      <c r="AF18" s="45">
        <f t="shared" ca="1" si="3"/>
        <v>5070.5467513630374</v>
      </c>
      <c r="AG18" s="45">
        <f t="shared" ca="1" si="4"/>
        <v>3226.3845049016199</v>
      </c>
      <c r="AH18" s="45">
        <f t="shared" ca="1" si="5"/>
        <v>18.934643655213222</v>
      </c>
      <c r="AI18" s="45">
        <f t="shared" ca="1" si="6"/>
        <v>8315.8658999198706</v>
      </c>
      <c r="AJ18" s="45">
        <f ca="1">U18*(Inputs!$B$12-ILP_C_HighResilience!$F$9)+V18*(Inputs!$B$13-ILP_C_HighResilience!$F$10)+W18*(Inputs!$B$14-ILP_C_HighResilience!$F$11)+X18*(Inputs!$B$15-ILP_C_HighResilience!$F$12)+Y18*(Inputs!$B$16-ILP_C_HighResilience!$F$13)</f>
        <v>24829.787181687156</v>
      </c>
      <c r="AK18" s="45">
        <f t="shared" ca="1" si="7"/>
        <v>8315.8658999198706</v>
      </c>
      <c r="AL18" s="45">
        <f t="shared" ca="1" si="8"/>
        <v>0</v>
      </c>
      <c r="AM18" s="45">
        <f t="shared" ca="1" si="9"/>
        <v>0</v>
      </c>
      <c r="AN18" s="45">
        <f t="shared" ca="1" si="10"/>
        <v>0</v>
      </c>
      <c r="AO18" s="45">
        <f ca="1">MIN(AL18,Inputs!$B$36)</f>
        <v>0</v>
      </c>
      <c r="AP18" s="45">
        <f ca="1">MIN(AN18,Inputs!$B$36-AO18)</f>
        <v>0</v>
      </c>
      <c r="AQ18" s="45">
        <f ca="1">MIN(AM18,Inputs!$B$36-AO18-AP18)</f>
        <v>0</v>
      </c>
      <c r="AR18" s="45">
        <f t="shared" ca="1" si="11"/>
        <v>0</v>
      </c>
      <c r="AS18" s="45">
        <f t="shared" ca="1" si="12"/>
        <v>0</v>
      </c>
      <c r="AT18" s="45">
        <f t="shared" ca="1" si="13"/>
        <v>0</v>
      </c>
      <c r="AU18" s="45">
        <f t="shared" ca="1" si="14"/>
        <v>0</v>
      </c>
      <c r="AV18" s="46">
        <f ca="1">AU18*Inputs!$B$35</f>
        <v>0</v>
      </c>
      <c r="AW18" s="46">
        <f ca="1">AR18*Inputs!$C$6+AT18*Inputs!$C$7+AS18*Inputs!$C$8</f>
        <v>0</v>
      </c>
      <c r="AX18" s="46">
        <f t="shared" ca="1" si="15"/>
        <v>38946624.635980412</v>
      </c>
      <c r="AY18" s="46">
        <f ca="1">IF(J18&gt;1,($CD$4)*Inputs!$B$55*((Z18+AA18+AB18)/(SUM(ILP_C_HighResilience!$C$9:$E$13))),0)</f>
        <v>0</v>
      </c>
      <c r="AZ18" s="46">
        <f t="shared" ca="1" si="16"/>
        <v>0</v>
      </c>
      <c r="BA18" s="41">
        <f t="shared" ca="1" si="17"/>
        <v>0</v>
      </c>
      <c r="BB18" s="41">
        <f t="shared" ca="1" si="18"/>
        <v>1</v>
      </c>
      <c r="BC18" s="41">
        <f t="shared" ca="1" si="19"/>
        <v>1</v>
      </c>
      <c r="BD18" s="41">
        <f t="shared" ca="1" si="20"/>
        <v>1</v>
      </c>
    </row>
    <row r="19" spans="1:56" ht="15" customHeight="1" x14ac:dyDescent="0.3">
      <c r="A19" s="41">
        <v>12</v>
      </c>
      <c r="B19" s="42">
        <f t="shared" ca="1" si="0"/>
        <v>0.7667077183491815</v>
      </c>
      <c r="C19" s="43">
        <f ca="1">IF(B19&lt;=Inputs!$C$40,Inputs!$D$40,IF(B19&lt;=Inputs!$C$41,Inputs!$D$41,Inputs!$D$42))</f>
        <v>1.1499999999999999</v>
      </c>
      <c r="D19" s="42">
        <f t="shared" ca="1" si="21"/>
        <v>0.27776543687291622</v>
      </c>
      <c r="E19" s="42">
        <f t="shared" ca="1" si="21"/>
        <v>0.84263821243737691</v>
      </c>
      <c r="F19" s="42">
        <f t="shared" ca="1" si="21"/>
        <v>0.35218456793040831</v>
      </c>
      <c r="G19" s="42">
        <f t="shared" ca="1" si="21"/>
        <v>0.44071116290551315</v>
      </c>
      <c r="H19" s="42">
        <f t="shared" ca="1" si="21"/>
        <v>0.25888387873465402</v>
      </c>
      <c r="I19" s="42">
        <f t="shared" ca="1" si="21"/>
        <v>0.81597145506289992</v>
      </c>
      <c r="J19" s="43">
        <f ca="1">IF(I19&lt;Inputs!$B$54,1+Inputs!$B$55,1)</f>
        <v>1</v>
      </c>
      <c r="K19" s="42">
        <f t="shared" ca="1" si="22"/>
        <v>1.2514270278436546E-2</v>
      </c>
      <c r="L19" s="42">
        <f t="shared" ca="1" si="22"/>
        <v>0.64731676143530126</v>
      </c>
      <c r="M19" s="42">
        <f t="shared" ca="1" si="22"/>
        <v>0.29642553022986584</v>
      </c>
      <c r="N19" s="42">
        <f t="shared" ca="1" si="22"/>
        <v>0.60871640559670015</v>
      </c>
      <c r="O19" s="42">
        <f t="shared" ca="1" si="22"/>
        <v>0.13372143890473198</v>
      </c>
      <c r="P19" s="42">
        <f t="shared" ca="1" si="22"/>
        <v>6.2731020246952318E-2</v>
      </c>
      <c r="Q19" s="42">
        <f t="shared" ca="1" si="22"/>
        <v>0.91887656954031705</v>
      </c>
      <c r="R19" s="42">
        <f t="shared" ca="1" si="22"/>
        <v>0.59993444324768475</v>
      </c>
      <c r="S19" s="42">
        <f t="shared" ca="1" si="22"/>
        <v>0.13710696358106311</v>
      </c>
      <c r="T19" s="42">
        <f t="shared" ca="1" si="22"/>
        <v>0.7736524852930341</v>
      </c>
      <c r="U19" s="44">
        <f ca="1">(IF(D19&gt;=Inputs!$E$12,1,IF(K19&lt;=Inputs!$C$46,Inputs!$D$46,IF(K19&lt;=Inputs!$C$47,Inputs!$D$47,Inputs!$D$48))))*((Inputs!$B$28+(P19-0.5)*2*Inputs!$B$53)/Inputs!$B$28)</f>
        <v>0.99557420060978696</v>
      </c>
      <c r="V19" s="44">
        <f ca="1">(IF(E19&gt;=Inputs!$E$13,1,IF(L19&lt;=Inputs!$C$46,Inputs!$D$46,IF(L19&lt;=Inputs!$C$47,Inputs!$D$47,Inputs!$D$48))))*((Inputs!$B$29+(Q19-0.5)*2*Inputs!$B$53)/Inputs!$B$29)</f>
        <v>1.0042225460639145</v>
      </c>
      <c r="W19" s="44">
        <f ca="1">(IF(F19&gt;=Inputs!$E$14,1,IF(M19&lt;=Inputs!$C$46,Inputs!$D$46,IF(M19&lt;=Inputs!$C$47,Inputs!$D$47,Inputs!$D$48))))*((Inputs!$B$30+(R19-0.5)*2*Inputs!$B$53)/Inputs!$B$30)</f>
        <v>1.0010043662637957</v>
      </c>
      <c r="X19" s="44">
        <f ca="1">(IF(G19&gt;=Inputs!$E$15,1,IF(N19&lt;=Inputs!$C$46,Inputs!$D$46,IF(N19&lt;=Inputs!$C$47,Inputs!$D$47,Inputs!$D$48))))*((Inputs!$B$31+(S19-0.5)*2*Inputs!$B$53)/Inputs!$B$31)</f>
        <v>0.9963158067368636</v>
      </c>
      <c r="Y19" s="44">
        <f ca="1">(IF(H19&gt;=Inputs!$E$16,1,IF(O19&lt;=Inputs!$C$46,Inputs!$D$46,IF(O19&lt;=Inputs!$C$47,Inputs!$D$47,Inputs!$D$48))))*((Inputs!$B$32+(T19-0.5)*2*Inputs!$B$53)/Inputs!$B$32)</f>
        <v>1.0027530431115999</v>
      </c>
      <c r="Z19" s="45">
        <f ca="1">ILP_C_HighResilience!$C$9*U19+ILP_C_HighResilience!$C$10*V19+ILP_C_HighResilience!$C$11*W19+ILP_C_HighResilience!$C$12*X19+ILP_C_HighResilience!$C$13*Y19</f>
        <v>17956.809218725975</v>
      </c>
      <c r="AA19" s="45">
        <f ca="1">ILP_C_HighResilience!$D$9*U19+ILP_C_HighResilience!$D$10*V19+ILP_C_HighResilience!$D$11*W19+ILP_C_HighResilience!$D$12*X19+ILP_C_HighResilience!$D$13*Y19</f>
        <v>15012.713427743223</v>
      </c>
      <c r="AB19" s="45">
        <f ca="1">ILP_C_HighResilience!$E$9*U19+ILP_C_HighResilience!$E$10*V19+ILP_C_HighResilience!$E$11*W19+ILP_C_HighResilience!$E$12*X19+ILP_C_HighResilience!$E$13*Y19</f>
        <v>11999.787155009217</v>
      </c>
      <c r="AC19" s="45">
        <f ca="1">Inputs!$B$6*$C19</f>
        <v>20700</v>
      </c>
      <c r="AD19" s="45">
        <f ca="1">Inputs!$B$7*$C19</f>
        <v>17250</v>
      </c>
      <c r="AE19" s="45">
        <f ca="1">Inputs!$B$8*$C19</f>
        <v>13799.999999999998</v>
      </c>
      <c r="AF19" s="45">
        <f t="shared" ca="1" si="3"/>
        <v>2743.1907812740246</v>
      </c>
      <c r="AG19" s="45">
        <f t="shared" ca="1" si="4"/>
        <v>2237.2865722567767</v>
      </c>
      <c r="AH19" s="45">
        <f t="shared" ca="1" si="5"/>
        <v>1800.2128449907814</v>
      </c>
      <c r="AI19" s="45">
        <f t="shared" ca="1" si="6"/>
        <v>6780.6901985215827</v>
      </c>
      <c r="AJ19" s="45">
        <f ca="1">U19*(Inputs!$B$12-ILP_C_HighResilience!$F$9)+V19*(Inputs!$B$13-ILP_C_HighResilience!$F$10)+W19*(Inputs!$B$14-ILP_C_HighResilience!$F$11)+X19*(Inputs!$B$15-ILP_C_HighResilience!$F$12)+Y19*(Inputs!$B$16-ILP_C_HighResilience!$F$13)</f>
        <v>25029.135142118685</v>
      </c>
      <c r="AK19" s="45">
        <f t="shared" ca="1" si="7"/>
        <v>6780.6901985215827</v>
      </c>
      <c r="AL19" s="45">
        <f t="shared" ca="1" si="8"/>
        <v>0</v>
      </c>
      <c r="AM19" s="45">
        <f t="shared" ca="1" si="9"/>
        <v>0</v>
      </c>
      <c r="AN19" s="45">
        <f t="shared" ca="1" si="10"/>
        <v>0</v>
      </c>
      <c r="AO19" s="45">
        <f ca="1">MIN(AL19,Inputs!$B$36)</f>
        <v>0</v>
      </c>
      <c r="AP19" s="45">
        <f ca="1">MIN(AN19,Inputs!$B$36-AO19)</f>
        <v>0</v>
      </c>
      <c r="AQ19" s="45">
        <f ca="1">MIN(AM19,Inputs!$B$36-AO19-AP19)</f>
        <v>0</v>
      </c>
      <c r="AR19" s="45">
        <f t="shared" ca="1" si="11"/>
        <v>0</v>
      </c>
      <c r="AS19" s="45">
        <f t="shared" ca="1" si="12"/>
        <v>0</v>
      </c>
      <c r="AT19" s="45">
        <f t="shared" ca="1" si="13"/>
        <v>0</v>
      </c>
      <c r="AU19" s="45">
        <f t="shared" ca="1" si="14"/>
        <v>0</v>
      </c>
      <c r="AV19" s="46">
        <f ca="1">AU19*Inputs!$B$35</f>
        <v>0</v>
      </c>
      <c r="AW19" s="46">
        <f ca="1">AR19*Inputs!$C$6+AT19*Inputs!$C$7+AS19*Inputs!$C$8</f>
        <v>0</v>
      </c>
      <c r="AX19" s="46">
        <f t="shared" ca="1" si="15"/>
        <v>47600656.016750708</v>
      </c>
      <c r="AY19" s="46">
        <f ca="1">IF(J19&gt;1,($CD$4)*Inputs!$B$55*((Z19+AA19+AB19)/(SUM(ILP_C_HighResilience!$C$9:$E$13))),0)</f>
        <v>0</v>
      </c>
      <c r="AZ19" s="46">
        <f t="shared" ca="1" si="16"/>
        <v>0</v>
      </c>
      <c r="BA19" s="41">
        <f t="shared" ca="1" si="17"/>
        <v>0</v>
      </c>
      <c r="BB19" s="41">
        <f t="shared" ca="1" si="18"/>
        <v>1</v>
      </c>
      <c r="BC19" s="41">
        <f t="shared" ca="1" si="19"/>
        <v>1</v>
      </c>
      <c r="BD19" s="41">
        <f t="shared" ca="1" si="20"/>
        <v>1</v>
      </c>
    </row>
    <row r="20" spans="1:56" ht="15" customHeight="1" x14ac:dyDescent="0.3">
      <c r="A20" s="41">
        <v>13</v>
      </c>
      <c r="B20" s="42">
        <f t="shared" ca="1" si="0"/>
        <v>0.53577598631761225</v>
      </c>
      <c r="C20" s="43">
        <f ca="1">IF(B20&lt;=Inputs!$C$40,Inputs!$D$40,IF(B20&lt;=Inputs!$C$41,Inputs!$D$41,Inputs!$D$42))</f>
        <v>1</v>
      </c>
      <c r="D20" s="42">
        <f t="shared" ca="1" si="21"/>
        <v>0.91333744594296318</v>
      </c>
      <c r="E20" s="42">
        <f t="shared" ca="1" si="21"/>
        <v>0.82138535468319473</v>
      </c>
      <c r="F20" s="42">
        <f t="shared" ca="1" si="21"/>
        <v>0.50593142917851663</v>
      </c>
      <c r="G20" s="42">
        <f t="shared" ca="1" si="21"/>
        <v>0.7218215336991648</v>
      </c>
      <c r="H20" s="42">
        <f t="shared" ca="1" si="21"/>
        <v>0.83313061086152707</v>
      </c>
      <c r="I20" s="42">
        <f t="shared" ca="1" si="21"/>
        <v>0.85875917849168093</v>
      </c>
      <c r="J20" s="43">
        <f ca="1">IF(I20&lt;Inputs!$B$54,1+Inputs!$B$55,1)</f>
        <v>1</v>
      </c>
      <c r="K20" s="42">
        <f t="shared" ca="1" si="22"/>
        <v>0.21945058127092087</v>
      </c>
      <c r="L20" s="42">
        <f t="shared" ca="1" si="22"/>
        <v>0.76336430155113622</v>
      </c>
      <c r="M20" s="42">
        <f t="shared" ca="1" si="22"/>
        <v>2.6383773364436758E-3</v>
      </c>
      <c r="N20" s="42">
        <f t="shared" ca="1" si="22"/>
        <v>6.2663229044524815E-2</v>
      </c>
      <c r="O20" s="42">
        <f t="shared" ca="1" si="22"/>
        <v>0.9964461192815125</v>
      </c>
      <c r="P20" s="42">
        <f t="shared" ca="1" si="22"/>
        <v>0.78696858812339499</v>
      </c>
      <c r="Q20" s="42">
        <f t="shared" ca="1" si="22"/>
        <v>0.54724223754673973</v>
      </c>
      <c r="R20" s="42">
        <f t="shared" ca="1" si="22"/>
        <v>0.97854708166121884</v>
      </c>
      <c r="S20" s="42">
        <f t="shared" ca="1" si="22"/>
        <v>0.38984317701045923</v>
      </c>
      <c r="T20" s="42">
        <f t="shared" ca="1" si="22"/>
        <v>0.42637329392721113</v>
      </c>
      <c r="U20" s="44">
        <f ca="1">(IF(D20&gt;=Inputs!$E$12,1,IF(K20&lt;=Inputs!$C$46,Inputs!$D$46,IF(K20&lt;=Inputs!$C$47,Inputs!$D$47,Inputs!$D$48))))*((Inputs!$B$28+(P20-0.5)*2*Inputs!$B$53)/Inputs!$B$28)</f>
        <v>1.0029045403656214</v>
      </c>
      <c r="V20" s="44">
        <f ca="1">(IF(E20&gt;=Inputs!$E$13,1,IF(L20&lt;=Inputs!$C$46,Inputs!$D$46,IF(L20&lt;=Inputs!$C$47,Inputs!$D$47,Inputs!$D$48))))*((Inputs!$B$29+(Q20-0.5)*2*Inputs!$B$53)/Inputs!$B$29)</f>
        <v>1.000476232233334</v>
      </c>
      <c r="W20" s="44">
        <f ca="1">(IF(F20&gt;=Inputs!$E$14,1,IF(M20&lt;=Inputs!$C$46,Inputs!$D$46,IF(M20&lt;=Inputs!$C$47,Inputs!$D$47,Inputs!$D$48))))*((Inputs!$B$30+(R20-0.5)*2*Inputs!$B$53)/Inputs!$B$30)</f>
        <v>1.0048095184086554</v>
      </c>
      <c r="X20" s="44">
        <f ca="1">(IF(G20&gt;=Inputs!$E$15,1,IF(N20&lt;=Inputs!$C$46,Inputs!$D$46,IF(N20&lt;=Inputs!$C$47,Inputs!$D$47,Inputs!$D$48))))*((Inputs!$B$31+(S20-0.5)*2*Inputs!$B$53)/Inputs!$B$31)</f>
        <v>0.99888165661939554</v>
      </c>
      <c r="Y20" s="44">
        <f ca="1">(IF(H20&gt;=Inputs!$E$16,1,IF(O20&lt;=Inputs!$C$46,Inputs!$D$46,IF(O20&lt;=Inputs!$C$47,Inputs!$D$47,Inputs!$D$48))))*((Inputs!$B$32+(T20-0.5)*2*Inputs!$B$53)/Inputs!$B$32)</f>
        <v>0.99925928867129987</v>
      </c>
      <c r="Z20" s="45">
        <f ca="1">ILP_C_HighResilience!$C$9*U20+ILP_C_HighResilience!$C$10*V20+ILP_C_HighResilience!$C$11*W20+ILP_C_HighResilience!$C$12*X20+ILP_C_HighResilience!$C$13*Y20</f>
        <v>18014.575054332123</v>
      </c>
      <c r="AA20" s="45">
        <f ca="1">ILP_C_HighResilience!$D$9*U20+ILP_C_HighResilience!$D$10*V20+ILP_C_HighResilience!$D$11*W20+ILP_C_HighResilience!$D$12*X20+ILP_C_HighResilience!$D$13*Y20</f>
        <v>15018.756337611521</v>
      </c>
      <c r="AB20" s="45">
        <f ca="1">ILP_C_HighResilience!$E$9*U20+ILP_C_HighResilience!$E$10*V20+ILP_C_HighResilience!$E$11*W20+ILP_C_HighResilience!$E$12*X20+ILP_C_HighResilience!$E$13*Y20</f>
        <v>12029.989195177523</v>
      </c>
      <c r="AC20" s="45">
        <f ca="1">Inputs!$B$6*$C20</f>
        <v>18000</v>
      </c>
      <c r="AD20" s="45">
        <f ca="1">Inputs!$B$7*$C20</f>
        <v>15000</v>
      </c>
      <c r="AE20" s="45">
        <f ca="1">Inputs!$B$8*$C20</f>
        <v>12000</v>
      </c>
      <c r="AF20" s="45">
        <f t="shared" ca="1" si="3"/>
        <v>0</v>
      </c>
      <c r="AG20" s="45">
        <f t="shared" ca="1" si="4"/>
        <v>0</v>
      </c>
      <c r="AH20" s="45">
        <f t="shared" ca="1" si="5"/>
        <v>0</v>
      </c>
      <c r="AI20" s="45">
        <f t="shared" ca="1" si="6"/>
        <v>0</v>
      </c>
      <c r="AJ20" s="45">
        <f ca="1">U20*(Inputs!$B$12-ILP_C_HighResilience!$F$9)+V20*(Inputs!$B$13-ILP_C_HighResilience!$F$10)+W20*(Inputs!$B$14-ILP_C_HighResilience!$F$11)+X20*(Inputs!$B$15-ILP_C_HighResilience!$F$12)+Y20*(Inputs!$B$16-ILP_C_HighResilience!$F$13)</f>
        <v>25027.812258810212</v>
      </c>
      <c r="AK20" s="45">
        <f t="shared" ca="1" si="7"/>
        <v>0</v>
      </c>
      <c r="AL20" s="45">
        <f t="shared" ca="1" si="8"/>
        <v>0</v>
      </c>
      <c r="AM20" s="45">
        <f t="shared" ca="1" si="9"/>
        <v>0</v>
      </c>
      <c r="AN20" s="45">
        <f t="shared" ca="1" si="10"/>
        <v>0</v>
      </c>
      <c r="AO20" s="45">
        <f ca="1">MIN(AL20,Inputs!$B$36)</f>
        <v>0</v>
      </c>
      <c r="AP20" s="45">
        <f ca="1">MIN(AN20,Inputs!$B$36-AO20)</f>
        <v>0</v>
      </c>
      <c r="AQ20" s="45">
        <f ca="1">MIN(AM20,Inputs!$B$36-AO20-AP20)</f>
        <v>0</v>
      </c>
      <c r="AR20" s="45">
        <f t="shared" ca="1" si="11"/>
        <v>0</v>
      </c>
      <c r="AS20" s="45">
        <f t="shared" ca="1" si="12"/>
        <v>0</v>
      </c>
      <c r="AT20" s="45">
        <f t="shared" ca="1" si="13"/>
        <v>0</v>
      </c>
      <c r="AU20" s="45">
        <f t="shared" ca="1" si="14"/>
        <v>0</v>
      </c>
      <c r="AV20" s="46">
        <f ca="1">AU20*Inputs!$B$35</f>
        <v>0</v>
      </c>
      <c r="AW20" s="46">
        <f ca="1">AR20*Inputs!$C$6+AT20*Inputs!$C$7+AS20*Inputs!$C$8</f>
        <v>0</v>
      </c>
      <c r="AX20" s="46">
        <f t="shared" ca="1" si="15"/>
        <v>47700156.19161097</v>
      </c>
      <c r="AY20" s="46">
        <f ca="1">IF(J20&gt;1,($CD$4)*Inputs!$B$55*((Z20+AA20+AB20)/(SUM(ILP_C_HighResilience!$C$9:$E$13))),0)</f>
        <v>0</v>
      </c>
      <c r="AZ20" s="46">
        <f t="shared" ca="1" si="16"/>
        <v>0</v>
      </c>
      <c r="BA20" s="41">
        <f t="shared" ca="1" si="17"/>
        <v>0</v>
      </c>
      <c r="BB20" s="41">
        <f t="shared" ca="1" si="18"/>
        <v>1</v>
      </c>
      <c r="BC20" s="41">
        <f t="shared" ca="1" si="19"/>
        <v>1</v>
      </c>
      <c r="BD20" s="41">
        <f t="shared" ca="1" si="20"/>
        <v>1</v>
      </c>
    </row>
    <row r="21" spans="1:56" ht="15" customHeight="1" x14ac:dyDescent="0.3">
      <c r="A21" s="41">
        <v>14</v>
      </c>
      <c r="B21" s="42">
        <f t="shared" ca="1" si="0"/>
        <v>0.95383062807134467</v>
      </c>
      <c r="C21" s="43">
        <f ca="1">IF(B21&lt;=Inputs!$C$40,Inputs!$D$40,IF(B21&lt;=Inputs!$C$41,Inputs!$D$41,Inputs!$D$42))</f>
        <v>1.1499999999999999</v>
      </c>
      <c r="D21" s="42">
        <f t="shared" ca="1" si="21"/>
        <v>6.8350656241714325E-2</v>
      </c>
      <c r="E21" s="42">
        <f t="shared" ca="1" si="21"/>
        <v>3.2953492835726683E-2</v>
      </c>
      <c r="F21" s="42">
        <f t="shared" ca="1" si="21"/>
        <v>0.17791951840829945</v>
      </c>
      <c r="G21" s="42">
        <f t="shared" ca="1" si="21"/>
        <v>0.72000321947467139</v>
      </c>
      <c r="H21" s="42">
        <f t="shared" ca="1" si="21"/>
        <v>0.28221411006936981</v>
      </c>
      <c r="I21" s="42">
        <f t="shared" ca="1" si="21"/>
        <v>0.98722771446337165</v>
      </c>
      <c r="J21" s="43">
        <f ca="1">IF(I21&lt;Inputs!$B$54,1+Inputs!$B$55,1)</f>
        <v>1</v>
      </c>
      <c r="K21" s="42">
        <f t="shared" ca="1" si="22"/>
        <v>0.63192634989516261</v>
      </c>
      <c r="L21" s="42">
        <f t="shared" ca="1" si="22"/>
        <v>0.55019646204096662</v>
      </c>
      <c r="M21" s="42">
        <f t="shared" ca="1" si="22"/>
        <v>0.66372160303425709</v>
      </c>
      <c r="N21" s="42">
        <f t="shared" ca="1" si="22"/>
        <v>0.31368169128490697</v>
      </c>
      <c r="O21" s="42">
        <f t="shared" ca="1" si="22"/>
        <v>0.71523955909567682</v>
      </c>
      <c r="P21" s="42">
        <f t="shared" ca="1" si="22"/>
        <v>0.95704053137449041</v>
      </c>
      <c r="Q21" s="42">
        <f t="shared" ca="1" si="22"/>
        <v>0.6175894686891169</v>
      </c>
      <c r="R21" s="42">
        <f t="shared" ca="1" si="22"/>
        <v>0.12205209911627568</v>
      </c>
      <c r="S21" s="42">
        <f t="shared" ca="1" si="22"/>
        <v>0.53606726051791176</v>
      </c>
      <c r="T21" s="42">
        <f t="shared" ca="1" si="22"/>
        <v>0.40173838705181519</v>
      </c>
      <c r="U21" s="44">
        <f ca="1">(IF(D21&gt;=Inputs!$E$12,1,IF(K21&lt;=Inputs!$C$46,Inputs!$D$46,IF(K21&lt;=Inputs!$C$47,Inputs!$D$47,Inputs!$D$48))))*((Inputs!$B$28+(P21-0.5)*2*Inputs!$B$53)/Inputs!$B$28)</f>
        <v>1.0046259163094584</v>
      </c>
      <c r="V21" s="44">
        <f ca="1">(IF(E21&gt;=Inputs!$E$13,1,IF(L21&lt;=Inputs!$C$46,Inputs!$D$46,IF(L21&lt;=Inputs!$C$47,Inputs!$D$47,Inputs!$D$48))))*((Inputs!$B$29+(Q21-0.5)*2*Inputs!$B$53)/Inputs!$B$29)</f>
        <v>0.30035561331256783</v>
      </c>
      <c r="W21" s="44">
        <f ca="1">(IF(F21&gt;=Inputs!$E$14,1,IF(M21&lt;=Inputs!$C$46,Inputs!$D$46,IF(M21&lt;=Inputs!$C$47,Inputs!$D$47,Inputs!$D$48))))*((Inputs!$B$30+(R21-0.5)*2*Inputs!$B$53)/Inputs!$B$30)</f>
        <v>0.99620152863433442</v>
      </c>
      <c r="X21" s="44">
        <f ca="1">(IF(G21&gt;=Inputs!$E$15,1,IF(N21&lt;=Inputs!$C$46,Inputs!$D$46,IF(N21&lt;=Inputs!$C$47,Inputs!$D$47,Inputs!$D$48))))*((Inputs!$B$31+(S21-0.5)*2*Inputs!$B$53)/Inputs!$B$31)</f>
        <v>1.0003661650814002</v>
      </c>
      <c r="Y21" s="44">
        <f ca="1">(IF(H21&gt;=Inputs!$E$16,1,IF(O21&lt;=Inputs!$C$46,Inputs!$D$46,IF(O21&lt;=Inputs!$C$47,Inputs!$D$47,Inputs!$D$48))))*((Inputs!$B$32+(T21-0.5)*2*Inputs!$B$53)/Inputs!$B$32)</f>
        <v>0.99901145258603441</v>
      </c>
      <c r="Z21" s="45">
        <f ca="1">ILP_C_HighResilience!$C$9*U21+ILP_C_HighResilience!$C$10*V21+ILP_C_HighResilience!$C$11*W21+ILP_C_HighResilience!$C$12*X21+ILP_C_HighResilience!$C$13*Y21</f>
        <v>15517.223193939426</v>
      </c>
      <c r="AA21" s="45">
        <f ca="1">ILP_C_HighResilience!$D$9*U21+ILP_C_HighResilience!$D$10*V21+ILP_C_HighResilience!$D$11*W21+ILP_C_HighResilience!$D$12*X21+ILP_C_HighResilience!$D$13*Y21</f>
        <v>10787.188057969859</v>
      </c>
      <c r="AB21" s="45">
        <f ca="1">ILP_C_HighResilience!$E$9*U21+ILP_C_HighResilience!$E$10*V21+ILP_C_HighResilience!$E$11*W21+ILP_C_HighResilience!$E$12*X21+ILP_C_HighResilience!$E$13*Y21</f>
        <v>9011.0681195528723</v>
      </c>
      <c r="AC21" s="45">
        <f ca="1">Inputs!$B$6*$C21</f>
        <v>20700</v>
      </c>
      <c r="AD21" s="45">
        <f ca="1">Inputs!$B$7*$C21</f>
        <v>17250</v>
      </c>
      <c r="AE21" s="45">
        <f ca="1">Inputs!$B$8*$C21</f>
        <v>13799.999999999998</v>
      </c>
      <c r="AF21" s="45">
        <f t="shared" ca="1" si="3"/>
        <v>5182.776806060574</v>
      </c>
      <c r="AG21" s="45">
        <f t="shared" ca="1" si="4"/>
        <v>6462.8119420301409</v>
      </c>
      <c r="AH21" s="45">
        <f t="shared" ca="1" si="5"/>
        <v>4788.9318804471259</v>
      </c>
      <c r="AI21" s="45">
        <f t="shared" ca="1" si="6"/>
        <v>16434.520628537841</v>
      </c>
      <c r="AJ21" s="45">
        <f ca="1">U21*(Inputs!$B$12-ILP_C_HighResilience!$F$9)+V21*(Inputs!$B$13-ILP_C_HighResilience!$F$10)+W21*(Inputs!$B$14-ILP_C_HighResilience!$F$11)+X21*(Inputs!$B$15-ILP_C_HighResilience!$F$12)+Y21*(Inputs!$B$16-ILP_C_HighResilience!$F$13)</f>
        <v>24903.699517878791</v>
      </c>
      <c r="AK21" s="45">
        <f t="shared" ca="1" si="7"/>
        <v>16434.520628537841</v>
      </c>
      <c r="AL21" s="45">
        <f t="shared" ca="1" si="8"/>
        <v>0</v>
      </c>
      <c r="AM21" s="45">
        <f t="shared" ca="1" si="9"/>
        <v>0</v>
      </c>
      <c r="AN21" s="45">
        <f t="shared" ca="1" si="10"/>
        <v>0</v>
      </c>
      <c r="AO21" s="45">
        <f ca="1">MIN(AL21,Inputs!$B$36)</f>
        <v>0</v>
      </c>
      <c r="AP21" s="45">
        <f ca="1">MIN(AN21,Inputs!$B$36-AO21)</f>
        <v>0</v>
      </c>
      <c r="AQ21" s="45">
        <f ca="1">MIN(AM21,Inputs!$B$36-AO21-AP21)</f>
        <v>0</v>
      </c>
      <c r="AR21" s="45">
        <f t="shared" ca="1" si="11"/>
        <v>0</v>
      </c>
      <c r="AS21" s="45">
        <f t="shared" ca="1" si="12"/>
        <v>0</v>
      </c>
      <c r="AT21" s="45">
        <f t="shared" ca="1" si="13"/>
        <v>0</v>
      </c>
      <c r="AU21" s="45">
        <f t="shared" ca="1" si="14"/>
        <v>0</v>
      </c>
      <c r="AV21" s="46">
        <f ca="1">AU21*Inputs!$B$35</f>
        <v>0</v>
      </c>
      <c r="AW21" s="46">
        <f ca="1">AR21*Inputs!$C$6+AT21*Inputs!$C$7+AS21*Inputs!$C$8</f>
        <v>0</v>
      </c>
      <c r="AX21" s="46">
        <f t="shared" ca="1" si="15"/>
        <v>37347403.388728112</v>
      </c>
      <c r="AY21" s="46">
        <f ca="1">IF(J21&gt;1,($CD$4)*Inputs!$B$55*((Z21+AA21+AB21)/(SUM(ILP_C_HighResilience!$C$9:$E$13))),0)</f>
        <v>0</v>
      </c>
      <c r="AZ21" s="46">
        <f t="shared" ca="1" si="16"/>
        <v>0</v>
      </c>
      <c r="BA21" s="41">
        <f t="shared" ca="1" si="17"/>
        <v>0</v>
      </c>
      <c r="BB21" s="41">
        <f t="shared" ca="1" si="18"/>
        <v>1</v>
      </c>
      <c r="BC21" s="41">
        <f t="shared" ca="1" si="19"/>
        <v>1</v>
      </c>
      <c r="BD21" s="41">
        <f t="shared" ca="1" si="20"/>
        <v>1</v>
      </c>
    </row>
    <row r="22" spans="1:56" ht="15" customHeight="1" x14ac:dyDescent="0.3">
      <c r="A22" s="41">
        <v>15</v>
      </c>
      <c r="B22" s="42">
        <f t="shared" ca="1" si="0"/>
        <v>0.68711324343967706</v>
      </c>
      <c r="C22" s="43">
        <f ca="1">IF(B22&lt;=Inputs!$C$40,Inputs!$D$40,IF(B22&lt;=Inputs!$C$41,Inputs!$D$41,Inputs!$D$42))</f>
        <v>1</v>
      </c>
      <c r="D22" s="42">
        <f t="shared" ca="1" si="21"/>
        <v>0.47315142789880615</v>
      </c>
      <c r="E22" s="42">
        <f t="shared" ca="1" si="21"/>
        <v>9.1727549263507235E-3</v>
      </c>
      <c r="F22" s="42">
        <f t="shared" ca="1" si="21"/>
        <v>0.16769842341136154</v>
      </c>
      <c r="G22" s="42">
        <f t="shared" ca="1" si="21"/>
        <v>0.37991365968746804</v>
      </c>
      <c r="H22" s="42">
        <f t="shared" ca="1" si="21"/>
        <v>0.63048287951481019</v>
      </c>
      <c r="I22" s="42">
        <f t="shared" ca="1" si="21"/>
        <v>0.46612314419987066</v>
      </c>
      <c r="J22" s="43">
        <f ca="1">IF(I22&lt;Inputs!$B$54,1+Inputs!$B$55,1)</f>
        <v>1</v>
      </c>
      <c r="K22" s="42">
        <f t="shared" ca="1" si="22"/>
        <v>0.38755373480520372</v>
      </c>
      <c r="L22" s="42">
        <f t="shared" ca="1" si="22"/>
        <v>0.24030818100863793</v>
      </c>
      <c r="M22" s="42">
        <f t="shared" ca="1" si="22"/>
        <v>0.42785726904468369</v>
      </c>
      <c r="N22" s="42">
        <f t="shared" ca="1" si="22"/>
        <v>1.1536050985381907E-2</v>
      </c>
      <c r="O22" s="42">
        <f t="shared" ca="1" si="22"/>
        <v>0.36795721862124886</v>
      </c>
      <c r="P22" s="42">
        <f t="shared" ca="1" si="22"/>
        <v>0.18412335914272837</v>
      </c>
      <c r="Q22" s="42">
        <f t="shared" ca="1" si="22"/>
        <v>0.15331060576794386</v>
      </c>
      <c r="R22" s="42">
        <f t="shared" ca="1" si="22"/>
        <v>0.57744097396803074</v>
      </c>
      <c r="S22" s="42">
        <f t="shared" ca="1" si="22"/>
        <v>0.7066577639020728</v>
      </c>
      <c r="T22" s="42">
        <f t="shared" ca="1" si="22"/>
        <v>0.49599700233487809</v>
      </c>
      <c r="U22" s="44">
        <f ca="1">(IF(D22&gt;=Inputs!$E$12,1,IF(K22&lt;=Inputs!$C$46,Inputs!$D$46,IF(K22&lt;=Inputs!$C$47,Inputs!$D$47,Inputs!$D$48))))*((Inputs!$B$28+(P22-0.5)*2*Inputs!$B$53)/Inputs!$B$28)</f>
        <v>0.9968028680075175</v>
      </c>
      <c r="V22" s="44">
        <f ca="1">(IF(E22&gt;=Inputs!$E$13,1,IF(L22&lt;=Inputs!$C$46,Inputs!$D$46,IF(L22&lt;=Inputs!$C$47,Inputs!$D$47,Inputs!$D$48))))*((Inputs!$B$29+(Q22-0.5)*2*Inputs!$B$53)/Inputs!$B$29)</f>
        <v>0.59790308834133832</v>
      </c>
      <c r="W22" s="44">
        <f ca="1">(IF(F22&gt;=Inputs!$E$14,1,IF(M22&lt;=Inputs!$C$46,Inputs!$D$46,IF(M22&lt;=Inputs!$C$47,Inputs!$D$47,Inputs!$D$48))))*((Inputs!$B$30+(R22-0.5)*2*Inputs!$B$53)/Inputs!$B$30)</f>
        <v>1.0007783012459099</v>
      </c>
      <c r="X22" s="44">
        <f ca="1">(IF(G22&gt;=Inputs!$E$15,1,IF(N22&lt;=Inputs!$C$46,Inputs!$D$46,IF(N22&lt;=Inputs!$C$47,Inputs!$D$47,Inputs!$D$48))))*((Inputs!$B$31+(S22-0.5)*2*Inputs!$B$53)/Inputs!$B$31)</f>
        <v>1.0020980483644881</v>
      </c>
      <c r="Y22" s="44">
        <f ca="1">(IF(H22&gt;=Inputs!$E$16,1,IF(O22&lt;=Inputs!$C$46,Inputs!$D$46,IF(O22&lt;=Inputs!$C$47,Inputs!$D$47,Inputs!$D$48))))*((Inputs!$B$32+(T22-0.5)*2*Inputs!$B$53)/Inputs!$B$32)</f>
        <v>0.99995972839371106</v>
      </c>
      <c r="Z22" s="45">
        <f ca="1">ILP_C_HighResilience!$C$9*U22+ILP_C_HighResilience!$C$10*V22+ILP_C_HighResilience!$C$11*W22+ILP_C_HighResilience!$C$12*X22+ILP_C_HighResilience!$C$13*Y22</f>
        <v>16544.53771590726</v>
      </c>
      <c r="AA22" s="45">
        <f ca="1">ILP_C_HighResilience!$D$9*U22+ILP_C_HighResilience!$D$10*V22+ILP_C_HighResilience!$D$11*W22+ILP_C_HighResilience!$D$12*X22+ILP_C_HighResilience!$D$13*Y22</f>
        <v>12600.520472949051</v>
      </c>
      <c r="AB22" s="45">
        <f ca="1">ILP_C_HighResilience!$E$9*U22+ILP_C_HighResilience!$E$10*V22+ILP_C_HighResilience!$E$11*W22+ILP_C_HighResilience!$E$12*X22+ILP_C_HighResilience!$E$13*Y22</f>
        <v>10262.728622471832</v>
      </c>
      <c r="AC22" s="45">
        <f ca="1">Inputs!$B$6*$C22</f>
        <v>18000</v>
      </c>
      <c r="AD22" s="45">
        <f ca="1">Inputs!$B$7*$C22</f>
        <v>15000</v>
      </c>
      <c r="AE22" s="45">
        <f ca="1">Inputs!$B$8*$C22</f>
        <v>12000</v>
      </c>
      <c r="AF22" s="45">
        <f t="shared" ca="1" si="3"/>
        <v>1455.4622840927404</v>
      </c>
      <c r="AG22" s="45">
        <f t="shared" ca="1" si="4"/>
        <v>2399.4795270509494</v>
      </c>
      <c r="AH22" s="45">
        <f t="shared" ca="1" si="5"/>
        <v>1737.2713775281682</v>
      </c>
      <c r="AI22" s="45">
        <f t="shared" ca="1" si="6"/>
        <v>5592.213188671858</v>
      </c>
      <c r="AJ22" s="45">
        <f ca="1">U22*(Inputs!$B$12-ILP_C_HighResilience!$F$9)+V22*(Inputs!$B$13-ILP_C_HighResilience!$F$10)+W22*(Inputs!$B$14-ILP_C_HighResilience!$F$11)+X22*(Inputs!$B$15-ILP_C_HighResilience!$F$12)+Y22*(Inputs!$B$16-ILP_C_HighResilience!$F$13)</f>
        <v>24946.39273604723</v>
      </c>
      <c r="AK22" s="45">
        <f t="shared" ca="1" si="7"/>
        <v>5592.213188671858</v>
      </c>
      <c r="AL22" s="45">
        <f t="shared" ca="1" si="8"/>
        <v>0</v>
      </c>
      <c r="AM22" s="45">
        <f t="shared" ca="1" si="9"/>
        <v>0</v>
      </c>
      <c r="AN22" s="45">
        <f t="shared" ca="1" si="10"/>
        <v>0</v>
      </c>
      <c r="AO22" s="45">
        <f ca="1">MIN(AL22,Inputs!$B$36)</f>
        <v>0</v>
      </c>
      <c r="AP22" s="45">
        <f ca="1">MIN(AN22,Inputs!$B$36-AO22)</f>
        <v>0</v>
      </c>
      <c r="AQ22" s="45">
        <f ca="1">MIN(AM22,Inputs!$B$36-AO22-AP22)</f>
        <v>0</v>
      </c>
      <c r="AR22" s="45">
        <f t="shared" ca="1" si="11"/>
        <v>0</v>
      </c>
      <c r="AS22" s="45">
        <f t="shared" ca="1" si="12"/>
        <v>0</v>
      </c>
      <c r="AT22" s="45">
        <f t="shared" ca="1" si="13"/>
        <v>0</v>
      </c>
      <c r="AU22" s="45">
        <f t="shared" ca="1" si="14"/>
        <v>0</v>
      </c>
      <c r="AV22" s="46">
        <f ca="1">AU22*Inputs!$B$35</f>
        <v>0</v>
      </c>
      <c r="AW22" s="46">
        <f ca="1">AR22*Inputs!$C$6+AT22*Inputs!$C$7+AS22*Inputs!$C$8</f>
        <v>0</v>
      </c>
      <c r="AX22" s="46">
        <f t="shared" ca="1" si="15"/>
        <v>41693220.162596077</v>
      </c>
      <c r="AY22" s="46">
        <f ca="1">IF(J22&gt;1,($CD$4)*Inputs!$B$55*((Z22+AA22+AB22)/(SUM(ILP_C_HighResilience!$C$9:$E$13))),0)</f>
        <v>0</v>
      </c>
      <c r="AZ22" s="46">
        <f t="shared" ca="1" si="16"/>
        <v>0</v>
      </c>
      <c r="BA22" s="41">
        <f t="shared" ca="1" si="17"/>
        <v>0</v>
      </c>
      <c r="BB22" s="41">
        <f t="shared" ca="1" si="18"/>
        <v>1</v>
      </c>
      <c r="BC22" s="41">
        <f t="shared" ca="1" si="19"/>
        <v>1</v>
      </c>
      <c r="BD22" s="41">
        <f t="shared" ca="1" si="20"/>
        <v>1</v>
      </c>
    </row>
    <row r="23" spans="1:56" ht="15" customHeight="1" x14ac:dyDescent="0.3">
      <c r="A23" s="41">
        <v>16</v>
      </c>
      <c r="B23" s="42">
        <f t="shared" ca="1" si="0"/>
        <v>0.49348519595391993</v>
      </c>
      <c r="C23" s="43">
        <f ca="1">IF(B23&lt;=Inputs!$C$40,Inputs!$D$40,IF(B23&lt;=Inputs!$C$41,Inputs!$D$41,Inputs!$D$42))</f>
        <v>1</v>
      </c>
      <c r="D23" s="42">
        <f t="shared" ca="1" si="21"/>
        <v>0.88691503178109898</v>
      </c>
      <c r="E23" s="42">
        <f t="shared" ca="1" si="21"/>
        <v>0.32263670760343233</v>
      </c>
      <c r="F23" s="42">
        <f t="shared" ca="1" si="21"/>
        <v>0.98825388456883956</v>
      </c>
      <c r="G23" s="42">
        <f t="shared" ca="1" si="21"/>
        <v>0.30176056564003129</v>
      </c>
      <c r="H23" s="42">
        <f t="shared" ca="1" si="21"/>
        <v>0.58834359586054119</v>
      </c>
      <c r="I23" s="42">
        <f t="shared" ca="1" si="21"/>
        <v>0.89987939438584397</v>
      </c>
      <c r="J23" s="43">
        <f ca="1">IF(I23&lt;Inputs!$B$54,1+Inputs!$B$55,1)</f>
        <v>1</v>
      </c>
      <c r="K23" s="42">
        <f t="shared" ca="1" si="22"/>
        <v>0.130005646036078</v>
      </c>
      <c r="L23" s="42">
        <f t="shared" ca="1" si="22"/>
        <v>0.35588324714638531</v>
      </c>
      <c r="M23" s="42">
        <f t="shared" ca="1" si="22"/>
        <v>0.73002887225510382</v>
      </c>
      <c r="N23" s="42">
        <f t="shared" ca="1" si="22"/>
        <v>0.39098584627443</v>
      </c>
      <c r="O23" s="42">
        <f t="shared" ca="1" si="22"/>
        <v>0.88458507114306217</v>
      </c>
      <c r="P23" s="42">
        <f t="shared" ca="1" si="22"/>
        <v>0.25269386179446074</v>
      </c>
      <c r="Q23" s="42">
        <f t="shared" ca="1" si="22"/>
        <v>0.52238267332105282</v>
      </c>
      <c r="R23" s="42">
        <f t="shared" ca="1" si="22"/>
        <v>0.58722564976033509</v>
      </c>
      <c r="S23" s="42">
        <f t="shared" ca="1" si="22"/>
        <v>0.39111292398228026</v>
      </c>
      <c r="T23" s="42">
        <f t="shared" ca="1" si="22"/>
        <v>0.91547203000569999</v>
      </c>
      <c r="U23" s="44">
        <f ca="1">(IF(D23&gt;=Inputs!$E$12,1,IF(K23&lt;=Inputs!$C$46,Inputs!$D$46,IF(K23&lt;=Inputs!$C$47,Inputs!$D$47,Inputs!$D$48))))*((Inputs!$B$28+(P23-0.5)*2*Inputs!$B$53)/Inputs!$B$28)</f>
        <v>0.99749690143516656</v>
      </c>
      <c r="V23" s="44">
        <f ca="1">(IF(E23&gt;=Inputs!$E$13,1,IF(L23&lt;=Inputs!$C$46,Inputs!$D$46,IF(L23&lt;=Inputs!$C$47,Inputs!$D$47,Inputs!$D$48))))*((Inputs!$B$29+(Q23-0.5)*2*Inputs!$B$53)/Inputs!$B$29)</f>
        <v>1.0002256317875107</v>
      </c>
      <c r="W23" s="44">
        <f ca="1">(IF(F23&gt;=Inputs!$E$14,1,IF(M23&lt;=Inputs!$C$46,Inputs!$D$46,IF(M23&lt;=Inputs!$C$47,Inputs!$D$47,Inputs!$D$48))))*((Inputs!$B$30+(R23-0.5)*2*Inputs!$B$53)/Inputs!$B$30)</f>
        <v>1.0008766396960838</v>
      </c>
      <c r="X23" s="44">
        <f ca="1">(IF(G23&gt;=Inputs!$E$15,1,IF(N23&lt;=Inputs!$C$46,Inputs!$D$46,IF(N23&lt;=Inputs!$C$47,Inputs!$D$47,Inputs!$D$48))))*((Inputs!$B$31+(S23-0.5)*2*Inputs!$B$53)/Inputs!$B$31)</f>
        <v>0.99889454745159678</v>
      </c>
      <c r="Y23" s="44">
        <f ca="1">(IF(H23&gt;=Inputs!$E$16,1,IF(O23&lt;=Inputs!$C$46,Inputs!$D$46,IF(O23&lt;=Inputs!$C$47,Inputs!$D$47,Inputs!$D$48))))*((Inputs!$B$32+(T23-0.5)*2*Inputs!$B$53)/Inputs!$B$32)</f>
        <v>1.0041797990946248</v>
      </c>
      <c r="Z23" s="45">
        <f ca="1">ILP_C_HighResilience!$C$9*U23+ILP_C_HighResilience!$C$10*V23+ILP_C_HighResilience!$C$11*W23+ILP_C_HighResilience!$C$12*X23+ILP_C_HighResilience!$C$13*Y23</f>
        <v>17974.830706419736</v>
      </c>
      <c r="AA23" s="45">
        <f ca="1">ILP_C_HighResilience!$D$9*U23+ILP_C_HighResilience!$D$10*V23+ILP_C_HighResilience!$D$11*W23+ILP_C_HighResilience!$D$12*X23+ILP_C_HighResilience!$D$13*Y23</f>
        <v>15000.086281820288</v>
      </c>
      <c r="AB23" s="45">
        <f ca="1">ILP_C_HighResilience!$E$9*U23+ILP_C_HighResilience!$E$10*V23+ILP_C_HighResilience!$E$11*W23+ILP_C_HighResilience!$E$12*X23+ILP_C_HighResilience!$E$13*Y23</f>
        <v>11991.505410788643</v>
      </c>
      <c r="AC23" s="45">
        <f ca="1">Inputs!$B$6*$C23</f>
        <v>18000</v>
      </c>
      <c r="AD23" s="45">
        <f ca="1">Inputs!$B$7*$C23</f>
        <v>15000</v>
      </c>
      <c r="AE23" s="45">
        <f ca="1">Inputs!$B$8*$C23</f>
        <v>12000</v>
      </c>
      <c r="AF23" s="45">
        <f t="shared" ca="1" si="3"/>
        <v>25.169293580263911</v>
      </c>
      <c r="AG23" s="45">
        <f t="shared" ca="1" si="4"/>
        <v>0</v>
      </c>
      <c r="AH23" s="45">
        <f t="shared" ca="1" si="5"/>
        <v>8.4945892113573791</v>
      </c>
      <c r="AI23" s="45">
        <f t="shared" ca="1" si="6"/>
        <v>33.66388279162129</v>
      </c>
      <c r="AJ23" s="45">
        <f ca="1">U23*(Inputs!$B$12-ILP_C_HighResilience!$F$9)+V23*(Inputs!$B$13-ILP_C_HighResilience!$F$10)+W23*(Inputs!$B$14-ILP_C_HighResilience!$F$11)+X23*(Inputs!$B$15-ILP_C_HighResilience!$F$12)+Y23*(Inputs!$B$16-ILP_C_HighResilience!$F$13)</f>
        <v>25057.514740846775</v>
      </c>
      <c r="AK23" s="45">
        <f t="shared" ca="1" si="7"/>
        <v>33.66388279162129</v>
      </c>
      <c r="AL23" s="45">
        <f t="shared" ca="1" si="8"/>
        <v>0</v>
      </c>
      <c r="AM23" s="45">
        <f t="shared" ca="1" si="9"/>
        <v>0</v>
      </c>
      <c r="AN23" s="45">
        <f t="shared" ca="1" si="10"/>
        <v>0</v>
      </c>
      <c r="AO23" s="45">
        <f ca="1">MIN(AL23,Inputs!$B$36)</f>
        <v>0</v>
      </c>
      <c r="AP23" s="45">
        <f ca="1">MIN(AN23,Inputs!$B$36-AO23)</f>
        <v>0</v>
      </c>
      <c r="AQ23" s="45">
        <f ca="1">MIN(AM23,Inputs!$B$36-AO23-AP23)</f>
        <v>0</v>
      </c>
      <c r="AR23" s="45">
        <f t="shared" ca="1" si="11"/>
        <v>0</v>
      </c>
      <c r="AS23" s="45">
        <f t="shared" ca="1" si="12"/>
        <v>0</v>
      </c>
      <c r="AT23" s="45">
        <f t="shared" ca="1" si="13"/>
        <v>0</v>
      </c>
      <c r="AU23" s="45">
        <f t="shared" ca="1" si="14"/>
        <v>0</v>
      </c>
      <c r="AV23" s="46">
        <f ca="1">AU23*Inputs!$B$35</f>
        <v>0</v>
      </c>
      <c r="AW23" s="46">
        <f ca="1">AR23*Inputs!$C$6+AT23*Inputs!$C$7+AS23*Inputs!$C$8</f>
        <v>0</v>
      </c>
      <c r="AX23" s="46">
        <f t="shared" ca="1" si="15"/>
        <v>47597047.724145457</v>
      </c>
      <c r="AY23" s="46">
        <f ca="1">IF(J23&gt;1,($CD$4)*Inputs!$B$55*((Z23+AA23+AB23)/(SUM(ILP_C_HighResilience!$C$9:$E$13))),0)</f>
        <v>0</v>
      </c>
      <c r="AZ23" s="46">
        <f t="shared" ca="1" si="16"/>
        <v>0</v>
      </c>
      <c r="BA23" s="41">
        <f t="shared" ca="1" si="17"/>
        <v>0</v>
      </c>
      <c r="BB23" s="41">
        <f t="shared" ca="1" si="18"/>
        <v>1</v>
      </c>
      <c r="BC23" s="41">
        <f t="shared" ca="1" si="19"/>
        <v>1</v>
      </c>
      <c r="BD23" s="41">
        <f t="shared" ca="1" si="20"/>
        <v>1</v>
      </c>
    </row>
    <row r="24" spans="1:56" ht="15" customHeight="1" x14ac:dyDescent="0.3">
      <c r="A24" s="41">
        <v>17</v>
      </c>
      <c r="B24" s="42">
        <f t="shared" ca="1" si="0"/>
        <v>0.99733193164433676</v>
      </c>
      <c r="C24" s="43">
        <f ca="1">IF(B24&lt;=Inputs!$C$40,Inputs!$D$40,IF(B24&lt;=Inputs!$C$41,Inputs!$D$41,Inputs!$D$42))</f>
        <v>1.1499999999999999</v>
      </c>
      <c r="D24" s="42">
        <f t="shared" ca="1" si="21"/>
        <v>0.66436582827102075</v>
      </c>
      <c r="E24" s="42">
        <f t="shared" ca="1" si="21"/>
        <v>0.98349638385957305</v>
      </c>
      <c r="F24" s="42">
        <f t="shared" ca="1" si="21"/>
        <v>0.80416880761666087</v>
      </c>
      <c r="G24" s="42">
        <f t="shared" ca="1" si="21"/>
        <v>0.70751154123623916</v>
      </c>
      <c r="H24" s="42">
        <f t="shared" ca="1" si="21"/>
        <v>0.93037170658270818</v>
      </c>
      <c r="I24" s="42">
        <f t="shared" ca="1" si="21"/>
        <v>0.20293651837259818</v>
      </c>
      <c r="J24" s="43">
        <f ca="1">IF(I24&lt;Inputs!$B$54,1+Inputs!$B$55,1)</f>
        <v>1</v>
      </c>
      <c r="K24" s="42">
        <f t="shared" ca="1" si="22"/>
        <v>0.19451720403333128</v>
      </c>
      <c r="L24" s="42">
        <f t="shared" ca="1" si="22"/>
        <v>0.67470367746250437</v>
      </c>
      <c r="M24" s="42">
        <f t="shared" ca="1" si="22"/>
        <v>1.0946756949377301E-2</v>
      </c>
      <c r="N24" s="42">
        <f t="shared" ca="1" si="22"/>
        <v>0.95081775950572078</v>
      </c>
      <c r="O24" s="42">
        <f t="shared" ca="1" si="22"/>
        <v>0.23220151444338044</v>
      </c>
      <c r="P24" s="42">
        <f t="shared" ca="1" si="22"/>
        <v>0.49894219115810468</v>
      </c>
      <c r="Q24" s="42">
        <f t="shared" ca="1" si="22"/>
        <v>0.16614735764978483</v>
      </c>
      <c r="R24" s="42">
        <f t="shared" ca="1" si="22"/>
        <v>0.89515964466812292</v>
      </c>
      <c r="S24" s="42">
        <f t="shared" ca="1" si="22"/>
        <v>0.4260148850395673</v>
      </c>
      <c r="T24" s="42">
        <f t="shared" ca="1" si="22"/>
        <v>0.80018669815484156</v>
      </c>
      <c r="U24" s="44">
        <f ca="1">(IF(D24&gt;=Inputs!$E$12,1,IF(K24&lt;=Inputs!$C$46,Inputs!$D$46,IF(K24&lt;=Inputs!$C$47,Inputs!$D$47,Inputs!$D$48))))*((Inputs!$B$28+(P24-0.5)*2*Inputs!$B$53)/Inputs!$B$28)</f>
        <v>0.99998929343277432</v>
      </c>
      <c r="V24" s="44">
        <f ca="1">(IF(E24&gt;=Inputs!$E$13,1,IF(L24&lt;=Inputs!$C$46,Inputs!$D$46,IF(L24&lt;=Inputs!$C$47,Inputs!$D$47,Inputs!$D$48))))*((Inputs!$B$29+(Q24-0.5)*2*Inputs!$B$53)/Inputs!$B$29)</f>
        <v>0.99663454997630829</v>
      </c>
      <c r="W24" s="44">
        <f ca="1">(IF(F24&gt;=Inputs!$E$14,1,IF(M24&lt;=Inputs!$C$46,Inputs!$D$46,IF(M24&lt;=Inputs!$C$47,Inputs!$D$47,Inputs!$D$48))))*((Inputs!$B$30+(R24-0.5)*2*Inputs!$B$53)/Inputs!$B$30)</f>
        <v>1.0039714537152575</v>
      </c>
      <c r="X24" s="44">
        <f ca="1">(IF(G24&gt;=Inputs!$E$15,1,IF(N24&lt;=Inputs!$C$46,Inputs!$D$46,IF(N24&lt;=Inputs!$C$47,Inputs!$D$47,Inputs!$D$48))))*((Inputs!$B$31+(S24-0.5)*2*Inputs!$B$53)/Inputs!$B$31)</f>
        <v>0.99924888208161999</v>
      </c>
      <c r="Y24" s="44">
        <f ca="1">(IF(H24&gt;=Inputs!$E$16,1,IF(O24&lt;=Inputs!$C$46,Inputs!$D$46,IF(O24&lt;=Inputs!$C$47,Inputs!$D$47,Inputs!$D$48))))*((Inputs!$B$32+(T24-0.5)*2*Inputs!$B$53)/Inputs!$B$32)</f>
        <v>1.0030199869029661</v>
      </c>
      <c r="Z24" s="45">
        <f ca="1">ILP_C_HighResilience!$C$9*U24+ILP_C_HighResilience!$C$10*V24+ILP_C_HighResilience!$C$11*W24+ILP_C_HighResilience!$C$12*X24+ILP_C_HighResilience!$C$13*Y24</f>
        <v>17982.399243618347</v>
      </c>
      <c r="AA24" s="45">
        <f ca="1">ILP_C_HighResilience!$D$9*U24+ILP_C_HighResilience!$D$10*V24+ILP_C_HighResilience!$D$11*W24+ILP_C_HighResilience!$D$12*X24+ILP_C_HighResilience!$D$13*Y24</f>
        <v>14993.73210234776</v>
      </c>
      <c r="AB24" s="45">
        <f ca="1">ILP_C_HighResilience!$E$9*U24+ILP_C_HighResilience!$E$10*V24+ILP_C_HighResilience!$E$11*W24+ILP_C_HighResilience!$E$12*X24+ILP_C_HighResilience!$E$13*Y24</f>
        <v>11997.082431994557</v>
      </c>
      <c r="AC24" s="45">
        <f ca="1">Inputs!$B$6*$C24</f>
        <v>20700</v>
      </c>
      <c r="AD24" s="45">
        <f ca="1">Inputs!$B$7*$C24</f>
        <v>17250</v>
      </c>
      <c r="AE24" s="45">
        <f ca="1">Inputs!$B$8*$C24</f>
        <v>13799.999999999998</v>
      </c>
      <c r="AF24" s="45">
        <f t="shared" ca="1" si="3"/>
        <v>2717.6007563816529</v>
      </c>
      <c r="AG24" s="45">
        <f t="shared" ca="1" si="4"/>
        <v>2256.2678976522402</v>
      </c>
      <c r="AH24" s="45">
        <f t="shared" ca="1" si="5"/>
        <v>1802.9175680054414</v>
      </c>
      <c r="AI24" s="45">
        <f t="shared" ca="1" si="6"/>
        <v>6776.7862220393345</v>
      </c>
      <c r="AJ24" s="45">
        <f ca="1">U24*(Inputs!$B$12-ILP_C_HighResilience!$F$9)+V24*(Inputs!$B$13-ILP_C_HighResilience!$F$10)+W24*(Inputs!$B$14-ILP_C_HighResilience!$F$11)+X24*(Inputs!$B$15-ILP_C_HighResilience!$F$12)+Y24*(Inputs!$B$16-ILP_C_HighResilience!$F$13)</f>
        <v>25067.413903454319</v>
      </c>
      <c r="AK24" s="45">
        <f t="shared" ca="1" si="7"/>
        <v>6776.7862220393345</v>
      </c>
      <c r="AL24" s="45">
        <f t="shared" ca="1" si="8"/>
        <v>0</v>
      </c>
      <c r="AM24" s="45">
        <f t="shared" ca="1" si="9"/>
        <v>0</v>
      </c>
      <c r="AN24" s="45">
        <f t="shared" ca="1" si="10"/>
        <v>0</v>
      </c>
      <c r="AO24" s="45">
        <f ca="1">MIN(AL24,Inputs!$B$36)</f>
        <v>0</v>
      </c>
      <c r="AP24" s="45">
        <f ca="1">MIN(AN24,Inputs!$B$36-AO24)</f>
        <v>0</v>
      </c>
      <c r="AQ24" s="45">
        <f ca="1">MIN(AM24,Inputs!$B$36-AO24-AP24)</f>
        <v>0</v>
      </c>
      <c r="AR24" s="45">
        <f t="shared" ca="1" si="11"/>
        <v>0</v>
      </c>
      <c r="AS24" s="45">
        <f t="shared" ca="1" si="12"/>
        <v>0</v>
      </c>
      <c r="AT24" s="45">
        <f t="shared" ca="1" si="13"/>
        <v>0</v>
      </c>
      <c r="AU24" s="45">
        <f t="shared" ca="1" si="14"/>
        <v>0</v>
      </c>
      <c r="AV24" s="46">
        <f ca="1">AU24*Inputs!$B$35</f>
        <v>0</v>
      </c>
      <c r="AW24" s="46">
        <f ca="1">AR24*Inputs!$C$6+AT24*Inputs!$C$7+AS24*Inputs!$C$8</f>
        <v>0</v>
      </c>
      <c r="AX24" s="46">
        <f t="shared" ca="1" si="15"/>
        <v>47604344.713384204</v>
      </c>
      <c r="AY24" s="46">
        <f ca="1">IF(J24&gt;1,($CD$4)*Inputs!$B$55*((Z24+AA24+AB24)/(SUM(ILP_C_HighResilience!$C$9:$E$13))),0)</f>
        <v>0</v>
      </c>
      <c r="AZ24" s="46">
        <f t="shared" ca="1" si="16"/>
        <v>0</v>
      </c>
      <c r="BA24" s="41">
        <f t="shared" ca="1" si="17"/>
        <v>0</v>
      </c>
      <c r="BB24" s="41">
        <f t="shared" ca="1" si="18"/>
        <v>1</v>
      </c>
      <c r="BC24" s="41">
        <f t="shared" ca="1" si="19"/>
        <v>1</v>
      </c>
      <c r="BD24" s="41">
        <f t="shared" ca="1" si="20"/>
        <v>1</v>
      </c>
    </row>
    <row r="25" spans="1:56" ht="15" customHeight="1" x14ac:dyDescent="0.3">
      <c r="A25" s="41">
        <v>18</v>
      </c>
      <c r="B25" s="42">
        <f t="shared" ca="1" si="0"/>
        <v>0.96199264972917609</v>
      </c>
      <c r="C25" s="43">
        <f ca="1">IF(B25&lt;=Inputs!$C$40,Inputs!$D$40,IF(B25&lt;=Inputs!$C$41,Inputs!$D$41,Inputs!$D$42))</f>
        <v>1.1499999999999999</v>
      </c>
      <c r="D25" s="42">
        <f t="shared" ca="1" si="21"/>
        <v>0.78703438012011007</v>
      </c>
      <c r="E25" s="42">
        <f t="shared" ca="1" si="21"/>
        <v>0.29287889745795348</v>
      </c>
      <c r="F25" s="42">
        <f t="shared" ca="1" si="21"/>
        <v>0.43784313393645924</v>
      </c>
      <c r="G25" s="42">
        <f t="shared" ca="1" si="21"/>
        <v>0.37257065019694524</v>
      </c>
      <c r="H25" s="42">
        <f t="shared" ca="1" si="21"/>
        <v>0.15105239176630247</v>
      </c>
      <c r="I25" s="42">
        <f t="shared" ca="1" si="21"/>
        <v>0.22651164311416838</v>
      </c>
      <c r="J25" s="43">
        <f ca="1">IF(I25&lt;Inputs!$B$54,1+Inputs!$B$55,1)</f>
        <v>1</v>
      </c>
      <c r="K25" s="42">
        <f t="shared" ca="1" si="22"/>
        <v>8.3971119603128419E-2</v>
      </c>
      <c r="L25" s="42">
        <f t="shared" ca="1" si="22"/>
        <v>0.84992124133388114</v>
      </c>
      <c r="M25" s="42">
        <f t="shared" ca="1" si="22"/>
        <v>0.65862795909986105</v>
      </c>
      <c r="N25" s="42">
        <f t="shared" ca="1" si="22"/>
        <v>0.11213293307991234</v>
      </c>
      <c r="O25" s="42">
        <f t="shared" ca="1" si="22"/>
        <v>0.91900575078268187</v>
      </c>
      <c r="P25" s="42">
        <f t="shared" ca="1" si="22"/>
        <v>0.51686352347543763</v>
      </c>
      <c r="Q25" s="42">
        <f t="shared" ca="1" si="22"/>
        <v>0.20818800288091655</v>
      </c>
      <c r="R25" s="42">
        <f t="shared" ca="1" si="22"/>
        <v>0.78125566601729202</v>
      </c>
      <c r="S25" s="42">
        <f t="shared" ca="1" si="22"/>
        <v>0.69626344469486623</v>
      </c>
      <c r="T25" s="42">
        <f t="shared" ca="1" si="22"/>
        <v>0.6252630489231098</v>
      </c>
      <c r="U25" s="44">
        <f ca="1">(IF(D25&gt;=Inputs!$E$12,1,IF(K25&lt;=Inputs!$C$46,Inputs!$D$46,IF(K25&lt;=Inputs!$C$47,Inputs!$D$47,Inputs!$D$48))))*((Inputs!$B$28+(P25-0.5)*2*Inputs!$B$53)/Inputs!$B$28)</f>
        <v>1.0001706834359863</v>
      </c>
      <c r="V25" s="44">
        <f ca="1">(IF(E25&gt;=Inputs!$E$13,1,IF(L25&lt;=Inputs!$C$46,Inputs!$D$46,IF(L25&lt;=Inputs!$C$47,Inputs!$D$47,Inputs!$D$48))))*((Inputs!$B$29+(Q25-0.5)*2*Inputs!$B$53)/Inputs!$B$29)</f>
        <v>0.99705834680323502</v>
      </c>
      <c r="W25" s="44">
        <f ca="1">(IF(F25&gt;=Inputs!$E$14,1,IF(M25&lt;=Inputs!$C$46,Inputs!$D$46,IF(M25&lt;=Inputs!$C$47,Inputs!$D$47,Inputs!$D$48))))*((Inputs!$B$30+(R25-0.5)*2*Inputs!$B$53)/Inputs!$B$30)</f>
        <v>1.0028266901107266</v>
      </c>
      <c r="X25" s="44">
        <f ca="1">(IF(G25&gt;=Inputs!$E$15,1,IF(N25&lt;=Inputs!$C$46,Inputs!$D$46,IF(N25&lt;=Inputs!$C$47,Inputs!$D$47,Inputs!$D$48))))*((Inputs!$B$31+(S25-0.5)*2*Inputs!$B$53)/Inputs!$B$31)</f>
        <v>1.0019925222811661</v>
      </c>
      <c r="Y25" s="44">
        <f ca="1">(IF(H25&gt;=Inputs!$E$16,1,IF(O25&lt;=Inputs!$C$46,Inputs!$D$46,IF(O25&lt;=Inputs!$C$47,Inputs!$D$47,Inputs!$D$48))))*((Inputs!$B$32+(T25-0.5)*2*Inputs!$B$53)/Inputs!$B$32)</f>
        <v>1.0012601916390655</v>
      </c>
      <c r="Z25" s="45">
        <f ca="1">ILP_C_HighResilience!$C$9*U25+ILP_C_HighResilience!$C$10*V25+ILP_C_HighResilience!$C$11*W25+ILP_C_HighResilience!$C$12*X25+ILP_C_HighResilience!$C$13*Y25</f>
        <v>18004.985129655142</v>
      </c>
      <c r="AA25" s="45">
        <f ca="1">ILP_C_HighResilience!$D$9*U25+ILP_C_HighResilience!$D$10*V25+ILP_C_HighResilience!$D$11*W25+ILP_C_HighResilience!$D$12*X25+ILP_C_HighResilience!$D$13*Y25</f>
        <v>15003.936436443379</v>
      </c>
      <c r="AB25" s="45">
        <f ca="1">ILP_C_HighResilience!$E$9*U25+ILP_C_HighResilience!$E$10*V25+ILP_C_HighResilience!$E$11*W25+ILP_C_HighResilience!$E$12*X25+ILP_C_HighResilience!$E$13*Y25</f>
        <v>11996.436793187442</v>
      </c>
      <c r="AC25" s="45">
        <f ca="1">Inputs!$B$6*$C25</f>
        <v>20700</v>
      </c>
      <c r="AD25" s="45">
        <f ca="1">Inputs!$B$7*$C25</f>
        <v>17250</v>
      </c>
      <c r="AE25" s="45">
        <f ca="1">Inputs!$B$8*$C25</f>
        <v>13799.999999999998</v>
      </c>
      <c r="AF25" s="45">
        <f t="shared" ca="1" si="3"/>
        <v>2695.0148703448576</v>
      </c>
      <c r="AG25" s="45">
        <f t="shared" ca="1" si="4"/>
        <v>2246.0635635566214</v>
      </c>
      <c r="AH25" s="45">
        <f t="shared" ca="1" si="5"/>
        <v>1803.563206812556</v>
      </c>
      <c r="AI25" s="45">
        <f t="shared" ca="1" si="6"/>
        <v>6744.641640714035</v>
      </c>
      <c r="AJ25" s="45">
        <f ca="1">U25*(Inputs!$B$12-ILP_C_HighResilience!$F$9)+V25*(Inputs!$B$13-ILP_C_HighResilience!$F$10)+W25*(Inputs!$B$14-ILP_C_HighResilience!$F$11)+X25*(Inputs!$B$15-ILP_C_HighResilience!$F$12)+Y25*(Inputs!$B$16-ILP_C_HighResilience!$F$13)</f>
        <v>25035.749544334525</v>
      </c>
      <c r="AK25" s="45">
        <f t="shared" ca="1" si="7"/>
        <v>6744.641640714035</v>
      </c>
      <c r="AL25" s="45">
        <f t="shared" ca="1" si="8"/>
        <v>0</v>
      </c>
      <c r="AM25" s="45">
        <f t="shared" ca="1" si="9"/>
        <v>0</v>
      </c>
      <c r="AN25" s="45">
        <f t="shared" ca="1" si="10"/>
        <v>0</v>
      </c>
      <c r="AO25" s="45">
        <f ca="1">MIN(AL25,Inputs!$B$36)</f>
        <v>0</v>
      </c>
      <c r="AP25" s="45">
        <f ca="1">MIN(AN25,Inputs!$B$36-AO25)</f>
        <v>0</v>
      </c>
      <c r="AQ25" s="45">
        <f ca="1">MIN(AM25,Inputs!$B$36-AO25-AP25)</f>
        <v>0</v>
      </c>
      <c r="AR25" s="45">
        <f t="shared" ca="1" si="11"/>
        <v>0</v>
      </c>
      <c r="AS25" s="45">
        <f t="shared" ca="1" si="12"/>
        <v>0</v>
      </c>
      <c r="AT25" s="45">
        <f t="shared" ca="1" si="13"/>
        <v>0</v>
      </c>
      <c r="AU25" s="45">
        <f t="shared" ca="1" si="14"/>
        <v>0</v>
      </c>
      <c r="AV25" s="46">
        <f ca="1">AU25*Inputs!$B$35</f>
        <v>0</v>
      </c>
      <c r="AW25" s="46">
        <f ca="1">AR25*Inputs!$C$6+AT25*Inputs!$C$7+AS25*Inputs!$C$8</f>
        <v>0</v>
      </c>
      <c r="AX25" s="46">
        <f t="shared" ca="1" si="15"/>
        <v>47637853.069679365</v>
      </c>
      <c r="AY25" s="46">
        <f ca="1">IF(J25&gt;1,($CD$4)*Inputs!$B$55*((Z25+AA25+AB25)/(SUM(ILP_C_HighResilience!$C$9:$E$13))),0)</f>
        <v>0</v>
      </c>
      <c r="AZ25" s="46">
        <f t="shared" ca="1" si="16"/>
        <v>0</v>
      </c>
      <c r="BA25" s="41">
        <f t="shared" ca="1" si="17"/>
        <v>0</v>
      </c>
      <c r="BB25" s="41">
        <f t="shared" ca="1" si="18"/>
        <v>1</v>
      </c>
      <c r="BC25" s="41">
        <f t="shared" ca="1" si="19"/>
        <v>1</v>
      </c>
      <c r="BD25" s="41">
        <f t="shared" ca="1" si="20"/>
        <v>1</v>
      </c>
    </row>
    <row r="26" spans="1:56" ht="15" customHeight="1" x14ac:dyDescent="0.3">
      <c r="A26" s="41">
        <v>19</v>
      </c>
      <c r="B26" s="42">
        <f t="shared" ca="1" si="0"/>
        <v>0.3210977344876309</v>
      </c>
      <c r="C26" s="43">
        <f ca="1">IF(B26&lt;=Inputs!$C$40,Inputs!$D$40,IF(B26&lt;=Inputs!$C$41,Inputs!$D$41,Inputs!$D$42))</f>
        <v>1</v>
      </c>
      <c r="D26" s="42">
        <f t="shared" ca="1" si="21"/>
        <v>0.63004435259038871</v>
      </c>
      <c r="E26" s="42">
        <f t="shared" ca="1" si="21"/>
        <v>0.69379886813006886</v>
      </c>
      <c r="F26" s="42">
        <f t="shared" ca="1" si="21"/>
        <v>0.58747209611865203</v>
      </c>
      <c r="G26" s="42">
        <f t="shared" ca="1" si="21"/>
        <v>0.98323447728181812</v>
      </c>
      <c r="H26" s="42">
        <f t="shared" ca="1" si="21"/>
        <v>0.69411202222160895</v>
      </c>
      <c r="I26" s="42">
        <f t="shared" ca="1" si="21"/>
        <v>0.32595432267810887</v>
      </c>
      <c r="J26" s="43">
        <f ca="1">IF(I26&lt;Inputs!$B$54,1+Inputs!$B$55,1)</f>
        <v>1</v>
      </c>
      <c r="K26" s="42">
        <f t="shared" ca="1" si="22"/>
        <v>0.87838426813938308</v>
      </c>
      <c r="L26" s="42">
        <f t="shared" ca="1" si="22"/>
        <v>0.10460930324641016</v>
      </c>
      <c r="M26" s="42">
        <f t="shared" ca="1" si="22"/>
        <v>0.91289557394237364</v>
      </c>
      <c r="N26" s="42">
        <f t="shared" ca="1" si="22"/>
        <v>0.45730558466587323</v>
      </c>
      <c r="O26" s="42">
        <f t="shared" ca="1" si="22"/>
        <v>0.92991997073484944</v>
      </c>
      <c r="P26" s="42">
        <f t="shared" ca="1" si="22"/>
        <v>0.15140489803090373</v>
      </c>
      <c r="Q26" s="42">
        <f t="shared" ca="1" si="22"/>
        <v>0.47942069186093184</v>
      </c>
      <c r="R26" s="42">
        <f t="shared" ca="1" si="22"/>
        <v>0.15104318238703107</v>
      </c>
      <c r="S26" s="42">
        <f t="shared" ca="1" si="22"/>
        <v>0.12208911513095311</v>
      </c>
      <c r="T26" s="42">
        <f t="shared" ca="1" si="22"/>
        <v>0.91309822224713721</v>
      </c>
      <c r="U26" s="44">
        <f ca="1">(IF(D26&gt;=Inputs!$E$12,1,IF(K26&lt;=Inputs!$C$46,Inputs!$D$46,IF(K26&lt;=Inputs!$C$47,Inputs!$D$47,Inputs!$D$48))))*((Inputs!$B$28+(P26-0.5)*2*Inputs!$B$53)/Inputs!$B$28)</f>
        <v>0.99647170949423991</v>
      </c>
      <c r="V26" s="44">
        <f ca="1">(IF(E26&gt;=Inputs!$E$13,1,IF(L26&lt;=Inputs!$C$46,Inputs!$D$46,IF(L26&lt;=Inputs!$C$47,Inputs!$D$47,Inputs!$D$48))))*((Inputs!$B$29+(Q26-0.5)*2*Inputs!$B$53)/Inputs!$B$29)</f>
        <v>0.99979254729698519</v>
      </c>
      <c r="W26" s="44">
        <f ca="1">(IF(F26&gt;=Inputs!$E$14,1,IF(M26&lt;=Inputs!$C$46,Inputs!$D$46,IF(M26&lt;=Inputs!$C$47,Inputs!$D$47,Inputs!$D$48))))*((Inputs!$B$30+(R26-0.5)*2*Inputs!$B$53)/Inputs!$B$30)</f>
        <v>0.99649289630539728</v>
      </c>
      <c r="X26" s="44">
        <f ca="1">(IF(G26&gt;=Inputs!$E$15,1,IF(N26&lt;=Inputs!$C$46,Inputs!$D$46,IF(N26&lt;=Inputs!$C$47,Inputs!$D$47,Inputs!$D$48))))*((Inputs!$B$31+(S26-0.5)*2*Inputs!$B$53)/Inputs!$B$31)</f>
        <v>0.99616334127036499</v>
      </c>
      <c r="Y26" s="44">
        <f ca="1">(IF(H26&gt;=Inputs!$E$16,1,IF(O26&lt;=Inputs!$C$46,Inputs!$D$46,IF(O26&lt;=Inputs!$C$47,Inputs!$D$47,Inputs!$D$48))))*((Inputs!$B$32+(T26-0.5)*2*Inputs!$B$53)/Inputs!$B$32)</f>
        <v>1.0041559177288444</v>
      </c>
      <c r="Z26" s="45">
        <f ca="1">ILP_C_HighResilience!$C$9*U26+ILP_C_HighResilience!$C$10*V26+ILP_C_HighResilience!$C$11*W26+ILP_C_HighResilience!$C$12*X26+ILP_C_HighResilience!$C$13*Y26</f>
        <v>17946.225535774305</v>
      </c>
      <c r="AA26" s="45">
        <f ca="1">ILP_C_HighResilience!$D$9*U26+ILP_C_HighResilience!$D$10*V26+ILP_C_HighResilience!$D$11*W26+ILP_C_HighResilience!$D$12*X26+ILP_C_HighResilience!$D$13*Y26</f>
        <v>14965.668806268637</v>
      </c>
      <c r="AB26" s="45">
        <f ca="1">ILP_C_HighResilience!$E$9*U26+ILP_C_HighResilience!$E$10*V26+ILP_C_HighResilience!$E$11*W26+ILP_C_HighResilience!$E$12*X26+ILP_C_HighResilience!$E$13*Y26</f>
        <v>11971.961962423142</v>
      </c>
      <c r="AC26" s="45">
        <f ca="1">Inputs!$B$6*$C26</f>
        <v>18000</v>
      </c>
      <c r="AD26" s="45">
        <f ca="1">Inputs!$B$7*$C26</f>
        <v>15000</v>
      </c>
      <c r="AE26" s="45">
        <f ca="1">Inputs!$B$8*$C26</f>
        <v>12000</v>
      </c>
      <c r="AF26" s="45">
        <f t="shared" ca="1" si="3"/>
        <v>53.774464225694828</v>
      </c>
      <c r="AG26" s="45">
        <f t="shared" ca="1" si="4"/>
        <v>34.331193731362873</v>
      </c>
      <c r="AH26" s="45">
        <f t="shared" ca="1" si="5"/>
        <v>28.038037576858187</v>
      </c>
      <c r="AI26" s="45">
        <f t="shared" ca="1" si="6"/>
        <v>116.14369553391589</v>
      </c>
      <c r="AJ26" s="45">
        <f ca="1">U26*(Inputs!$B$12-ILP_C_HighResilience!$F$9)+V26*(Inputs!$B$13-ILP_C_HighResilience!$F$10)+W26*(Inputs!$B$14-ILP_C_HighResilience!$F$11)+X26*(Inputs!$B$15-ILP_C_HighResilience!$F$12)+Y26*(Inputs!$B$16-ILP_C_HighResilience!$F$13)</f>
        <v>25027.493222746762</v>
      </c>
      <c r="AK26" s="45">
        <f t="shared" ca="1" si="7"/>
        <v>116.14369553391589</v>
      </c>
      <c r="AL26" s="45">
        <f t="shared" ca="1" si="8"/>
        <v>0</v>
      </c>
      <c r="AM26" s="45">
        <f t="shared" ca="1" si="9"/>
        <v>0</v>
      </c>
      <c r="AN26" s="45">
        <f t="shared" ca="1" si="10"/>
        <v>0</v>
      </c>
      <c r="AO26" s="45">
        <f ca="1">MIN(AL26,Inputs!$B$36)</f>
        <v>0</v>
      </c>
      <c r="AP26" s="45">
        <f ca="1">MIN(AN26,Inputs!$B$36-AO26)</f>
        <v>0</v>
      </c>
      <c r="AQ26" s="45">
        <f ca="1">MIN(AM26,Inputs!$B$36-AO26-AP26)</f>
        <v>0</v>
      </c>
      <c r="AR26" s="45">
        <f t="shared" ca="1" si="11"/>
        <v>0</v>
      </c>
      <c r="AS26" s="45">
        <f t="shared" ca="1" si="12"/>
        <v>0</v>
      </c>
      <c r="AT26" s="45">
        <f t="shared" ca="1" si="13"/>
        <v>0</v>
      </c>
      <c r="AU26" s="45">
        <f t="shared" ca="1" si="14"/>
        <v>0</v>
      </c>
      <c r="AV26" s="46">
        <f ca="1">AU26*Inputs!$B$35</f>
        <v>0</v>
      </c>
      <c r="AW26" s="46">
        <f ca="1">AR26*Inputs!$C$6+AT26*Inputs!$C$7+AS26*Inputs!$C$8</f>
        <v>0</v>
      </c>
      <c r="AX26" s="46">
        <f t="shared" ca="1" si="15"/>
        <v>47509708.442238227</v>
      </c>
      <c r="AY26" s="46">
        <f ca="1">IF(J26&gt;1,($CD$4)*Inputs!$B$55*((Z26+AA26+AB26)/(SUM(ILP_C_HighResilience!$C$9:$E$13))),0)</f>
        <v>0</v>
      </c>
      <c r="AZ26" s="46">
        <f t="shared" ca="1" si="16"/>
        <v>0</v>
      </c>
      <c r="BA26" s="41">
        <f t="shared" ca="1" si="17"/>
        <v>0</v>
      </c>
      <c r="BB26" s="41">
        <f t="shared" ca="1" si="18"/>
        <v>1</v>
      </c>
      <c r="BC26" s="41">
        <f t="shared" ca="1" si="19"/>
        <v>1</v>
      </c>
      <c r="BD26" s="41">
        <f t="shared" ca="1" si="20"/>
        <v>1</v>
      </c>
    </row>
    <row r="27" spans="1:56" ht="15" customHeight="1" x14ac:dyDescent="0.3">
      <c r="A27" s="41">
        <v>20</v>
      </c>
      <c r="B27" s="42">
        <f t="shared" ca="1" si="0"/>
        <v>0.63416705136319695</v>
      </c>
      <c r="C27" s="43">
        <f ca="1">IF(B27&lt;=Inputs!$C$40,Inputs!$D$40,IF(B27&lt;=Inputs!$C$41,Inputs!$D$41,Inputs!$D$42))</f>
        <v>1</v>
      </c>
      <c r="D27" s="42">
        <f t="shared" ca="1" si="21"/>
        <v>0.80280009645827799</v>
      </c>
      <c r="E27" s="42">
        <f t="shared" ca="1" si="21"/>
        <v>0.11193042476340209</v>
      </c>
      <c r="F27" s="42">
        <f t="shared" ca="1" si="21"/>
        <v>0.47610985344642154</v>
      </c>
      <c r="G27" s="42">
        <f t="shared" ca="1" si="21"/>
        <v>0.26606015042487785</v>
      </c>
      <c r="H27" s="42">
        <f t="shared" ca="1" si="21"/>
        <v>0.39574466943117803</v>
      </c>
      <c r="I27" s="42">
        <f t="shared" ca="1" si="21"/>
        <v>0.94264731922252321</v>
      </c>
      <c r="J27" s="43">
        <f ca="1">IF(I27&lt;Inputs!$B$54,1+Inputs!$B$55,1)</f>
        <v>1</v>
      </c>
      <c r="K27" s="42">
        <f t="shared" ca="1" si="22"/>
        <v>0.36702328202048562</v>
      </c>
      <c r="L27" s="42">
        <f t="shared" ca="1" si="22"/>
        <v>0.26266376332929542</v>
      </c>
      <c r="M27" s="42">
        <f t="shared" ca="1" si="22"/>
        <v>0.97450713111974041</v>
      </c>
      <c r="N27" s="42">
        <f t="shared" ca="1" si="22"/>
        <v>0.49784164631267458</v>
      </c>
      <c r="O27" s="42">
        <f t="shared" ca="1" si="22"/>
        <v>0.49972332735196412</v>
      </c>
      <c r="P27" s="42">
        <f t="shared" ca="1" si="22"/>
        <v>0.68042388360680528</v>
      </c>
      <c r="Q27" s="42">
        <f t="shared" ca="1" si="22"/>
        <v>0.2464388849979875</v>
      </c>
      <c r="R27" s="42">
        <f t="shared" ca="1" si="22"/>
        <v>3.9610849228971512E-3</v>
      </c>
      <c r="S27" s="42">
        <f t="shared" ca="1" si="22"/>
        <v>0.77264021834435381</v>
      </c>
      <c r="T27" s="42">
        <f t="shared" ca="1" si="22"/>
        <v>0.26972867376808984</v>
      </c>
      <c r="U27" s="44">
        <f ca="1">(IF(D27&gt;=Inputs!$E$12,1,IF(K27&lt;=Inputs!$C$46,Inputs!$D$46,IF(K27&lt;=Inputs!$C$47,Inputs!$D$47,Inputs!$D$48))))*((Inputs!$B$28+(P27-0.5)*2*Inputs!$B$53)/Inputs!$B$28)</f>
        <v>1.0018261526680852</v>
      </c>
      <c r="V27" s="44">
        <f ca="1">(IF(E27&gt;=Inputs!$E$13,1,IF(L27&lt;=Inputs!$C$46,Inputs!$D$46,IF(L27&lt;=Inputs!$C$47,Inputs!$D$47,Inputs!$D$48))))*((Inputs!$B$29+(Q27-0.5)*2*Inputs!$B$53)/Inputs!$B$29)</f>
        <v>0.59846636422377808</v>
      </c>
      <c r="W27" s="44">
        <f ca="1">(IF(F27&gt;=Inputs!$E$14,1,IF(M27&lt;=Inputs!$C$46,Inputs!$D$46,IF(M27&lt;=Inputs!$C$47,Inputs!$D$47,Inputs!$D$48))))*((Inputs!$B$30+(R27-0.5)*2*Inputs!$B$53)/Inputs!$B$30)</f>
        <v>0.99501468427058193</v>
      </c>
      <c r="X27" s="44">
        <f ca="1">(IF(G27&gt;=Inputs!$E$15,1,IF(N27&lt;=Inputs!$C$46,Inputs!$D$46,IF(N27&lt;=Inputs!$C$47,Inputs!$D$47,Inputs!$D$48))))*((Inputs!$B$31+(S27-0.5)*2*Inputs!$B$53)/Inputs!$B$31)</f>
        <v>1.0027679209984199</v>
      </c>
      <c r="Y27" s="44">
        <f ca="1">(IF(H27&gt;=Inputs!$E$16,1,IF(O27&lt;=Inputs!$C$46,Inputs!$D$46,IF(O27&lt;=Inputs!$C$47,Inputs!$D$47,Inputs!$D$48))))*((Inputs!$B$32+(T27-0.5)*2*Inputs!$B$53)/Inputs!$B$32)</f>
        <v>0.99768338706004112</v>
      </c>
      <c r="Z27" s="45">
        <f ca="1">ILP_C_HighResilience!$C$9*U27+ILP_C_HighResilience!$C$10*V27+ILP_C_HighResilience!$C$11*W27+ILP_C_HighResilience!$C$12*X27+ILP_C_HighResilience!$C$13*Y27</f>
        <v>16587.556241604438</v>
      </c>
      <c r="AA27" s="45">
        <f ca="1">ILP_C_HighResilience!$D$9*U27+ILP_C_HighResilience!$D$10*V27+ILP_C_HighResilience!$D$11*W27+ILP_C_HighResilience!$D$12*X27+ILP_C_HighResilience!$D$13*Y27</f>
        <v>12581.750297460518</v>
      </c>
      <c r="AB27" s="45">
        <f ca="1">ILP_C_HighResilience!$E$9*U27+ILP_C_HighResilience!$E$10*V27+ILP_C_HighResilience!$E$11*W27+ILP_C_HighResilience!$E$12*X27+ILP_C_HighResilience!$E$13*Y27</f>
        <v>10272.472063194304</v>
      </c>
      <c r="AC27" s="45">
        <f ca="1">Inputs!$B$6*$C27</f>
        <v>18000</v>
      </c>
      <c r="AD27" s="45">
        <f ca="1">Inputs!$B$7*$C27</f>
        <v>15000</v>
      </c>
      <c r="AE27" s="45">
        <f ca="1">Inputs!$B$8*$C27</f>
        <v>12000</v>
      </c>
      <c r="AF27" s="45">
        <f t="shared" ca="1" si="3"/>
        <v>1412.4437583955623</v>
      </c>
      <c r="AG27" s="45">
        <f t="shared" ca="1" si="4"/>
        <v>2418.2497025394823</v>
      </c>
      <c r="AH27" s="45">
        <f t="shared" ca="1" si="5"/>
        <v>1727.5279368056963</v>
      </c>
      <c r="AI27" s="45">
        <f t="shared" ca="1" si="6"/>
        <v>5558.2213977407409</v>
      </c>
      <c r="AJ27" s="45">
        <f ca="1">U27*(Inputs!$B$12-ILP_C_HighResilience!$F$9)+V27*(Inputs!$B$13-ILP_C_HighResilience!$F$10)+W27*(Inputs!$B$14-ILP_C_HighResilience!$F$11)+X27*(Inputs!$B$15-ILP_C_HighResilience!$F$12)+Y27*(Inputs!$B$16-ILP_C_HighResilience!$F$13)</f>
        <v>24899.625692962218</v>
      </c>
      <c r="AK27" s="45">
        <f t="shared" ca="1" si="7"/>
        <v>5558.2213977407409</v>
      </c>
      <c r="AL27" s="45">
        <f t="shared" ca="1" si="8"/>
        <v>0</v>
      </c>
      <c r="AM27" s="45">
        <f t="shared" ca="1" si="9"/>
        <v>0</v>
      </c>
      <c r="AN27" s="45">
        <f t="shared" ca="1" si="10"/>
        <v>0</v>
      </c>
      <c r="AO27" s="45">
        <f ca="1">MIN(AL27,Inputs!$B$36)</f>
        <v>0</v>
      </c>
      <c r="AP27" s="45">
        <f ca="1">MIN(AN27,Inputs!$B$36-AO27)</f>
        <v>0</v>
      </c>
      <c r="AQ27" s="45">
        <f ca="1">MIN(AM27,Inputs!$B$36-AO27-AP27)</f>
        <v>0</v>
      </c>
      <c r="AR27" s="45">
        <f t="shared" ca="1" si="11"/>
        <v>0</v>
      </c>
      <c r="AS27" s="45">
        <f t="shared" ca="1" si="12"/>
        <v>0</v>
      </c>
      <c r="AT27" s="45">
        <f t="shared" ca="1" si="13"/>
        <v>0</v>
      </c>
      <c r="AU27" s="45">
        <f t="shared" ca="1" si="14"/>
        <v>0</v>
      </c>
      <c r="AV27" s="46">
        <f ca="1">AU27*Inputs!$B$35</f>
        <v>0</v>
      </c>
      <c r="AW27" s="46">
        <f ca="1">AR27*Inputs!$C$6+AT27*Inputs!$C$7+AS27*Inputs!$C$8</f>
        <v>0</v>
      </c>
      <c r="AX27" s="46">
        <f t="shared" ca="1" si="15"/>
        <v>41728887.617143594</v>
      </c>
      <c r="AY27" s="46">
        <f ca="1">IF(J27&gt;1,($CD$4)*Inputs!$B$55*((Z27+AA27+AB27)/(SUM(ILP_C_HighResilience!$C$9:$E$13))),0)</f>
        <v>0</v>
      </c>
      <c r="AZ27" s="46">
        <f t="shared" ca="1" si="16"/>
        <v>0</v>
      </c>
      <c r="BA27" s="41">
        <f t="shared" ca="1" si="17"/>
        <v>0</v>
      </c>
      <c r="BB27" s="41">
        <f t="shared" ca="1" si="18"/>
        <v>1</v>
      </c>
      <c r="BC27" s="41">
        <f t="shared" ca="1" si="19"/>
        <v>1</v>
      </c>
      <c r="BD27" s="41">
        <f t="shared" ca="1" si="20"/>
        <v>1</v>
      </c>
    </row>
    <row r="28" spans="1:56" ht="15" customHeight="1" x14ac:dyDescent="0.3">
      <c r="A28" s="41">
        <v>21</v>
      </c>
      <c r="B28" s="42">
        <f t="shared" ca="1" si="0"/>
        <v>0.10394603117334944</v>
      </c>
      <c r="C28" s="43">
        <f ca="1">IF(B28&lt;=Inputs!$C$40,Inputs!$D$40,IF(B28&lt;=Inputs!$C$41,Inputs!$D$41,Inputs!$D$42))</f>
        <v>0.9</v>
      </c>
      <c r="D28" s="42">
        <f t="shared" ref="D28:I37" ca="1" si="23">RAND()</f>
        <v>6.4698677915192793E-2</v>
      </c>
      <c r="E28" s="42">
        <f t="shared" ca="1" si="23"/>
        <v>0.98698371212492009</v>
      </c>
      <c r="F28" s="42">
        <f t="shared" ca="1" si="23"/>
        <v>0.11931012898390914</v>
      </c>
      <c r="G28" s="42">
        <f t="shared" ca="1" si="23"/>
        <v>0.73295011807540378</v>
      </c>
      <c r="H28" s="42">
        <f t="shared" ca="1" si="23"/>
        <v>0.97944420042893687</v>
      </c>
      <c r="I28" s="42">
        <f t="shared" ca="1" si="23"/>
        <v>0.51212049555025552</v>
      </c>
      <c r="J28" s="43">
        <f ca="1">IF(I28&lt;Inputs!$B$54,1+Inputs!$B$55,1)</f>
        <v>1</v>
      </c>
      <c r="K28" s="42">
        <f t="shared" ref="K28:T37" ca="1" si="24">RAND()</f>
        <v>0.29692773375512027</v>
      </c>
      <c r="L28" s="42">
        <f t="shared" ca="1" si="24"/>
        <v>0.17075163521363979</v>
      </c>
      <c r="M28" s="42">
        <f t="shared" ca="1" si="24"/>
        <v>0.7357132539289859</v>
      </c>
      <c r="N28" s="42">
        <f t="shared" ca="1" si="24"/>
        <v>0.7744285503783348</v>
      </c>
      <c r="O28" s="42">
        <f t="shared" ca="1" si="24"/>
        <v>0.56768944051312087</v>
      </c>
      <c r="P28" s="42">
        <f t="shared" ca="1" si="24"/>
        <v>0.55241590617430303</v>
      </c>
      <c r="Q28" s="42">
        <f t="shared" ca="1" si="24"/>
        <v>0.20711636314995296</v>
      </c>
      <c r="R28" s="42">
        <f t="shared" ca="1" si="24"/>
        <v>0.77998717062055067</v>
      </c>
      <c r="S28" s="42">
        <f t="shared" ca="1" si="24"/>
        <v>7.5826068592147244E-2</v>
      </c>
      <c r="T28" s="42">
        <f t="shared" ca="1" si="24"/>
        <v>6.3694092483849829E-2</v>
      </c>
      <c r="U28" s="44">
        <f ca="1">(IF(D28&gt;=Inputs!$E$12,1,IF(K28&lt;=Inputs!$C$46,Inputs!$D$46,IF(K28&lt;=Inputs!$C$47,Inputs!$D$47,Inputs!$D$48))))*((Inputs!$B$28+(P28-0.5)*2*Inputs!$B$53)/Inputs!$B$28)</f>
        <v>1.0005305253661367</v>
      </c>
      <c r="V28" s="44">
        <f ca="1">(IF(E28&gt;=Inputs!$E$13,1,IF(L28&lt;=Inputs!$C$46,Inputs!$D$46,IF(L28&lt;=Inputs!$C$47,Inputs!$D$47,Inputs!$D$48))))*((Inputs!$B$29+(Q28-0.5)*2*Inputs!$B$53)/Inputs!$B$29)</f>
        <v>0.99704754398336648</v>
      </c>
      <c r="W28" s="44">
        <f ca="1">(IF(F28&gt;=Inputs!$E$14,1,IF(M28&lt;=Inputs!$C$46,Inputs!$D$46,IF(M28&lt;=Inputs!$C$47,Inputs!$D$47,Inputs!$D$48))))*((Inputs!$B$30+(R28-0.5)*2*Inputs!$B$53)/Inputs!$B$30)</f>
        <v>1.002813941413272</v>
      </c>
      <c r="X28" s="44">
        <f ca="1">(IF(G28&gt;=Inputs!$E$15,1,IF(N28&lt;=Inputs!$C$46,Inputs!$D$46,IF(N28&lt;=Inputs!$C$47,Inputs!$D$47,Inputs!$D$48))))*((Inputs!$B$31+(S28-0.5)*2*Inputs!$B$53)/Inputs!$B$31)</f>
        <v>0.99569366567098627</v>
      </c>
      <c r="Y28" s="44">
        <f ca="1">(IF(H28&gt;=Inputs!$E$16,1,IF(O28&lt;=Inputs!$C$46,Inputs!$D$46,IF(O28&lt;=Inputs!$C$47,Inputs!$D$47,Inputs!$D$48))))*((Inputs!$B$32+(T28-0.5)*2*Inputs!$B$53)/Inputs!$B$32)</f>
        <v>0.99561060455215133</v>
      </c>
      <c r="Z28" s="45">
        <f ca="1">ILP_C_HighResilience!$C$9*U28+ILP_C_HighResilience!$C$10*V28+ILP_C_HighResilience!$C$11*W28+ILP_C_HighResilience!$C$12*X28+ILP_C_HighResilience!$C$13*Y28</f>
        <v>17962.185333807403</v>
      </c>
      <c r="AA28" s="45">
        <f ca="1">ILP_C_HighResilience!$D$9*U28+ILP_C_HighResilience!$D$10*V28+ILP_C_HighResilience!$D$11*W28+ILP_C_HighResilience!$D$12*X28+ILP_C_HighResilience!$D$13*Y28</f>
        <v>14974.715062690288</v>
      </c>
      <c r="AB28" s="45">
        <f ca="1">ILP_C_HighResilience!$E$9*U28+ILP_C_HighResilience!$E$10*V28+ILP_C_HighResilience!$E$11*W28+ILP_C_HighResilience!$E$12*X28+ILP_C_HighResilience!$E$13*Y28</f>
        <v>11998.080587753582</v>
      </c>
      <c r="AC28" s="45">
        <f ca="1">Inputs!$B$6*$C28</f>
        <v>16200</v>
      </c>
      <c r="AD28" s="45">
        <f ca="1">Inputs!$B$7*$C28</f>
        <v>13500</v>
      </c>
      <c r="AE28" s="45">
        <f ca="1">Inputs!$B$8*$C28</f>
        <v>10800</v>
      </c>
      <c r="AF28" s="45">
        <f t="shared" ca="1" si="3"/>
        <v>0</v>
      </c>
      <c r="AG28" s="45">
        <f t="shared" ca="1" si="4"/>
        <v>0</v>
      </c>
      <c r="AH28" s="45">
        <f t="shared" ca="1" si="5"/>
        <v>0</v>
      </c>
      <c r="AI28" s="45">
        <f t="shared" ca="1" si="6"/>
        <v>0</v>
      </c>
      <c r="AJ28" s="45">
        <f ca="1">U28*(Inputs!$B$12-ILP_C_HighResilience!$F$9)+V28*(Inputs!$B$13-ILP_C_HighResilience!$F$10)+W28*(Inputs!$B$14-ILP_C_HighResilience!$F$11)+X28*(Inputs!$B$15-ILP_C_HighResilience!$F$12)+Y28*(Inputs!$B$16-ILP_C_HighResilience!$F$13)</f>
        <v>24951.237332080687</v>
      </c>
      <c r="AK28" s="45">
        <f t="shared" ca="1" si="7"/>
        <v>0</v>
      </c>
      <c r="AL28" s="45">
        <f t="shared" ca="1" si="8"/>
        <v>0</v>
      </c>
      <c r="AM28" s="45">
        <f t="shared" ca="1" si="9"/>
        <v>0</v>
      </c>
      <c r="AN28" s="45">
        <f t="shared" ca="1" si="10"/>
        <v>0</v>
      </c>
      <c r="AO28" s="45">
        <f ca="1">MIN(AL28,Inputs!$B$36)</f>
        <v>0</v>
      </c>
      <c r="AP28" s="45">
        <f ca="1">MIN(AN28,Inputs!$B$36-AO28)</f>
        <v>0</v>
      </c>
      <c r="AQ28" s="45">
        <f ca="1">MIN(AM28,Inputs!$B$36-AO28-AP28)</f>
        <v>0</v>
      </c>
      <c r="AR28" s="45">
        <f t="shared" ca="1" si="11"/>
        <v>0</v>
      </c>
      <c r="AS28" s="45">
        <f t="shared" ca="1" si="12"/>
        <v>0</v>
      </c>
      <c r="AT28" s="45">
        <f t="shared" ca="1" si="13"/>
        <v>0</v>
      </c>
      <c r="AU28" s="45">
        <f t="shared" ca="1" si="14"/>
        <v>0</v>
      </c>
      <c r="AV28" s="46">
        <f ca="1">AU28*Inputs!$B$35</f>
        <v>0</v>
      </c>
      <c r="AW28" s="46">
        <f ca="1">AR28*Inputs!$C$6+AT28*Inputs!$C$7+AS28*Inputs!$C$8</f>
        <v>0</v>
      </c>
      <c r="AX28" s="46">
        <f t="shared" ca="1" si="15"/>
        <v>47564422.50583145</v>
      </c>
      <c r="AY28" s="46">
        <f ca="1">IF(J28&gt;1,($CD$4)*Inputs!$B$55*((Z28+AA28+AB28)/(SUM(ILP_C_HighResilience!$C$9:$E$13))),0)</f>
        <v>0</v>
      </c>
      <c r="AZ28" s="46">
        <f t="shared" ca="1" si="16"/>
        <v>0</v>
      </c>
      <c r="BA28" s="41">
        <f t="shared" ca="1" si="17"/>
        <v>0</v>
      </c>
      <c r="BB28" s="41">
        <f t="shared" ca="1" si="18"/>
        <v>1</v>
      </c>
      <c r="BC28" s="41">
        <f t="shared" ca="1" si="19"/>
        <v>1</v>
      </c>
      <c r="BD28" s="41">
        <f t="shared" ca="1" si="20"/>
        <v>1</v>
      </c>
    </row>
    <row r="29" spans="1:56" ht="15" customHeight="1" x14ac:dyDescent="0.3">
      <c r="A29" s="41">
        <v>22</v>
      </c>
      <c r="B29" s="42">
        <f t="shared" ca="1" si="0"/>
        <v>0.39421008363990984</v>
      </c>
      <c r="C29" s="43">
        <f ca="1">IF(B29&lt;=Inputs!$C$40,Inputs!$D$40,IF(B29&lt;=Inputs!$C$41,Inputs!$D$41,Inputs!$D$42))</f>
        <v>1</v>
      </c>
      <c r="D29" s="42">
        <f t="shared" ca="1" si="23"/>
        <v>0.88476111032691274</v>
      </c>
      <c r="E29" s="42">
        <f t="shared" ca="1" si="23"/>
        <v>0.52093474641018966</v>
      </c>
      <c r="F29" s="42">
        <f t="shared" ca="1" si="23"/>
        <v>3.8312183733602567E-2</v>
      </c>
      <c r="G29" s="42">
        <f t="shared" ca="1" si="23"/>
        <v>0.86023042357372825</v>
      </c>
      <c r="H29" s="42">
        <f t="shared" ca="1" si="23"/>
        <v>7.2997777410868769E-2</v>
      </c>
      <c r="I29" s="42">
        <f t="shared" ca="1" si="23"/>
        <v>0.86813901539878424</v>
      </c>
      <c r="J29" s="43">
        <f ca="1">IF(I29&lt;Inputs!$B$54,1+Inputs!$B$55,1)</f>
        <v>1</v>
      </c>
      <c r="K29" s="42">
        <f t="shared" ca="1" si="24"/>
        <v>0.62205126054513615</v>
      </c>
      <c r="L29" s="42">
        <f t="shared" ca="1" si="24"/>
        <v>0.97412700126757823</v>
      </c>
      <c r="M29" s="42">
        <f t="shared" ca="1" si="24"/>
        <v>0.68436683451029667</v>
      </c>
      <c r="N29" s="42">
        <f t="shared" ca="1" si="24"/>
        <v>3.9221391255805926E-4</v>
      </c>
      <c r="O29" s="42">
        <f t="shared" ca="1" si="24"/>
        <v>0.94588410366432196</v>
      </c>
      <c r="P29" s="42">
        <f t="shared" ca="1" si="24"/>
        <v>0.30493180052703284</v>
      </c>
      <c r="Q29" s="42">
        <f t="shared" ca="1" si="24"/>
        <v>0.67904516865646469</v>
      </c>
      <c r="R29" s="42">
        <f t="shared" ca="1" si="24"/>
        <v>0.35040934972597892</v>
      </c>
      <c r="S29" s="42">
        <f t="shared" ca="1" si="24"/>
        <v>0.97182789907427891</v>
      </c>
      <c r="T29" s="42">
        <f t="shared" ca="1" si="24"/>
        <v>0.61651456305697494</v>
      </c>
      <c r="U29" s="44">
        <f ca="1">(IF(D29&gt;=Inputs!$E$12,1,IF(K29&lt;=Inputs!$C$46,Inputs!$D$46,IF(K29&lt;=Inputs!$C$47,Inputs!$D$47,Inputs!$D$48))))*((Inputs!$B$28+(P29-0.5)*2*Inputs!$B$53)/Inputs!$B$28)</f>
        <v>0.99802562551140717</v>
      </c>
      <c r="V29" s="44">
        <f ca="1">(IF(E29&gt;=Inputs!$E$13,1,IF(L29&lt;=Inputs!$C$46,Inputs!$D$46,IF(L29&lt;=Inputs!$C$47,Inputs!$D$47,Inputs!$D$48))))*((Inputs!$B$29+(Q29-0.5)*2*Inputs!$B$53)/Inputs!$B$29)</f>
        <v>1.0018048908130692</v>
      </c>
      <c r="W29" s="44">
        <f ca="1">(IF(F29&gt;=Inputs!$E$14,1,IF(M29&lt;=Inputs!$C$46,Inputs!$D$46,IF(M29&lt;=Inputs!$C$47,Inputs!$D$47,Inputs!$D$48))))*((Inputs!$B$30+(R29-0.5)*2*Inputs!$B$53)/Inputs!$B$30)</f>
        <v>0.29954897291374666</v>
      </c>
      <c r="X29" s="44">
        <f ca="1">(IF(G29&gt;=Inputs!$E$15,1,IF(N29&lt;=Inputs!$C$46,Inputs!$D$46,IF(N29&lt;=Inputs!$C$47,Inputs!$D$47,Inputs!$D$48))))*((Inputs!$B$31+(S29-0.5)*2*Inputs!$B$53)/Inputs!$B$31)</f>
        <v>1.0047901309550689</v>
      </c>
      <c r="Y29" s="44">
        <f ca="1">(IF(H29&gt;=Inputs!$E$16,1,IF(O29&lt;=Inputs!$C$46,Inputs!$D$46,IF(O29&lt;=Inputs!$C$47,Inputs!$D$47,Inputs!$D$48))))*((Inputs!$B$32+(T29-0.5)*2*Inputs!$B$53)/Inputs!$B$32)</f>
        <v>1.0011721787027865</v>
      </c>
      <c r="Z29" s="45">
        <f ca="1">ILP_C_HighResilience!$C$9*U29+ILP_C_HighResilience!$C$10*V29+ILP_C_HighResilience!$C$11*W29+ILP_C_HighResilience!$C$12*X29+ILP_C_HighResilience!$C$13*Y29</f>
        <v>18026.771053485678</v>
      </c>
      <c r="AA29" s="45">
        <f ca="1">ILP_C_HighResilience!$D$9*U29+ILP_C_HighResilience!$D$10*V29+ILP_C_HighResilience!$D$11*W29+ILP_C_HighResilience!$D$12*X29+ILP_C_HighResilience!$D$13*Y29</f>
        <v>11964.984251253045</v>
      </c>
      <c r="AB29" s="45">
        <f ca="1">ILP_C_HighResilience!$E$9*U29+ILP_C_HighResilience!$E$10*V29+ILP_C_HighResilience!$E$11*W29+ILP_C_HighResilience!$E$12*X29+ILP_C_HighResilience!$E$13*Y29</f>
        <v>9958.5489833860247</v>
      </c>
      <c r="AC29" s="45">
        <f ca="1">Inputs!$B$6*$C29</f>
        <v>18000</v>
      </c>
      <c r="AD29" s="45">
        <f ca="1">Inputs!$B$7*$C29</f>
        <v>15000</v>
      </c>
      <c r="AE29" s="45">
        <f ca="1">Inputs!$B$8*$C29</f>
        <v>12000</v>
      </c>
      <c r="AF29" s="45">
        <f t="shared" ca="1" si="3"/>
        <v>0</v>
      </c>
      <c r="AG29" s="45">
        <f t="shared" ca="1" si="4"/>
        <v>3035.0157487469551</v>
      </c>
      <c r="AH29" s="45">
        <f t="shared" ca="1" si="5"/>
        <v>2041.4510166139753</v>
      </c>
      <c r="AI29" s="45">
        <f t="shared" ca="1" si="6"/>
        <v>5076.4667653609304</v>
      </c>
      <c r="AJ29" s="45">
        <f ca="1">U29*(Inputs!$B$12-ILP_C_HighResilience!$F$9)+V29*(Inputs!$B$13-ILP_C_HighResilience!$F$10)+W29*(Inputs!$B$14-ILP_C_HighResilience!$F$11)+X29*(Inputs!$B$15-ILP_C_HighResilience!$F$12)+Y29*(Inputs!$B$16-ILP_C_HighResilience!$F$13)</f>
        <v>21012.575091322069</v>
      </c>
      <c r="AK29" s="45">
        <f t="shared" ca="1" si="7"/>
        <v>5076.4667653609304</v>
      </c>
      <c r="AL29" s="45">
        <f t="shared" ca="1" si="8"/>
        <v>0</v>
      </c>
      <c r="AM29" s="45">
        <f t="shared" ca="1" si="9"/>
        <v>0</v>
      </c>
      <c r="AN29" s="45">
        <f t="shared" ca="1" si="10"/>
        <v>0</v>
      </c>
      <c r="AO29" s="45">
        <f ca="1">MIN(AL29,Inputs!$B$36)</f>
        <v>0</v>
      </c>
      <c r="AP29" s="45">
        <f ca="1">MIN(AN29,Inputs!$B$36-AO29)</f>
        <v>0</v>
      </c>
      <c r="AQ29" s="45">
        <f ca="1">MIN(AM29,Inputs!$B$36-AO29-AP29)</f>
        <v>0</v>
      </c>
      <c r="AR29" s="45">
        <f t="shared" ca="1" si="11"/>
        <v>0</v>
      </c>
      <c r="AS29" s="45">
        <f t="shared" ca="1" si="12"/>
        <v>0</v>
      </c>
      <c r="AT29" s="45">
        <f t="shared" ca="1" si="13"/>
        <v>0</v>
      </c>
      <c r="AU29" s="45">
        <f t="shared" ca="1" si="14"/>
        <v>0</v>
      </c>
      <c r="AV29" s="46">
        <f ca="1">AU29*Inputs!$B$35</f>
        <v>0</v>
      </c>
      <c r="AW29" s="46">
        <f ca="1">AR29*Inputs!$C$6+AT29*Inputs!$C$7+AS29*Inputs!$C$8</f>
        <v>0</v>
      </c>
      <c r="AX29" s="46">
        <f t="shared" ca="1" si="15"/>
        <v>42233101.813832402</v>
      </c>
      <c r="AY29" s="46">
        <f ca="1">IF(J29&gt;1,($CD$4)*Inputs!$B$55*((Z29+AA29+AB29)/(SUM(ILP_C_HighResilience!$C$9:$E$13))),0)</f>
        <v>0</v>
      </c>
      <c r="AZ29" s="46">
        <f t="shared" ca="1" si="16"/>
        <v>0</v>
      </c>
      <c r="BA29" s="41">
        <f t="shared" ca="1" si="17"/>
        <v>0</v>
      </c>
      <c r="BB29" s="41">
        <f t="shared" ca="1" si="18"/>
        <v>1</v>
      </c>
      <c r="BC29" s="41">
        <f t="shared" ca="1" si="19"/>
        <v>1</v>
      </c>
      <c r="BD29" s="41">
        <f t="shared" ca="1" si="20"/>
        <v>1</v>
      </c>
    </row>
    <row r="30" spans="1:56" ht="15" customHeight="1" x14ac:dyDescent="0.3">
      <c r="A30" s="41">
        <v>23</v>
      </c>
      <c r="B30" s="42">
        <f t="shared" ca="1" si="0"/>
        <v>0.64030538430329742</v>
      </c>
      <c r="C30" s="43">
        <f ca="1">IF(B30&lt;=Inputs!$C$40,Inputs!$D$40,IF(B30&lt;=Inputs!$C$41,Inputs!$D$41,Inputs!$D$42))</f>
        <v>1</v>
      </c>
      <c r="D30" s="42">
        <f t="shared" ca="1" si="23"/>
        <v>0.80861731290401639</v>
      </c>
      <c r="E30" s="42">
        <f t="shared" ca="1" si="23"/>
        <v>0.12333865158563084</v>
      </c>
      <c r="F30" s="42">
        <f t="shared" ca="1" si="23"/>
        <v>0.41704250294675582</v>
      </c>
      <c r="G30" s="42">
        <f t="shared" ca="1" si="23"/>
        <v>0.56883502744852565</v>
      </c>
      <c r="H30" s="42">
        <f t="shared" ca="1" si="23"/>
        <v>0.28876362970561609</v>
      </c>
      <c r="I30" s="42">
        <f t="shared" ca="1" si="23"/>
        <v>0.18538373466966429</v>
      </c>
      <c r="J30" s="43">
        <f ca="1">IF(I30&lt;Inputs!$B$54,1+Inputs!$B$55,1)</f>
        <v>1</v>
      </c>
      <c r="K30" s="42">
        <f t="shared" ca="1" si="24"/>
        <v>0.12977151761910211</v>
      </c>
      <c r="L30" s="42">
        <f t="shared" ca="1" si="24"/>
        <v>0.60083490026953645</v>
      </c>
      <c r="M30" s="42">
        <f t="shared" ca="1" si="24"/>
        <v>0.14175291060590267</v>
      </c>
      <c r="N30" s="42">
        <f t="shared" ca="1" si="24"/>
        <v>0.88247679706019533</v>
      </c>
      <c r="O30" s="42">
        <f t="shared" ca="1" si="24"/>
        <v>0.66844219230278989</v>
      </c>
      <c r="P30" s="42">
        <f t="shared" ca="1" si="24"/>
        <v>0.56291868472021322</v>
      </c>
      <c r="Q30" s="42">
        <f t="shared" ca="1" si="24"/>
        <v>0.32325857737912489</v>
      </c>
      <c r="R30" s="42">
        <f t="shared" ca="1" si="24"/>
        <v>0.91407006147715875</v>
      </c>
      <c r="S30" s="42">
        <f t="shared" ca="1" si="24"/>
        <v>0.8871691658153843</v>
      </c>
      <c r="T30" s="42">
        <f t="shared" ca="1" si="24"/>
        <v>0.18920416856811306</v>
      </c>
      <c r="U30" s="44">
        <f ca="1">(IF(D30&gt;=Inputs!$E$12,1,IF(K30&lt;=Inputs!$C$46,Inputs!$D$46,IF(K30&lt;=Inputs!$C$47,Inputs!$D$47,Inputs!$D$48))))*((Inputs!$B$28+(P30-0.5)*2*Inputs!$B$53)/Inputs!$B$28)</f>
        <v>1.0006368287927148</v>
      </c>
      <c r="V30" s="44">
        <f ca="1">(IF(E30&gt;=Inputs!$E$13,1,IF(L30&lt;=Inputs!$C$46,Inputs!$D$46,IF(L30&lt;=Inputs!$C$47,Inputs!$D$47,Inputs!$D$48))))*((Inputs!$B$29+(Q30-0.5)*2*Inputs!$B$53)/Inputs!$B$29)</f>
        <v>0.9982183324332573</v>
      </c>
      <c r="W30" s="44">
        <f ca="1">(IF(F30&gt;=Inputs!$E$14,1,IF(M30&lt;=Inputs!$C$46,Inputs!$D$46,IF(M30&lt;=Inputs!$C$47,Inputs!$D$47,Inputs!$D$48))))*((Inputs!$B$30+(R30-0.5)*2*Inputs!$B$53)/Inputs!$B$30)</f>
        <v>1.0041615081555493</v>
      </c>
      <c r="X30" s="44">
        <f ca="1">(IF(G30&gt;=Inputs!$E$15,1,IF(N30&lt;=Inputs!$C$46,Inputs!$D$46,IF(N30&lt;=Inputs!$C$47,Inputs!$D$47,Inputs!$D$48))))*((Inputs!$B$31+(S30-0.5)*2*Inputs!$B$53)/Inputs!$B$31)</f>
        <v>1.0039306514295978</v>
      </c>
      <c r="Y30" s="44">
        <f ca="1">(IF(H30&gt;=Inputs!$E$16,1,IF(O30&lt;=Inputs!$C$46,Inputs!$D$46,IF(O30&lt;=Inputs!$C$47,Inputs!$D$47,Inputs!$D$48))))*((Inputs!$B$32+(T30-0.5)*2*Inputs!$B$53)/Inputs!$B$32)</f>
        <v>0.99687328137392472</v>
      </c>
      <c r="Z30" s="45">
        <f ca="1">ILP_C_HighResilience!$C$9*U30+ILP_C_HighResilience!$C$10*V30+ILP_C_HighResilience!$C$11*W30+ILP_C_HighResilience!$C$12*X30+ILP_C_HighResilience!$C$13*Y30</f>
        <v>18026.471854360378</v>
      </c>
      <c r="AA30" s="45">
        <f ca="1">ILP_C_HighResilience!$D$9*U30+ILP_C_HighResilience!$D$10*V30+ILP_C_HighResilience!$D$11*W30+ILP_C_HighResilience!$D$12*X30+ILP_C_HighResilience!$D$13*Y30</f>
        <v>15025.69700992559</v>
      </c>
      <c r="AB30" s="45">
        <f ca="1">ILP_C_HighResilience!$E$9*U30+ILP_C_HighResilience!$E$10*V30+ILP_C_HighResilience!$E$11*W30+ILP_C_HighResilience!$E$12*X30+ILP_C_HighResilience!$E$13*Y30</f>
        <v>12007.535299427798</v>
      </c>
      <c r="AC30" s="45">
        <f ca="1">Inputs!$B$6*$C30</f>
        <v>18000</v>
      </c>
      <c r="AD30" s="45">
        <f ca="1">Inputs!$B$7*$C30</f>
        <v>15000</v>
      </c>
      <c r="AE30" s="45">
        <f ca="1">Inputs!$B$8*$C30</f>
        <v>12000</v>
      </c>
      <c r="AF30" s="45">
        <f t="shared" ca="1" si="3"/>
        <v>0</v>
      </c>
      <c r="AG30" s="45">
        <f t="shared" ca="1" si="4"/>
        <v>0</v>
      </c>
      <c r="AH30" s="45">
        <f t="shared" ca="1" si="5"/>
        <v>0</v>
      </c>
      <c r="AI30" s="45">
        <f t="shared" ca="1" si="6"/>
        <v>0</v>
      </c>
      <c r="AJ30" s="45">
        <f ca="1">U30*(Inputs!$B$12-ILP_C_HighResilience!$F$9)+V30*(Inputs!$B$13-ILP_C_HighResilience!$F$10)+W30*(Inputs!$B$14-ILP_C_HighResilience!$F$11)+X30*(Inputs!$B$15-ILP_C_HighResilience!$F$12)+Y30*(Inputs!$B$16-ILP_C_HighResilience!$F$13)</f>
        <v>24979.908394821457</v>
      </c>
      <c r="AK30" s="45">
        <f t="shared" ca="1" si="7"/>
        <v>0</v>
      </c>
      <c r="AL30" s="45">
        <f t="shared" ca="1" si="8"/>
        <v>0</v>
      </c>
      <c r="AM30" s="45">
        <f t="shared" ca="1" si="9"/>
        <v>0</v>
      </c>
      <c r="AN30" s="45">
        <f t="shared" ca="1" si="10"/>
        <v>0</v>
      </c>
      <c r="AO30" s="45">
        <f ca="1">MIN(AL30,Inputs!$B$36)</f>
        <v>0</v>
      </c>
      <c r="AP30" s="45">
        <f ca="1">MIN(AN30,Inputs!$B$36-AO30)</f>
        <v>0</v>
      </c>
      <c r="AQ30" s="45">
        <f ca="1">MIN(AM30,Inputs!$B$36-AO30-AP30)</f>
        <v>0</v>
      </c>
      <c r="AR30" s="45">
        <f t="shared" ca="1" si="11"/>
        <v>0</v>
      </c>
      <c r="AS30" s="45">
        <f t="shared" ca="1" si="12"/>
        <v>0</v>
      </c>
      <c r="AT30" s="45">
        <f t="shared" ca="1" si="13"/>
        <v>0</v>
      </c>
      <c r="AU30" s="45">
        <f t="shared" ca="1" si="14"/>
        <v>0</v>
      </c>
      <c r="AV30" s="46">
        <f ca="1">AU30*Inputs!$B$35</f>
        <v>0</v>
      </c>
      <c r="AW30" s="46">
        <f ca="1">AR30*Inputs!$C$6+AT30*Inputs!$C$7+AS30*Inputs!$C$8</f>
        <v>0</v>
      </c>
      <c r="AX30" s="46">
        <f t="shared" ca="1" si="15"/>
        <v>47695232.433512077</v>
      </c>
      <c r="AY30" s="46">
        <f ca="1">IF(J30&gt;1,($CD$4)*Inputs!$B$55*((Z30+AA30+AB30)/(SUM(ILP_C_HighResilience!$C$9:$E$13))),0)</f>
        <v>0</v>
      </c>
      <c r="AZ30" s="46">
        <f t="shared" ca="1" si="16"/>
        <v>0</v>
      </c>
      <c r="BA30" s="41">
        <f t="shared" ca="1" si="17"/>
        <v>0</v>
      </c>
      <c r="BB30" s="41">
        <f t="shared" ca="1" si="18"/>
        <v>1</v>
      </c>
      <c r="BC30" s="41">
        <f t="shared" ca="1" si="19"/>
        <v>1</v>
      </c>
      <c r="BD30" s="41">
        <f t="shared" ca="1" si="20"/>
        <v>1</v>
      </c>
    </row>
    <row r="31" spans="1:56" ht="15" customHeight="1" x14ac:dyDescent="0.3">
      <c r="A31" s="41">
        <v>24</v>
      </c>
      <c r="B31" s="42">
        <f t="shared" ca="1" si="0"/>
        <v>0.82019766511709746</v>
      </c>
      <c r="C31" s="43">
        <f ca="1">IF(B31&lt;=Inputs!$C$40,Inputs!$D$40,IF(B31&lt;=Inputs!$C$41,Inputs!$D$41,Inputs!$D$42))</f>
        <v>1.1499999999999999</v>
      </c>
      <c r="D31" s="42">
        <f t="shared" ca="1" si="23"/>
        <v>0.71388507468351026</v>
      </c>
      <c r="E31" s="42">
        <f t="shared" ca="1" si="23"/>
        <v>0.43025525397425268</v>
      </c>
      <c r="F31" s="42">
        <f t="shared" ca="1" si="23"/>
        <v>0.6474813056370593</v>
      </c>
      <c r="G31" s="42">
        <f t="shared" ca="1" si="23"/>
        <v>0.21263336554108392</v>
      </c>
      <c r="H31" s="42">
        <f t="shared" ca="1" si="23"/>
        <v>1.998303996389883E-2</v>
      </c>
      <c r="I31" s="42">
        <f t="shared" ca="1" si="23"/>
        <v>0.15590311746849628</v>
      </c>
      <c r="J31" s="43">
        <f ca="1">IF(I31&lt;Inputs!$B$54,1+Inputs!$B$55,1)</f>
        <v>1</v>
      </c>
      <c r="K31" s="42">
        <f t="shared" ca="1" si="24"/>
        <v>0.85604113297328022</v>
      </c>
      <c r="L31" s="42">
        <f t="shared" ca="1" si="24"/>
        <v>5.9228017403699096E-2</v>
      </c>
      <c r="M31" s="42">
        <f t="shared" ca="1" si="24"/>
        <v>0.89588155534839176</v>
      </c>
      <c r="N31" s="42">
        <f t="shared" ca="1" si="24"/>
        <v>0.19790881749624112</v>
      </c>
      <c r="O31" s="42">
        <f t="shared" ca="1" si="24"/>
        <v>0.41984800329279348</v>
      </c>
      <c r="P31" s="42">
        <f t="shared" ca="1" si="24"/>
        <v>0.84875732490097466</v>
      </c>
      <c r="Q31" s="42">
        <f t="shared" ca="1" si="24"/>
        <v>0.27665601331347889</v>
      </c>
      <c r="R31" s="42">
        <f t="shared" ca="1" si="24"/>
        <v>0.75993680322504797</v>
      </c>
      <c r="S31" s="42">
        <f t="shared" ca="1" si="24"/>
        <v>0.19727198177366578</v>
      </c>
      <c r="T31" s="42">
        <f t="shared" ca="1" si="24"/>
        <v>0.49394596754493447</v>
      </c>
      <c r="U31" s="44">
        <f ca="1">(IF(D31&gt;=Inputs!$E$12,1,IF(K31&lt;=Inputs!$C$46,Inputs!$D$46,IF(K31&lt;=Inputs!$C$47,Inputs!$D$47,Inputs!$D$48))))*((Inputs!$B$28+(P31-0.5)*2*Inputs!$B$53)/Inputs!$B$28)</f>
        <v>1.0035299324382689</v>
      </c>
      <c r="V31" s="44">
        <f ca="1">(IF(E31&gt;=Inputs!$E$13,1,IF(L31&lt;=Inputs!$C$46,Inputs!$D$46,IF(L31&lt;=Inputs!$C$47,Inputs!$D$47,Inputs!$D$48))))*((Inputs!$B$29+(Q31-0.5)*2*Inputs!$B$53)/Inputs!$B$29)</f>
        <v>0.99774854852130523</v>
      </c>
      <c r="W31" s="44">
        <f ca="1">(IF(F31&gt;=Inputs!$E$14,1,IF(M31&lt;=Inputs!$C$46,Inputs!$D$46,IF(M31&lt;=Inputs!$C$47,Inputs!$D$47,Inputs!$D$48))))*((Inputs!$B$30+(R31-0.5)*2*Inputs!$B$53)/Inputs!$B$30)</f>
        <v>1.0026124301831663</v>
      </c>
      <c r="X31" s="44">
        <f ca="1">(IF(G31&gt;=Inputs!$E$15,1,IF(N31&lt;=Inputs!$C$46,Inputs!$D$46,IF(N31&lt;=Inputs!$C$47,Inputs!$D$47,Inputs!$D$48))))*((Inputs!$B$31+(S31-0.5)*2*Inputs!$B$53)/Inputs!$B$31)</f>
        <v>0.99692661910430114</v>
      </c>
      <c r="Y31" s="44">
        <f ca="1">(IF(H31&gt;=Inputs!$E$16,1,IF(O31&lt;=Inputs!$C$46,Inputs!$D$46,IF(O31&lt;=Inputs!$C$47,Inputs!$D$47,Inputs!$D$48))))*((Inputs!$B$32+(T31-0.5)*2*Inputs!$B$53)/Inputs!$B$32)</f>
        <v>0.29998172827226843</v>
      </c>
      <c r="Z31" s="45">
        <f ca="1">ILP_C_HighResilience!$C$9*U31+ILP_C_HighResilience!$C$10*V31+ILP_C_HighResilience!$C$11*W31+ILP_C_HighResilience!$C$12*X31+ILP_C_HighResilience!$C$13*Y31</f>
        <v>17995.181945783203</v>
      </c>
      <c r="AA31" s="45">
        <f ca="1">ILP_C_HighResilience!$D$9*U31+ILP_C_HighResilience!$D$10*V31+ILP_C_HighResilience!$D$11*W31+ILP_C_HighResilience!$D$12*X31+ILP_C_HighResilience!$D$13*Y31</f>
        <v>14983.734715591971</v>
      </c>
      <c r="AB31" s="45">
        <f ca="1">ILP_C_HighResilience!$E$9*U31+ILP_C_HighResilience!$E$10*V31+ILP_C_HighResilience!$E$11*W31+ILP_C_HighResilience!$E$12*X31+ILP_C_HighResilience!$E$13*Y31</f>
        <v>12014.896848456428</v>
      </c>
      <c r="AC31" s="45">
        <f ca="1">Inputs!$B$6*$C31</f>
        <v>20700</v>
      </c>
      <c r="AD31" s="45">
        <f ca="1">Inputs!$B$7*$C31</f>
        <v>17250</v>
      </c>
      <c r="AE31" s="45">
        <f ca="1">Inputs!$B$8*$C31</f>
        <v>13799.999999999998</v>
      </c>
      <c r="AF31" s="45">
        <f t="shared" ca="1" si="3"/>
        <v>2704.8180542167975</v>
      </c>
      <c r="AG31" s="45">
        <f t="shared" ca="1" si="4"/>
        <v>2266.2652844080294</v>
      </c>
      <c r="AH31" s="45">
        <f t="shared" ca="1" si="5"/>
        <v>1785.1031515435698</v>
      </c>
      <c r="AI31" s="45">
        <f t="shared" ca="1" si="6"/>
        <v>6756.1864901683966</v>
      </c>
      <c r="AJ31" s="45">
        <f ca="1">U31*(Inputs!$B$12-ILP_C_HighResilience!$F$9)+V31*(Inputs!$B$13-ILP_C_HighResilience!$F$10)+W31*(Inputs!$B$14-ILP_C_HighResilience!$F$11)+X31*(Inputs!$B$15-ILP_C_HighResilience!$F$12)+Y31*(Inputs!$B$16-ILP_C_HighResilience!$F$13)</f>
        <v>14527.952034195778</v>
      </c>
      <c r="AK31" s="45">
        <f t="shared" ca="1" si="7"/>
        <v>6756.1864901683966</v>
      </c>
      <c r="AL31" s="45">
        <f t="shared" ca="1" si="8"/>
        <v>0</v>
      </c>
      <c r="AM31" s="45">
        <f t="shared" ca="1" si="9"/>
        <v>0</v>
      </c>
      <c r="AN31" s="45">
        <f t="shared" ca="1" si="10"/>
        <v>0</v>
      </c>
      <c r="AO31" s="45">
        <f ca="1">MIN(AL31,Inputs!$B$36)</f>
        <v>0</v>
      </c>
      <c r="AP31" s="45">
        <f ca="1">MIN(AN31,Inputs!$B$36-AO31)</f>
        <v>0</v>
      </c>
      <c r="AQ31" s="45">
        <f ca="1">MIN(AM31,Inputs!$B$36-AO31-AP31)</f>
        <v>0</v>
      </c>
      <c r="AR31" s="45">
        <f t="shared" ca="1" si="11"/>
        <v>0</v>
      </c>
      <c r="AS31" s="45">
        <f t="shared" ca="1" si="12"/>
        <v>0</v>
      </c>
      <c r="AT31" s="45">
        <f t="shared" ca="1" si="13"/>
        <v>0</v>
      </c>
      <c r="AU31" s="45">
        <f t="shared" ca="1" si="14"/>
        <v>0</v>
      </c>
      <c r="AV31" s="46">
        <f ca="1">AU31*Inputs!$B$35</f>
        <v>0</v>
      </c>
      <c r="AW31" s="46">
        <f ca="1">AR31*Inputs!$C$6+AT31*Inputs!$C$7+AS31*Inputs!$C$8</f>
        <v>0</v>
      </c>
      <c r="AX31" s="46">
        <f t="shared" ca="1" si="15"/>
        <v>47626635.820597224</v>
      </c>
      <c r="AY31" s="46">
        <f ca="1">IF(J31&gt;1,($CD$4)*Inputs!$B$55*((Z31+AA31+AB31)/(SUM(ILP_C_HighResilience!$C$9:$E$13))),0)</f>
        <v>0</v>
      </c>
      <c r="AZ31" s="46">
        <f t="shared" ca="1" si="16"/>
        <v>0</v>
      </c>
      <c r="BA31" s="41">
        <f t="shared" ca="1" si="17"/>
        <v>0</v>
      </c>
      <c r="BB31" s="41">
        <f t="shared" ca="1" si="18"/>
        <v>1</v>
      </c>
      <c r="BC31" s="41">
        <f t="shared" ca="1" si="19"/>
        <v>1</v>
      </c>
      <c r="BD31" s="41">
        <f t="shared" ca="1" si="20"/>
        <v>1</v>
      </c>
    </row>
    <row r="32" spans="1:56" ht="15" customHeight="1" x14ac:dyDescent="0.3">
      <c r="A32" s="41">
        <v>25</v>
      </c>
      <c r="B32" s="42">
        <f t="shared" ca="1" si="0"/>
        <v>6.2558054701976618E-3</v>
      </c>
      <c r="C32" s="43">
        <f ca="1">IF(B32&lt;=Inputs!$C$40,Inputs!$D$40,IF(B32&lt;=Inputs!$C$41,Inputs!$D$41,Inputs!$D$42))</f>
        <v>0.9</v>
      </c>
      <c r="D32" s="42">
        <f t="shared" ca="1" si="23"/>
        <v>0.68114770931804569</v>
      </c>
      <c r="E32" s="42">
        <f t="shared" ca="1" si="23"/>
        <v>0.12483193861551634</v>
      </c>
      <c r="F32" s="42">
        <f t="shared" ca="1" si="23"/>
        <v>1.8963798172389912E-2</v>
      </c>
      <c r="G32" s="42">
        <f t="shared" ca="1" si="23"/>
        <v>0.18481526651228519</v>
      </c>
      <c r="H32" s="42">
        <f t="shared" ca="1" si="23"/>
        <v>0.53171968062333486</v>
      </c>
      <c r="I32" s="42">
        <f t="shared" ca="1" si="23"/>
        <v>0.98250437220399589</v>
      </c>
      <c r="J32" s="43">
        <f ca="1">IF(I32&lt;Inputs!$B$54,1+Inputs!$B$55,1)</f>
        <v>1</v>
      </c>
      <c r="K32" s="42">
        <f t="shared" ca="1" si="24"/>
        <v>0.8405024844998481</v>
      </c>
      <c r="L32" s="42">
        <f t="shared" ca="1" si="24"/>
        <v>0.95277572246279008</v>
      </c>
      <c r="M32" s="42">
        <f t="shared" ca="1" si="24"/>
        <v>0.30625718580559824</v>
      </c>
      <c r="N32" s="42">
        <f t="shared" ca="1" si="24"/>
        <v>0.27592513164924792</v>
      </c>
      <c r="O32" s="42">
        <f t="shared" ca="1" si="24"/>
        <v>0.93275154190822129</v>
      </c>
      <c r="P32" s="42">
        <f t="shared" ca="1" si="24"/>
        <v>0.25110308769928391</v>
      </c>
      <c r="Q32" s="42">
        <f t="shared" ca="1" si="24"/>
        <v>0.25360099205447384</v>
      </c>
      <c r="R32" s="42">
        <f t="shared" ca="1" si="24"/>
        <v>0.71897024233894558</v>
      </c>
      <c r="S32" s="42">
        <f t="shared" ca="1" si="24"/>
        <v>0.23637437783077042</v>
      </c>
      <c r="T32" s="42">
        <f t="shared" ca="1" si="24"/>
        <v>0.54336015227518053</v>
      </c>
      <c r="U32" s="44">
        <f ca="1">(IF(D32&gt;=Inputs!$E$12,1,IF(K32&lt;=Inputs!$C$46,Inputs!$D$46,IF(K32&lt;=Inputs!$C$47,Inputs!$D$47,Inputs!$D$48))))*((Inputs!$B$28+(P32-0.5)*2*Inputs!$B$53)/Inputs!$B$28)</f>
        <v>0.99748080048278631</v>
      </c>
      <c r="V32" s="44">
        <f ca="1">(IF(E32&gt;=Inputs!$E$13,1,IF(L32&lt;=Inputs!$C$46,Inputs!$D$46,IF(L32&lt;=Inputs!$C$47,Inputs!$D$47,Inputs!$D$48))))*((Inputs!$B$29+(Q32-0.5)*2*Inputs!$B$53)/Inputs!$B$29)</f>
        <v>0.99751613903280711</v>
      </c>
      <c r="W32" s="44">
        <f ca="1">(IF(F32&gt;=Inputs!$E$14,1,IF(M32&lt;=Inputs!$C$46,Inputs!$D$46,IF(M32&lt;=Inputs!$C$47,Inputs!$D$47,Inputs!$D$48))))*((Inputs!$B$30+(R32-0.5)*2*Inputs!$B$53)/Inputs!$B$30)</f>
        <v>0.60132042357189308</v>
      </c>
      <c r="X32" s="44">
        <f ca="1">(IF(G32&gt;=Inputs!$E$15,1,IF(N32&lt;=Inputs!$C$46,Inputs!$D$46,IF(N32&lt;=Inputs!$C$47,Inputs!$D$47,Inputs!$D$48))))*((Inputs!$B$31+(S32-0.5)*2*Inputs!$B$53)/Inputs!$B$31)</f>
        <v>0.99732359774447488</v>
      </c>
      <c r="Y32" s="44">
        <f ca="1">(IF(H32&gt;=Inputs!$E$16,1,IF(O32&lt;=Inputs!$C$46,Inputs!$D$46,IF(O32&lt;=Inputs!$C$47,Inputs!$D$47,Inputs!$D$48))))*((Inputs!$B$32+(T32-0.5)*2*Inputs!$B$53)/Inputs!$B$32)</f>
        <v>1.0004362188357665</v>
      </c>
      <c r="Z32" s="45">
        <f ca="1">ILP_C_HighResilience!$C$9*U32+ILP_C_HighResilience!$C$10*V32+ILP_C_HighResilience!$C$11*W32+ILP_C_HighResilience!$C$12*X32+ILP_C_HighResilience!$C$13*Y32</f>
        <v>17953.649767754388</v>
      </c>
      <c r="AA32" s="45">
        <f ca="1">ILP_C_HighResilience!$D$9*U32+ILP_C_HighResilience!$D$10*V32+ILP_C_HighResilience!$D$11*W32+ILP_C_HighResilience!$D$12*X32+ILP_C_HighResilience!$D$13*Y32</f>
        <v>13226.515311021209</v>
      </c>
      <c r="AB32" s="45">
        <f ca="1">ILP_C_HighResilience!$E$9*U32+ILP_C_HighResilience!$E$10*V32+ILP_C_HighResilience!$E$11*W32+ILP_C_HighResilience!$E$12*X32+ILP_C_HighResilience!$E$13*Y32</f>
        <v>10816.302119931403</v>
      </c>
      <c r="AC32" s="45">
        <f ca="1">Inputs!$B$6*$C32</f>
        <v>16200</v>
      </c>
      <c r="AD32" s="45">
        <f ca="1">Inputs!$B$7*$C32</f>
        <v>13500</v>
      </c>
      <c r="AE32" s="45">
        <f ca="1">Inputs!$B$8*$C32</f>
        <v>10800</v>
      </c>
      <c r="AF32" s="45">
        <f t="shared" ca="1" si="3"/>
        <v>0</v>
      </c>
      <c r="AG32" s="45">
        <f t="shared" ca="1" si="4"/>
        <v>273.48468897879138</v>
      </c>
      <c r="AH32" s="45">
        <f t="shared" ca="1" si="5"/>
        <v>0</v>
      </c>
      <c r="AI32" s="45">
        <f t="shared" ca="1" si="6"/>
        <v>273.48468897879138</v>
      </c>
      <c r="AJ32" s="45">
        <f ca="1">U32*(Inputs!$B$12-ILP_C_HighResilience!$F$9)+V32*(Inputs!$B$13-ILP_C_HighResilience!$F$10)+W32*(Inputs!$B$14-ILP_C_HighResilience!$F$11)+X32*(Inputs!$B$15-ILP_C_HighResilience!$F$12)+Y32*(Inputs!$B$16-ILP_C_HighResilience!$F$13)</f>
        <v>22720.043517381688</v>
      </c>
      <c r="AK32" s="45">
        <f t="shared" ca="1" si="7"/>
        <v>273.48468897879138</v>
      </c>
      <c r="AL32" s="45">
        <f t="shared" ca="1" si="8"/>
        <v>0</v>
      </c>
      <c r="AM32" s="45">
        <f t="shared" ca="1" si="9"/>
        <v>0</v>
      </c>
      <c r="AN32" s="45">
        <f t="shared" ca="1" si="10"/>
        <v>0</v>
      </c>
      <c r="AO32" s="45">
        <f ca="1">MIN(AL32,Inputs!$B$36)</f>
        <v>0</v>
      </c>
      <c r="AP32" s="45">
        <f ca="1">MIN(AN32,Inputs!$B$36-AO32)</f>
        <v>0</v>
      </c>
      <c r="AQ32" s="45">
        <f ca="1">MIN(AM32,Inputs!$B$36-AO32-AP32)</f>
        <v>0</v>
      </c>
      <c r="AR32" s="45">
        <f t="shared" ca="1" si="11"/>
        <v>0</v>
      </c>
      <c r="AS32" s="45">
        <f t="shared" ca="1" si="12"/>
        <v>0</v>
      </c>
      <c r="AT32" s="45">
        <f t="shared" ca="1" si="13"/>
        <v>0</v>
      </c>
      <c r="AU32" s="45">
        <f t="shared" ca="1" si="14"/>
        <v>0</v>
      </c>
      <c r="AV32" s="46">
        <f ca="1">AU32*Inputs!$B$35</f>
        <v>0</v>
      </c>
      <c r="AW32" s="46">
        <f ca="1">AR32*Inputs!$C$6+AT32*Inputs!$C$7+AS32*Inputs!$C$8</f>
        <v>0</v>
      </c>
      <c r="AX32" s="46">
        <f t="shared" ca="1" si="15"/>
        <v>44423000.52434133</v>
      </c>
      <c r="AY32" s="46">
        <f ca="1">IF(J32&gt;1,($CD$4)*Inputs!$B$55*((Z32+AA32+AB32)/(SUM(ILP_C_HighResilience!$C$9:$E$13))),0)</f>
        <v>0</v>
      </c>
      <c r="AZ32" s="46">
        <f t="shared" ca="1" si="16"/>
        <v>0</v>
      </c>
      <c r="BA32" s="41">
        <f t="shared" ca="1" si="17"/>
        <v>0</v>
      </c>
      <c r="BB32" s="41">
        <f t="shared" ca="1" si="18"/>
        <v>1</v>
      </c>
      <c r="BC32" s="41">
        <f t="shared" ca="1" si="19"/>
        <v>1</v>
      </c>
      <c r="BD32" s="41">
        <f t="shared" ca="1" si="20"/>
        <v>1</v>
      </c>
    </row>
    <row r="33" spans="1:56" ht="15" customHeight="1" x14ac:dyDescent="0.3">
      <c r="A33" s="41">
        <v>26</v>
      </c>
      <c r="B33" s="42">
        <f t="shared" ca="1" si="0"/>
        <v>0.53039638745200623</v>
      </c>
      <c r="C33" s="43">
        <f ca="1">IF(B33&lt;=Inputs!$C$40,Inputs!$D$40,IF(B33&lt;=Inputs!$C$41,Inputs!$D$41,Inputs!$D$42))</f>
        <v>1</v>
      </c>
      <c r="D33" s="42">
        <f t="shared" ca="1" si="23"/>
        <v>0.13949411636952913</v>
      </c>
      <c r="E33" s="42">
        <f t="shared" ca="1" si="23"/>
        <v>0.74757188619648052</v>
      </c>
      <c r="F33" s="42">
        <f t="shared" ca="1" si="23"/>
        <v>0.32178188622841597</v>
      </c>
      <c r="G33" s="42">
        <f t="shared" ca="1" si="23"/>
        <v>0.36033360819963534</v>
      </c>
      <c r="H33" s="42">
        <f t="shared" ca="1" si="23"/>
        <v>0.60160813534070912</v>
      </c>
      <c r="I33" s="42">
        <f t="shared" ca="1" si="23"/>
        <v>0.45878349782647476</v>
      </c>
      <c r="J33" s="43">
        <f ca="1">IF(I33&lt;Inputs!$B$54,1+Inputs!$B$55,1)</f>
        <v>1</v>
      </c>
      <c r="K33" s="42">
        <f t="shared" ca="1" si="24"/>
        <v>0.83220504707638976</v>
      </c>
      <c r="L33" s="42">
        <f t="shared" ca="1" si="24"/>
        <v>0.13517895941167368</v>
      </c>
      <c r="M33" s="42">
        <f t="shared" ca="1" si="24"/>
        <v>0.52439618413699451</v>
      </c>
      <c r="N33" s="42">
        <f t="shared" ca="1" si="24"/>
        <v>0.85737147977052741</v>
      </c>
      <c r="O33" s="42">
        <f t="shared" ca="1" si="24"/>
        <v>0.31196002311956095</v>
      </c>
      <c r="P33" s="42">
        <f t="shared" ca="1" si="24"/>
        <v>0.29839451635271486</v>
      </c>
      <c r="Q33" s="42">
        <f t="shared" ca="1" si="24"/>
        <v>0.53298768628746107</v>
      </c>
      <c r="R33" s="42">
        <f t="shared" ca="1" si="24"/>
        <v>0.14239893363544287</v>
      </c>
      <c r="S33" s="42">
        <f t="shared" ca="1" si="24"/>
        <v>0.37601446866328869</v>
      </c>
      <c r="T33" s="42">
        <f t="shared" ca="1" si="24"/>
        <v>0.58533222392893924</v>
      </c>
      <c r="U33" s="44">
        <f ca="1">(IF(D33&gt;=Inputs!$E$12,1,IF(K33&lt;=Inputs!$C$46,Inputs!$D$46,IF(K33&lt;=Inputs!$C$47,Inputs!$D$47,Inputs!$D$48))))*((Inputs!$B$28+(P33-0.5)*2*Inputs!$B$53)/Inputs!$B$28)</f>
        <v>0.99795945866753766</v>
      </c>
      <c r="V33" s="44">
        <f ca="1">(IF(E33&gt;=Inputs!$E$13,1,IF(L33&lt;=Inputs!$C$46,Inputs!$D$46,IF(L33&lt;=Inputs!$C$47,Inputs!$D$47,Inputs!$D$48))))*((Inputs!$B$29+(Q33-0.5)*2*Inputs!$B$53)/Inputs!$B$29)</f>
        <v>1.0003325371601559</v>
      </c>
      <c r="W33" s="44">
        <f ca="1">(IF(F33&gt;=Inputs!$E$14,1,IF(M33&lt;=Inputs!$C$46,Inputs!$D$46,IF(M33&lt;=Inputs!$C$47,Inputs!$D$47,Inputs!$D$48))))*((Inputs!$B$30+(R33-0.5)*2*Inputs!$B$53)/Inputs!$B$30)</f>
        <v>0.99640601943352203</v>
      </c>
      <c r="X33" s="44">
        <f ca="1">(IF(G33&gt;=Inputs!$E$15,1,IF(N33&lt;=Inputs!$C$46,Inputs!$D$46,IF(N33&lt;=Inputs!$C$47,Inputs!$D$47,Inputs!$D$48))))*((Inputs!$B$31+(S33-0.5)*2*Inputs!$B$53)/Inputs!$B$31)</f>
        <v>0.9987412636412516</v>
      </c>
      <c r="Y33" s="44">
        <f ca="1">(IF(H33&gt;=Inputs!$E$16,1,IF(O33&lt;=Inputs!$C$46,Inputs!$D$46,IF(O33&lt;=Inputs!$C$47,Inputs!$D$47,Inputs!$D$48))))*((Inputs!$B$32+(T33-0.5)*2*Inputs!$B$53)/Inputs!$B$32)</f>
        <v>1.0008584730777559</v>
      </c>
      <c r="Z33" s="45">
        <f ca="1">ILP_C_HighResilience!$C$9*U33+ILP_C_HighResilience!$C$10*V33+ILP_C_HighResilience!$C$11*W33+ILP_C_HighResilience!$C$12*X33+ILP_C_HighResilience!$C$13*Y33</f>
        <v>17977.442334399842</v>
      </c>
      <c r="AA33" s="45">
        <f ca="1">ILP_C_HighResilience!$D$9*U33+ILP_C_HighResilience!$D$10*V33+ILP_C_HighResilience!$D$11*W33+ILP_C_HighResilience!$D$12*X33+ILP_C_HighResilience!$D$13*Y33</f>
        <v>14980.438226102346</v>
      </c>
      <c r="AB33" s="45">
        <f ca="1">ILP_C_HighResilience!$E$9*U33+ILP_C_HighResilience!$E$10*V33+ILP_C_HighResilience!$E$11*W33+ILP_C_HighResilience!$E$12*X33+ILP_C_HighResilience!$E$13*Y33</f>
        <v>11981.165649537346</v>
      </c>
      <c r="AC33" s="45">
        <f ca="1">Inputs!$B$6*$C33</f>
        <v>18000</v>
      </c>
      <c r="AD33" s="45">
        <f ca="1">Inputs!$B$7*$C33</f>
        <v>15000</v>
      </c>
      <c r="AE33" s="45">
        <f ca="1">Inputs!$B$8*$C33</f>
        <v>12000</v>
      </c>
      <c r="AF33" s="45">
        <f t="shared" ca="1" si="3"/>
        <v>22.557665600157634</v>
      </c>
      <c r="AG33" s="45">
        <f t="shared" ca="1" si="4"/>
        <v>19.561773897654348</v>
      </c>
      <c r="AH33" s="45">
        <f t="shared" ca="1" si="5"/>
        <v>18.834350462653674</v>
      </c>
      <c r="AI33" s="45">
        <f t="shared" ca="1" si="6"/>
        <v>60.953789960465656</v>
      </c>
      <c r="AJ33" s="45">
        <f ca="1">U33*(Inputs!$B$12-ILP_C_HighResilience!$F$9)+V33*(Inputs!$B$13-ILP_C_HighResilience!$F$10)+W33*(Inputs!$B$14-ILP_C_HighResilience!$F$11)+X33*(Inputs!$B$15-ILP_C_HighResilience!$F$12)+Y33*(Inputs!$B$16-ILP_C_HighResilience!$F$13)</f>
        <v>24984.011161380397</v>
      </c>
      <c r="AK33" s="45">
        <f t="shared" ca="1" si="7"/>
        <v>60.953789960465656</v>
      </c>
      <c r="AL33" s="45">
        <f t="shared" ca="1" si="8"/>
        <v>0</v>
      </c>
      <c r="AM33" s="45">
        <f t="shared" ca="1" si="9"/>
        <v>0</v>
      </c>
      <c r="AN33" s="45">
        <f t="shared" ca="1" si="10"/>
        <v>0</v>
      </c>
      <c r="AO33" s="45">
        <f ca="1">MIN(AL33,Inputs!$B$36)</f>
        <v>0</v>
      </c>
      <c r="AP33" s="45">
        <f ca="1">MIN(AN33,Inputs!$B$36-AO33)</f>
        <v>0</v>
      </c>
      <c r="AQ33" s="45">
        <f ca="1">MIN(AM33,Inputs!$B$36-AO33-AP33)</f>
        <v>0</v>
      </c>
      <c r="AR33" s="45">
        <f t="shared" ca="1" si="11"/>
        <v>0</v>
      </c>
      <c r="AS33" s="45">
        <f t="shared" ca="1" si="12"/>
        <v>0</v>
      </c>
      <c r="AT33" s="45">
        <f t="shared" ca="1" si="13"/>
        <v>0</v>
      </c>
      <c r="AU33" s="45">
        <f t="shared" ca="1" si="14"/>
        <v>0</v>
      </c>
      <c r="AV33" s="46">
        <f ca="1">AU33*Inputs!$B$35</f>
        <v>0</v>
      </c>
      <c r="AW33" s="46">
        <f ca="1">AR33*Inputs!$C$6+AT33*Inputs!$C$7+AS33*Inputs!$C$8</f>
        <v>0</v>
      </c>
      <c r="AX33" s="46">
        <f t="shared" ca="1" si="15"/>
        <v>47567779.169143625</v>
      </c>
      <c r="AY33" s="46">
        <f ca="1">IF(J33&gt;1,($CD$4)*Inputs!$B$55*((Z33+AA33+AB33)/(SUM(ILP_C_HighResilience!$C$9:$E$13))),0)</f>
        <v>0</v>
      </c>
      <c r="AZ33" s="46">
        <f t="shared" ca="1" si="16"/>
        <v>0</v>
      </c>
      <c r="BA33" s="41">
        <f t="shared" ca="1" si="17"/>
        <v>0</v>
      </c>
      <c r="BB33" s="41">
        <f t="shared" ca="1" si="18"/>
        <v>1</v>
      </c>
      <c r="BC33" s="41">
        <f t="shared" ca="1" si="19"/>
        <v>1</v>
      </c>
      <c r="BD33" s="41">
        <f t="shared" ca="1" si="20"/>
        <v>1</v>
      </c>
    </row>
    <row r="34" spans="1:56" ht="15" customHeight="1" x14ac:dyDescent="0.3">
      <c r="A34" s="41">
        <v>27</v>
      </c>
      <c r="B34" s="42">
        <f t="shared" ca="1" si="0"/>
        <v>0.73503392541181833</v>
      </c>
      <c r="C34" s="43">
        <f ca="1">IF(B34&lt;=Inputs!$C$40,Inputs!$D$40,IF(B34&lt;=Inputs!$C$41,Inputs!$D$41,Inputs!$D$42))</f>
        <v>1</v>
      </c>
      <c r="D34" s="42">
        <f t="shared" ca="1" si="23"/>
        <v>0.33493622076559204</v>
      </c>
      <c r="E34" s="42">
        <f t="shared" ca="1" si="23"/>
        <v>3.1432669635108601E-2</v>
      </c>
      <c r="F34" s="42">
        <f t="shared" ca="1" si="23"/>
        <v>0.70185923897608371</v>
      </c>
      <c r="G34" s="42">
        <f t="shared" ca="1" si="23"/>
        <v>0.7371750885025562</v>
      </c>
      <c r="H34" s="42">
        <f t="shared" ca="1" si="23"/>
        <v>0.99571753202436675</v>
      </c>
      <c r="I34" s="42">
        <f t="shared" ca="1" si="23"/>
        <v>0.82566660006740566</v>
      </c>
      <c r="J34" s="43">
        <f ca="1">IF(I34&lt;Inputs!$B$54,1+Inputs!$B$55,1)</f>
        <v>1</v>
      </c>
      <c r="K34" s="42">
        <f t="shared" ca="1" si="24"/>
        <v>0.13139332603344489</v>
      </c>
      <c r="L34" s="42">
        <f t="shared" ca="1" si="24"/>
        <v>0.43758692597831628</v>
      </c>
      <c r="M34" s="42">
        <f t="shared" ca="1" si="24"/>
        <v>0.82521552220781036</v>
      </c>
      <c r="N34" s="42">
        <f t="shared" ca="1" si="24"/>
        <v>0.46288057516569336</v>
      </c>
      <c r="O34" s="42">
        <f t="shared" ca="1" si="24"/>
        <v>0.86070524785332181</v>
      </c>
      <c r="P34" s="42">
        <f t="shared" ca="1" si="24"/>
        <v>0.41966138572793743</v>
      </c>
      <c r="Q34" s="42">
        <f t="shared" ca="1" si="24"/>
        <v>0.93102536323580598</v>
      </c>
      <c r="R34" s="42">
        <f t="shared" ca="1" si="24"/>
        <v>0.10464407377045248</v>
      </c>
      <c r="S34" s="42">
        <f t="shared" ca="1" si="24"/>
        <v>0.7812383245067771</v>
      </c>
      <c r="T34" s="42">
        <f t="shared" ca="1" si="24"/>
        <v>0.69480744720750098</v>
      </c>
      <c r="U34" s="44">
        <f ca="1">(IF(D34&gt;=Inputs!$E$12,1,IF(K34&lt;=Inputs!$C$46,Inputs!$D$46,IF(K34&lt;=Inputs!$C$47,Inputs!$D$47,Inputs!$D$48))))*((Inputs!$B$28+(P34-0.5)*2*Inputs!$B$53)/Inputs!$B$28)</f>
        <v>0.99918685613084957</v>
      </c>
      <c r="V34" s="44">
        <f ca="1">(IF(E34&gt;=Inputs!$E$13,1,IF(L34&lt;=Inputs!$C$46,Inputs!$D$46,IF(L34&lt;=Inputs!$C$47,Inputs!$D$47,Inputs!$D$48))))*((Inputs!$B$29+(Q34-0.5)*2*Inputs!$B$53)/Inputs!$B$29)</f>
        <v>0.30130350412268891</v>
      </c>
      <c r="W34" s="44">
        <f ca="1">(IF(F34&gt;=Inputs!$E$14,1,IF(M34&lt;=Inputs!$C$46,Inputs!$D$46,IF(M34&lt;=Inputs!$C$47,Inputs!$D$47,Inputs!$D$48))))*((Inputs!$B$30+(R34-0.5)*2*Inputs!$B$53)/Inputs!$B$30)</f>
        <v>0.99602657360573321</v>
      </c>
      <c r="X34" s="44">
        <f ca="1">(IF(G34&gt;=Inputs!$E$15,1,IF(N34&lt;=Inputs!$C$46,Inputs!$D$46,IF(N34&lt;=Inputs!$C$47,Inputs!$D$47,Inputs!$D$48))))*((Inputs!$B$31+(S34-0.5)*2*Inputs!$B$53)/Inputs!$B$31)</f>
        <v>1.0028552114163125</v>
      </c>
      <c r="Y34" s="44">
        <f ca="1">(IF(H34&gt;=Inputs!$E$16,1,IF(O34&lt;=Inputs!$C$46,Inputs!$D$46,IF(O34&lt;=Inputs!$C$47,Inputs!$D$47,Inputs!$D$48))))*((Inputs!$B$32+(T34-0.5)*2*Inputs!$B$53)/Inputs!$B$32)</f>
        <v>1.0019598334729125</v>
      </c>
      <c r="Z34" s="45">
        <f ca="1">ILP_C_HighResilience!$C$9*U34+ILP_C_HighResilience!$C$10*V34+ILP_C_HighResilience!$C$11*W34+ILP_C_HighResilience!$C$12*X34+ILP_C_HighResilience!$C$13*Y34</f>
        <v>15499.395501181247</v>
      </c>
      <c r="AA34" s="45">
        <f ca="1">ILP_C_HighResilience!$D$9*U34+ILP_C_HighResilience!$D$10*V34+ILP_C_HighResilience!$D$11*W34+ILP_C_HighResilience!$D$12*X34+ILP_C_HighResilience!$D$13*Y34</f>
        <v>10803.608493872609</v>
      </c>
      <c r="AB34" s="45">
        <f ca="1">ILP_C_HighResilience!$E$9*U34+ILP_C_HighResilience!$E$10*V34+ILP_C_HighResilience!$E$11*W34+ILP_C_HighResilience!$E$12*X34+ILP_C_HighResilience!$E$13*Y34</f>
        <v>8988.5157174460637</v>
      </c>
      <c r="AC34" s="45">
        <f ca="1">Inputs!$B$6*$C34</f>
        <v>18000</v>
      </c>
      <c r="AD34" s="45">
        <f ca="1">Inputs!$B$7*$C34</f>
        <v>15000</v>
      </c>
      <c r="AE34" s="45">
        <f ca="1">Inputs!$B$8*$C34</f>
        <v>12000</v>
      </c>
      <c r="AF34" s="45">
        <f t="shared" ca="1" si="3"/>
        <v>2500.6044988187532</v>
      </c>
      <c r="AG34" s="45">
        <f t="shared" ca="1" si="4"/>
        <v>4196.391506127391</v>
      </c>
      <c r="AH34" s="45">
        <f t="shared" ca="1" si="5"/>
        <v>3011.4842825539363</v>
      </c>
      <c r="AI34" s="45">
        <f t="shared" ca="1" si="6"/>
        <v>9708.4802875000805</v>
      </c>
      <c r="AJ34" s="45">
        <f ca="1">U34*(Inputs!$B$12-ILP_C_HighResilience!$F$9)+V34*(Inputs!$B$13-ILP_C_HighResilience!$F$10)+W34*(Inputs!$B$14-ILP_C_HighResilience!$F$11)+X34*(Inputs!$B$15-ILP_C_HighResilience!$F$12)+Y34*(Inputs!$B$16-ILP_C_HighResilience!$F$13)</f>
        <v>24925.724539275288</v>
      </c>
      <c r="AK34" s="45">
        <f t="shared" ca="1" si="7"/>
        <v>9708.4802875000805</v>
      </c>
      <c r="AL34" s="45">
        <f t="shared" ca="1" si="8"/>
        <v>0</v>
      </c>
      <c r="AM34" s="45">
        <f t="shared" ca="1" si="9"/>
        <v>0</v>
      </c>
      <c r="AN34" s="45">
        <f t="shared" ca="1" si="10"/>
        <v>0</v>
      </c>
      <c r="AO34" s="45">
        <f ca="1">MIN(AL34,Inputs!$B$36)</f>
        <v>0</v>
      </c>
      <c r="AP34" s="45">
        <f ca="1">MIN(AN34,Inputs!$B$36-AO34)</f>
        <v>0</v>
      </c>
      <c r="AQ34" s="45">
        <f ca="1">MIN(AM34,Inputs!$B$36-AO34-AP34)</f>
        <v>0</v>
      </c>
      <c r="AR34" s="45">
        <f t="shared" ca="1" si="11"/>
        <v>0</v>
      </c>
      <c r="AS34" s="45">
        <f t="shared" ca="1" si="12"/>
        <v>0</v>
      </c>
      <c r="AT34" s="45">
        <f t="shared" ca="1" si="13"/>
        <v>0</v>
      </c>
      <c r="AU34" s="45">
        <f t="shared" ca="1" si="14"/>
        <v>0</v>
      </c>
      <c r="AV34" s="46">
        <f ca="1">AU34*Inputs!$B$35</f>
        <v>0</v>
      </c>
      <c r="AW34" s="46">
        <f ca="1">AR34*Inputs!$C$6+AT34*Inputs!$C$7+AS34*Inputs!$C$8</f>
        <v>0</v>
      </c>
      <c r="AX34" s="46">
        <f t="shared" ca="1" si="15"/>
        <v>37321430.753004529</v>
      </c>
      <c r="AY34" s="46">
        <f ca="1">IF(J34&gt;1,($CD$4)*Inputs!$B$55*((Z34+AA34+AB34)/(SUM(ILP_C_HighResilience!$C$9:$E$13))),0)</f>
        <v>0</v>
      </c>
      <c r="AZ34" s="46">
        <f t="shared" ca="1" si="16"/>
        <v>0</v>
      </c>
      <c r="BA34" s="41">
        <f t="shared" ca="1" si="17"/>
        <v>0</v>
      </c>
      <c r="BB34" s="41">
        <f t="shared" ca="1" si="18"/>
        <v>1</v>
      </c>
      <c r="BC34" s="41">
        <f t="shared" ca="1" si="19"/>
        <v>1</v>
      </c>
      <c r="BD34" s="41">
        <f t="shared" ca="1" si="20"/>
        <v>1</v>
      </c>
    </row>
    <row r="35" spans="1:56" ht="15" customHeight="1" x14ac:dyDescent="0.3">
      <c r="A35" s="41">
        <v>28</v>
      </c>
      <c r="B35" s="42">
        <f t="shared" ca="1" si="0"/>
        <v>8.4627429606736193E-3</v>
      </c>
      <c r="C35" s="43">
        <f ca="1">IF(B35&lt;=Inputs!$C$40,Inputs!$D$40,IF(B35&lt;=Inputs!$C$41,Inputs!$D$41,Inputs!$D$42))</f>
        <v>0.9</v>
      </c>
      <c r="D35" s="42">
        <f t="shared" ca="1" si="23"/>
        <v>0.62522001800685123</v>
      </c>
      <c r="E35" s="42">
        <f t="shared" ca="1" si="23"/>
        <v>0.80949816095607141</v>
      </c>
      <c r="F35" s="42">
        <f t="shared" ca="1" si="23"/>
        <v>0.58497513990678607</v>
      </c>
      <c r="G35" s="42">
        <f t="shared" ca="1" si="23"/>
        <v>0.25142838576292081</v>
      </c>
      <c r="H35" s="42">
        <f t="shared" ca="1" si="23"/>
        <v>0.69397049215560347</v>
      </c>
      <c r="I35" s="42">
        <f t="shared" ca="1" si="23"/>
        <v>0.92910200182327207</v>
      </c>
      <c r="J35" s="43">
        <f ca="1">IF(I35&lt;Inputs!$B$54,1+Inputs!$B$55,1)</f>
        <v>1</v>
      </c>
      <c r="K35" s="42">
        <f t="shared" ca="1" si="24"/>
        <v>0.63732761153329653</v>
      </c>
      <c r="L35" s="42">
        <f t="shared" ca="1" si="24"/>
        <v>0.91753062096183113</v>
      </c>
      <c r="M35" s="42">
        <f t="shared" ca="1" si="24"/>
        <v>0.41776024263357503</v>
      </c>
      <c r="N35" s="42">
        <f t="shared" ca="1" si="24"/>
        <v>0.94348792337852272</v>
      </c>
      <c r="O35" s="42">
        <f t="shared" ca="1" si="24"/>
        <v>6.4706873501404916E-2</v>
      </c>
      <c r="P35" s="42">
        <f t="shared" ca="1" si="24"/>
        <v>0.81076980929184905</v>
      </c>
      <c r="Q35" s="42">
        <f t="shared" ca="1" si="24"/>
        <v>0.51509011535865179</v>
      </c>
      <c r="R35" s="42">
        <f t="shared" ca="1" si="24"/>
        <v>0.15209040611410996</v>
      </c>
      <c r="S35" s="42">
        <f t="shared" ca="1" si="24"/>
        <v>0.13894739832526326</v>
      </c>
      <c r="T35" s="42">
        <f t="shared" ca="1" si="24"/>
        <v>0.20199620100345117</v>
      </c>
      <c r="U35" s="44">
        <f ca="1">(IF(D35&gt;=Inputs!$E$12,1,IF(K35&lt;=Inputs!$C$46,Inputs!$D$46,IF(K35&lt;=Inputs!$C$47,Inputs!$D$47,Inputs!$D$48))))*((Inputs!$B$28+(P35-0.5)*2*Inputs!$B$53)/Inputs!$B$28)</f>
        <v>1.0031454434138851</v>
      </c>
      <c r="V35" s="44">
        <f ca="1">(IF(E35&gt;=Inputs!$E$13,1,IF(L35&lt;=Inputs!$C$46,Inputs!$D$46,IF(L35&lt;=Inputs!$C$47,Inputs!$D$47,Inputs!$D$48))))*((Inputs!$B$29+(Q35-0.5)*2*Inputs!$B$53)/Inputs!$B$29)</f>
        <v>1.0001521180983735</v>
      </c>
      <c r="W35" s="44">
        <f ca="1">(IF(F35&gt;=Inputs!$E$14,1,IF(M35&lt;=Inputs!$C$46,Inputs!$D$46,IF(M35&lt;=Inputs!$C$47,Inputs!$D$47,Inputs!$D$48))))*((Inputs!$B$30+(R35-0.5)*2*Inputs!$B$53)/Inputs!$B$30)</f>
        <v>0.99650342116697599</v>
      </c>
      <c r="X35" s="44">
        <f ca="1">(IF(G35&gt;=Inputs!$E$15,1,IF(N35&lt;=Inputs!$C$46,Inputs!$D$46,IF(N35&lt;=Inputs!$C$47,Inputs!$D$47,Inputs!$D$48))))*((Inputs!$B$31+(S35-0.5)*2*Inputs!$B$53)/Inputs!$B$31)</f>
        <v>0.99633449135355601</v>
      </c>
      <c r="Y35" s="44">
        <f ca="1">(IF(H35&gt;=Inputs!$E$16,1,IF(O35&lt;=Inputs!$C$46,Inputs!$D$46,IF(O35&lt;=Inputs!$C$47,Inputs!$D$47,Inputs!$D$48))))*((Inputs!$B$32+(T35-0.5)*2*Inputs!$B$53)/Inputs!$B$32)</f>
        <v>0.99700197385315348</v>
      </c>
      <c r="Z35" s="45">
        <f ca="1">ILP_C_HighResilience!$C$9*U35+ILP_C_HighResilience!$C$10*V35+ILP_C_HighResilience!$C$11*W35+ILP_C_HighResilience!$C$12*X35+ILP_C_HighResilience!$C$13*Y35</f>
        <v>17996.80315547972</v>
      </c>
      <c r="AA35" s="45">
        <f ca="1">ILP_C_HighResilience!$D$9*U35+ILP_C_HighResilience!$D$10*V35+ILP_C_HighResilience!$D$11*W35+ILP_C_HighResilience!$D$12*X35+ILP_C_HighResilience!$D$13*Y35</f>
        <v>14968.663043355024</v>
      </c>
      <c r="AB35" s="45">
        <f ca="1">ILP_C_HighResilience!$E$9*U35+ILP_C_HighResilience!$E$10*V35+ILP_C_HighResilience!$E$11*W35+ILP_C_HighResilience!$E$12*X35+ILP_C_HighResilience!$E$13*Y35</f>
        <v>12005.568373230708</v>
      </c>
      <c r="AC35" s="45">
        <f ca="1">Inputs!$B$6*$C35</f>
        <v>16200</v>
      </c>
      <c r="AD35" s="45">
        <f ca="1">Inputs!$B$7*$C35</f>
        <v>13500</v>
      </c>
      <c r="AE35" s="45">
        <f ca="1">Inputs!$B$8*$C35</f>
        <v>10800</v>
      </c>
      <c r="AF35" s="45">
        <f t="shared" ca="1" si="3"/>
        <v>0</v>
      </c>
      <c r="AG35" s="45">
        <f t="shared" ca="1" si="4"/>
        <v>0</v>
      </c>
      <c r="AH35" s="45">
        <f t="shared" ca="1" si="5"/>
        <v>0</v>
      </c>
      <c r="AI35" s="45">
        <f t="shared" ca="1" si="6"/>
        <v>0</v>
      </c>
      <c r="AJ35" s="45">
        <f ca="1">U35*(Inputs!$B$12-ILP_C_HighResilience!$F$9)+V35*(Inputs!$B$13-ILP_C_HighResilience!$F$10)+W35*(Inputs!$B$14-ILP_C_HighResilience!$F$11)+X35*(Inputs!$B$15-ILP_C_HighResilience!$F$12)+Y35*(Inputs!$B$16-ILP_C_HighResilience!$F$13)</f>
        <v>24947.010155144599</v>
      </c>
      <c r="AK35" s="45">
        <f t="shared" ca="1" si="7"/>
        <v>0</v>
      </c>
      <c r="AL35" s="45">
        <f t="shared" ca="1" si="8"/>
        <v>0</v>
      </c>
      <c r="AM35" s="45">
        <f t="shared" ca="1" si="9"/>
        <v>0</v>
      </c>
      <c r="AN35" s="45">
        <f t="shared" ca="1" si="10"/>
        <v>0</v>
      </c>
      <c r="AO35" s="45">
        <f ca="1">MIN(AL35,Inputs!$B$36)</f>
        <v>0</v>
      </c>
      <c r="AP35" s="45">
        <f ca="1">MIN(AN35,Inputs!$B$36-AO35)</f>
        <v>0</v>
      </c>
      <c r="AQ35" s="45">
        <f ca="1">MIN(AM35,Inputs!$B$36-AO35-AP35)</f>
        <v>0</v>
      </c>
      <c r="AR35" s="45">
        <f t="shared" ca="1" si="11"/>
        <v>0</v>
      </c>
      <c r="AS35" s="45">
        <f t="shared" ca="1" si="12"/>
        <v>0</v>
      </c>
      <c r="AT35" s="45">
        <f t="shared" ca="1" si="13"/>
        <v>0</v>
      </c>
      <c r="AU35" s="45">
        <f t="shared" ca="1" si="14"/>
        <v>0</v>
      </c>
      <c r="AV35" s="46">
        <f ca="1">AU35*Inputs!$B$35</f>
        <v>0</v>
      </c>
      <c r="AW35" s="46">
        <f ca="1">AR35*Inputs!$C$6+AT35*Inputs!$C$7+AS35*Inputs!$C$8</f>
        <v>0</v>
      </c>
      <c r="AX35" s="46">
        <f t="shared" ca="1" si="15"/>
        <v>47602256.993545488</v>
      </c>
      <c r="AY35" s="46">
        <f ca="1">IF(J35&gt;1,($CD$4)*Inputs!$B$55*((Z35+AA35+AB35)/(SUM(ILP_C_HighResilience!$C$9:$E$13))),0)</f>
        <v>0</v>
      </c>
      <c r="AZ35" s="46">
        <f t="shared" ca="1" si="16"/>
        <v>0</v>
      </c>
      <c r="BA35" s="41">
        <f t="shared" ca="1" si="17"/>
        <v>0</v>
      </c>
      <c r="BB35" s="41">
        <f t="shared" ca="1" si="18"/>
        <v>1</v>
      </c>
      <c r="BC35" s="41">
        <f t="shared" ca="1" si="19"/>
        <v>1</v>
      </c>
      <c r="BD35" s="41">
        <f t="shared" ca="1" si="20"/>
        <v>1</v>
      </c>
    </row>
    <row r="36" spans="1:56" ht="15" customHeight="1" x14ac:dyDescent="0.3">
      <c r="A36" s="41">
        <v>29</v>
      </c>
      <c r="B36" s="42">
        <f t="shared" ca="1" si="0"/>
        <v>0.22674037325409091</v>
      </c>
      <c r="C36" s="43">
        <f ca="1">IF(B36&lt;=Inputs!$C$40,Inputs!$D$40,IF(B36&lt;=Inputs!$C$41,Inputs!$D$41,Inputs!$D$42))</f>
        <v>1</v>
      </c>
      <c r="D36" s="42">
        <f t="shared" ca="1" si="23"/>
        <v>0.77620657309384578</v>
      </c>
      <c r="E36" s="42">
        <f t="shared" ca="1" si="23"/>
        <v>0.50942430000071559</v>
      </c>
      <c r="F36" s="42">
        <f t="shared" ca="1" si="23"/>
        <v>0.50620864236275953</v>
      </c>
      <c r="G36" s="42">
        <f t="shared" ca="1" si="23"/>
        <v>0.34174203615880205</v>
      </c>
      <c r="H36" s="42">
        <f t="shared" ca="1" si="23"/>
        <v>0.15304890722571973</v>
      </c>
      <c r="I36" s="42">
        <f t="shared" ca="1" si="23"/>
        <v>0.64221258431966421</v>
      </c>
      <c r="J36" s="43">
        <f ca="1">IF(I36&lt;Inputs!$B$54,1+Inputs!$B$55,1)</f>
        <v>1</v>
      </c>
      <c r="K36" s="42">
        <f t="shared" ca="1" si="24"/>
        <v>2.5209608616492241E-2</v>
      </c>
      <c r="L36" s="42">
        <f t="shared" ca="1" si="24"/>
        <v>0.828328759924856</v>
      </c>
      <c r="M36" s="42">
        <f t="shared" ca="1" si="24"/>
        <v>0.15037148187948801</v>
      </c>
      <c r="N36" s="42">
        <f t="shared" ca="1" si="24"/>
        <v>0.35572028607805151</v>
      </c>
      <c r="O36" s="42">
        <f t="shared" ca="1" si="24"/>
        <v>0.4445801798349337</v>
      </c>
      <c r="P36" s="42">
        <f t="shared" ca="1" si="24"/>
        <v>0.30451235131921695</v>
      </c>
      <c r="Q36" s="42">
        <f t="shared" ca="1" si="24"/>
        <v>0.19285205782311532</v>
      </c>
      <c r="R36" s="42">
        <f t="shared" ca="1" si="24"/>
        <v>0.5727874150039296</v>
      </c>
      <c r="S36" s="42">
        <f t="shared" ca="1" si="24"/>
        <v>0.64095696142596315</v>
      </c>
      <c r="T36" s="42">
        <f t="shared" ca="1" si="24"/>
        <v>0.37829608827191719</v>
      </c>
      <c r="U36" s="44">
        <f ca="1">(IF(D36&gt;=Inputs!$E$12,1,IF(K36&lt;=Inputs!$C$46,Inputs!$D$46,IF(K36&lt;=Inputs!$C$47,Inputs!$D$47,Inputs!$D$48))))*((Inputs!$B$28+(P36-0.5)*2*Inputs!$B$53)/Inputs!$B$28)</f>
        <v>0.99802138007408114</v>
      </c>
      <c r="V36" s="44">
        <f ca="1">(IF(E36&gt;=Inputs!$E$13,1,IF(L36&lt;=Inputs!$C$46,Inputs!$D$46,IF(L36&lt;=Inputs!$C$47,Inputs!$D$47,Inputs!$D$48))))*((Inputs!$B$29+(Q36-0.5)*2*Inputs!$B$53)/Inputs!$B$29)</f>
        <v>0.99690375058289427</v>
      </c>
      <c r="W36" s="44">
        <f ca="1">(IF(F36&gt;=Inputs!$E$14,1,IF(M36&lt;=Inputs!$C$46,Inputs!$D$46,IF(M36&lt;=Inputs!$C$47,Inputs!$D$47,Inputs!$D$48))))*((Inputs!$B$30+(R36-0.5)*2*Inputs!$B$53)/Inputs!$B$30)</f>
        <v>1.0007315318090848</v>
      </c>
      <c r="X36" s="44">
        <f ca="1">(IF(G36&gt;=Inputs!$E$15,1,IF(N36&lt;=Inputs!$C$46,Inputs!$D$46,IF(N36&lt;=Inputs!$C$47,Inputs!$D$47,Inputs!$D$48))))*((Inputs!$B$31+(S36-0.5)*2*Inputs!$B$53)/Inputs!$B$31)</f>
        <v>1.0014310351413804</v>
      </c>
      <c r="Y36" s="44">
        <f ca="1">(IF(H36&gt;=Inputs!$E$16,1,IF(O36&lt;=Inputs!$C$46,Inputs!$D$46,IF(O36&lt;=Inputs!$C$47,Inputs!$D$47,Inputs!$D$48))))*((Inputs!$B$32+(T36-0.5)*2*Inputs!$B$53)/Inputs!$B$32)</f>
        <v>0.99877561457013997</v>
      </c>
      <c r="Z36" s="45">
        <f ca="1">ILP_C_HighResilience!$C$9*U36+ILP_C_HighResilience!$C$10*V36+ILP_C_HighResilience!$C$11*W36+ILP_C_HighResilience!$C$12*X36+ILP_C_HighResilience!$C$13*Y36</f>
        <v>17984.910891649743</v>
      </c>
      <c r="AA36" s="45">
        <f ca="1">ILP_C_HighResilience!$D$9*U36+ILP_C_HighResilience!$D$10*V36+ILP_C_HighResilience!$D$11*W36+ILP_C_HighResilience!$D$12*X36+ILP_C_HighResilience!$D$13*Y36</f>
        <v>14991.237995174335</v>
      </c>
      <c r="AB36" s="45">
        <f ca="1">ILP_C_HighResilience!$E$9*U36+ILP_C_HighResilience!$E$10*V36+ILP_C_HighResilience!$E$11*W36+ILP_C_HighResilience!$E$12*X36+ILP_C_HighResilience!$E$13*Y36</f>
        <v>11979.356127483095</v>
      </c>
      <c r="AC36" s="45">
        <f ca="1">Inputs!$B$6*$C36</f>
        <v>18000</v>
      </c>
      <c r="AD36" s="45">
        <f ca="1">Inputs!$B$7*$C36</f>
        <v>15000</v>
      </c>
      <c r="AE36" s="45">
        <f ca="1">Inputs!$B$8*$C36</f>
        <v>12000</v>
      </c>
      <c r="AF36" s="45">
        <f t="shared" ca="1" si="3"/>
        <v>15.089108350257447</v>
      </c>
      <c r="AG36" s="45">
        <f t="shared" ca="1" si="4"/>
        <v>8.762004825664917</v>
      </c>
      <c r="AH36" s="45">
        <f t="shared" ca="1" si="5"/>
        <v>20.643872516904594</v>
      </c>
      <c r="AI36" s="45">
        <f t="shared" ca="1" si="6"/>
        <v>44.494985692826958</v>
      </c>
      <c r="AJ36" s="45">
        <f ca="1">U36*(Inputs!$B$12-ILP_C_HighResilience!$F$9)+V36*(Inputs!$B$13-ILP_C_HighResilience!$F$10)+W36*(Inputs!$B$14-ILP_C_HighResilience!$F$11)+X36*(Inputs!$B$15-ILP_C_HighResilience!$F$12)+Y36*(Inputs!$B$16-ILP_C_HighResilience!$F$13)</f>
        <v>24977.806128805409</v>
      </c>
      <c r="AK36" s="45">
        <f t="shared" ca="1" si="7"/>
        <v>44.494985692826958</v>
      </c>
      <c r="AL36" s="45">
        <f t="shared" ca="1" si="8"/>
        <v>0</v>
      </c>
      <c r="AM36" s="45">
        <f t="shared" ca="1" si="9"/>
        <v>0</v>
      </c>
      <c r="AN36" s="45">
        <f t="shared" ca="1" si="10"/>
        <v>0</v>
      </c>
      <c r="AO36" s="45">
        <f ca="1">MIN(AL36,Inputs!$B$36)</f>
        <v>0</v>
      </c>
      <c r="AP36" s="45">
        <f ca="1">MIN(AN36,Inputs!$B$36-AO36)</f>
        <v>0</v>
      </c>
      <c r="AQ36" s="45">
        <f ca="1">MIN(AM36,Inputs!$B$36-AO36-AP36)</f>
        <v>0</v>
      </c>
      <c r="AR36" s="45">
        <f t="shared" ca="1" si="11"/>
        <v>0</v>
      </c>
      <c r="AS36" s="45">
        <f t="shared" ca="1" si="12"/>
        <v>0</v>
      </c>
      <c r="AT36" s="45">
        <f t="shared" ca="1" si="13"/>
        <v>0</v>
      </c>
      <c r="AU36" s="45">
        <f t="shared" ca="1" si="14"/>
        <v>0</v>
      </c>
      <c r="AV36" s="46">
        <f ca="1">AU36*Inputs!$B$35</f>
        <v>0</v>
      </c>
      <c r="AW36" s="46">
        <f ca="1">AR36*Inputs!$C$6+AT36*Inputs!$C$7+AS36*Inputs!$C$8</f>
        <v>0</v>
      </c>
      <c r="AX36" s="46">
        <f t="shared" ca="1" si="15"/>
        <v>47584919.22058811</v>
      </c>
      <c r="AY36" s="46">
        <f ca="1">IF(J36&gt;1,($CD$4)*Inputs!$B$55*((Z36+AA36+AB36)/(SUM(ILP_C_HighResilience!$C$9:$E$13))),0)</f>
        <v>0</v>
      </c>
      <c r="AZ36" s="46">
        <f t="shared" ca="1" si="16"/>
        <v>0</v>
      </c>
      <c r="BA36" s="41">
        <f t="shared" ca="1" si="17"/>
        <v>0</v>
      </c>
      <c r="BB36" s="41">
        <f t="shared" ca="1" si="18"/>
        <v>1</v>
      </c>
      <c r="BC36" s="41">
        <f t="shared" ca="1" si="19"/>
        <v>1</v>
      </c>
      <c r="BD36" s="41">
        <f t="shared" ca="1" si="20"/>
        <v>1</v>
      </c>
    </row>
    <row r="37" spans="1:56" ht="15" customHeight="1" x14ac:dyDescent="0.3">
      <c r="A37" s="41">
        <v>30</v>
      </c>
      <c r="B37" s="42">
        <f t="shared" ca="1" si="0"/>
        <v>0.63600059512638207</v>
      </c>
      <c r="C37" s="43">
        <f ca="1">IF(B37&lt;=Inputs!$C$40,Inputs!$D$40,IF(B37&lt;=Inputs!$C$41,Inputs!$D$41,Inputs!$D$42))</f>
        <v>1</v>
      </c>
      <c r="D37" s="42">
        <f t="shared" ca="1" si="23"/>
        <v>0.60946248217200338</v>
      </c>
      <c r="E37" s="42">
        <f t="shared" ca="1" si="23"/>
        <v>0.29929740148782413</v>
      </c>
      <c r="F37" s="42">
        <f t="shared" ca="1" si="23"/>
        <v>0.17058960698814207</v>
      </c>
      <c r="G37" s="42">
        <f t="shared" ca="1" si="23"/>
        <v>0.26542882719588479</v>
      </c>
      <c r="H37" s="42">
        <f t="shared" ca="1" si="23"/>
        <v>0.34683915936458087</v>
      </c>
      <c r="I37" s="42">
        <f t="shared" ca="1" si="23"/>
        <v>0.14340916929562064</v>
      </c>
      <c r="J37" s="43">
        <f ca="1">IF(I37&lt;Inputs!$B$54,1+Inputs!$B$55,1)</f>
        <v>1</v>
      </c>
      <c r="K37" s="42">
        <f t="shared" ca="1" si="24"/>
        <v>0.77421709148573792</v>
      </c>
      <c r="L37" s="42">
        <f t="shared" ca="1" si="24"/>
        <v>0.7532680248156588</v>
      </c>
      <c r="M37" s="42">
        <f t="shared" ca="1" si="24"/>
        <v>0.39604116684487078</v>
      </c>
      <c r="N37" s="42">
        <f t="shared" ca="1" si="24"/>
        <v>0.50399338707421559</v>
      </c>
      <c r="O37" s="42">
        <f t="shared" ca="1" si="24"/>
        <v>0.79383417975294335</v>
      </c>
      <c r="P37" s="42">
        <f t="shared" ca="1" si="24"/>
        <v>0.85497722251986641</v>
      </c>
      <c r="Q37" s="42">
        <f t="shared" ca="1" si="24"/>
        <v>0.55232785673126639</v>
      </c>
      <c r="R37" s="42">
        <f t="shared" ca="1" si="24"/>
        <v>0.44131461150332763</v>
      </c>
      <c r="S37" s="42">
        <f t="shared" ca="1" si="24"/>
        <v>0.24644173614141895</v>
      </c>
      <c r="T37" s="42">
        <f t="shared" ca="1" si="24"/>
        <v>0.50518316927611795</v>
      </c>
      <c r="U37" s="44">
        <f ca="1">(IF(D37&gt;=Inputs!$E$12,1,IF(K37&lt;=Inputs!$C$46,Inputs!$D$46,IF(K37&lt;=Inputs!$C$47,Inputs!$D$47,Inputs!$D$48))))*((Inputs!$B$28+(P37-0.5)*2*Inputs!$B$53)/Inputs!$B$28)</f>
        <v>1.0035928868676101</v>
      </c>
      <c r="V37" s="44">
        <f ca="1">(IF(E37&gt;=Inputs!$E$13,1,IF(L37&lt;=Inputs!$C$46,Inputs!$D$46,IF(L37&lt;=Inputs!$C$47,Inputs!$D$47,Inputs!$D$48))))*((Inputs!$B$29+(Q37-0.5)*2*Inputs!$B$53)/Inputs!$B$29)</f>
        <v>1.0005274985557588</v>
      </c>
      <c r="W37" s="44">
        <f ca="1">(IF(F37&gt;=Inputs!$E$14,1,IF(M37&lt;=Inputs!$C$46,Inputs!$D$46,IF(M37&lt;=Inputs!$C$47,Inputs!$D$47,Inputs!$D$48))))*((Inputs!$B$30+(R37-0.5)*2*Inputs!$B$53)/Inputs!$B$30)</f>
        <v>0.99941019710053602</v>
      </c>
      <c r="X37" s="44">
        <f ca="1">(IF(G37&gt;=Inputs!$E$15,1,IF(N37&lt;=Inputs!$C$46,Inputs!$D$46,IF(N37&lt;=Inputs!$C$47,Inputs!$D$47,Inputs!$D$48))))*((Inputs!$B$31+(S37-0.5)*2*Inputs!$B$53)/Inputs!$B$31)</f>
        <v>0.99742580442783169</v>
      </c>
      <c r="Y37" s="44">
        <f ca="1">(IF(H37&gt;=Inputs!$E$16,1,IF(O37&lt;=Inputs!$C$46,Inputs!$D$46,IF(O37&lt;=Inputs!$C$47,Inputs!$D$47,Inputs!$D$48))))*((Inputs!$B$32+(T37-0.5)*2*Inputs!$B$53)/Inputs!$B$32)</f>
        <v>1.0000521445601218</v>
      </c>
      <c r="Z37" s="45">
        <f ca="1">ILP_C_HighResilience!$C$9*U37+ILP_C_HighResilience!$C$10*V37+ILP_C_HighResilience!$C$11*W37+ILP_C_HighResilience!$C$12*X37+ILP_C_HighResilience!$C$13*Y37</f>
        <v>18009.233572127912</v>
      </c>
      <c r="AA37" s="45">
        <f ca="1">ILP_C_HighResilience!$D$9*U37+ILP_C_HighResilience!$D$10*V37+ILP_C_HighResilience!$D$11*W37+ILP_C_HighResilience!$D$12*X37+ILP_C_HighResilience!$D$13*Y37</f>
        <v>14988.688871091483</v>
      </c>
      <c r="AB37" s="45">
        <f ca="1">ILP_C_HighResilience!$E$9*U37+ILP_C_HighResilience!$E$10*V37+ILP_C_HighResilience!$E$11*W37+ILP_C_HighResilience!$E$12*X37+ILP_C_HighResilience!$E$13*Y37</f>
        <v>12017.790264728384</v>
      </c>
      <c r="AC37" s="45">
        <f ca="1">Inputs!$B$6*$C37</f>
        <v>18000</v>
      </c>
      <c r="AD37" s="45">
        <f ca="1">Inputs!$B$7*$C37</f>
        <v>15000</v>
      </c>
      <c r="AE37" s="45">
        <f ca="1">Inputs!$B$8*$C37</f>
        <v>12000</v>
      </c>
      <c r="AF37" s="45">
        <f t="shared" ca="1" si="3"/>
        <v>0</v>
      </c>
      <c r="AG37" s="45">
        <f t="shared" ca="1" si="4"/>
        <v>11.311128908517276</v>
      </c>
      <c r="AH37" s="45">
        <f t="shared" ca="1" si="5"/>
        <v>0</v>
      </c>
      <c r="AI37" s="45">
        <f t="shared" ca="1" si="6"/>
        <v>11.311128908517276</v>
      </c>
      <c r="AJ37" s="45">
        <f ca="1">U37*(Inputs!$B$12-ILP_C_HighResilience!$F$9)+V37*(Inputs!$B$13-ILP_C_HighResilience!$F$10)+W37*(Inputs!$B$14-ILP_C_HighResilience!$F$11)+X37*(Inputs!$B$15-ILP_C_HighResilience!$F$12)+Y37*(Inputs!$B$16-ILP_C_HighResilience!$F$13)</f>
        <v>25011.382845557382</v>
      </c>
      <c r="AK37" s="45">
        <f t="shared" ca="1" si="7"/>
        <v>11.311128908517276</v>
      </c>
      <c r="AL37" s="45">
        <f t="shared" ca="1" si="8"/>
        <v>0</v>
      </c>
      <c r="AM37" s="45">
        <f t="shared" ca="1" si="9"/>
        <v>0</v>
      </c>
      <c r="AN37" s="45">
        <f t="shared" ca="1" si="10"/>
        <v>0</v>
      </c>
      <c r="AO37" s="45">
        <f ca="1">MIN(AL37,Inputs!$B$36)</f>
        <v>0</v>
      </c>
      <c r="AP37" s="45">
        <f ca="1">MIN(AN37,Inputs!$B$36-AO37)</f>
        <v>0</v>
      </c>
      <c r="AQ37" s="45">
        <f ca="1">MIN(AM37,Inputs!$B$36-AO37-AP37)</f>
        <v>0</v>
      </c>
      <c r="AR37" s="45">
        <f t="shared" ca="1" si="11"/>
        <v>0</v>
      </c>
      <c r="AS37" s="45">
        <f t="shared" ca="1" si="12"/>
        <v>0</v>
      </c>
      <c r="AT37" s="45">
        <f t="shared" ca="1" si="13"/>
        <v>0</v>
      </c>
      <c r="AU37" s="45">
        <f t="shared" ca="1" si="14"/>
        <v>0</v>
      </c>
      <c r="AV37" s="46">
        <f ca="1">AU37*Inputs!$B$35</f>
        <v>0</v>
      </c>
      <c r="AW37" s="46">
        <f ca="1">AR37*Inputs!$C$6+AT37*Inputs!$C$7+AS37*Inputs!$C$8</f>
        <v>0</v>
      </c>
      <c r="AX37" s="46">
        <f t="shared" ca="1" si="15"/>
        <v>47649625.540802449</v>
      </c>
      <c r="AY37" s="46">
        <f ca="1">IF(J37&gt;1,($CD$4)*Inputs!$B$55*((Z37+AA37+AB37)/(SUM(ILP_C_HighResilience!$C$9:$E$13))),0)</f>
        <v>0</v>
      </c>
      <c r="AZ37" s="46">
        <f t="shared" ca="1" si="16"/>
        <v>0</v>
      </c>
      <c r="BA37" s="41">
        <f t="shared" ca="1" si="17"/>
        <v>0</v>
      </c>
      <c r="BB37" s="41">
        <f t="shared" ca="1" si="18"/>
        <v>1</v>
      </c>
      <c r="BC37" s="41">
        <f t="shared" ca="1" si="19"/>
        <v>1</v>
      </c>
      <c r="BD37" s="41">
        <f t="shared" ca="1" si="20"/>
        <v>1</v>
      </c>
    </row>
    <row r="38" spans="1:56" ht="15" customHeight="1" x14ac:dyDescent="0.3">
      <c r="A38" s="41">
        <v>31</v>
      </c>
      <c r="B38" s="42">
        <f t="shared" ca="1" si="0"/>
        <v>0.30973165350253817</v>
      </c>
      <c r="C38" s="43">
        <f ca="1">IF(B38&lt;=Inputs!$C$40,Inputs!$D$40,IF(B38&lt;=Inputs!$C$41,Inputs!$D$41,Inputs!$D$42))</f>
        <v>1</v>
      </c>
      <c r="D38" s="42">
        <f t="shared" ref="D38:I47" ca="1" si="25">RAND()</f>
        <v>0.72926850097016416</v>
      </c>
      <c r="E38" s="42">
        <f t="shared" ca="1" si="25"/>
        <v>0.70252634107022771</v>
      </c>
      <c r="F38" s="42">
        <f t="shared" ca="1" si="25"/>
        <v>0.34228897695248972</v>
      </c>
      <c r="G38" s="42">
        <f t="shared" ca="1" si="25"/>
        <v>0.12266444594135661</v>
      </c>
      <c r="H38" s="42">
        <f t="shared" ca="1" si="25"/>
        <v>0.23864408735384213</v>
      </c>
      <c r="I38" s="42">
        <f t="shared" ca="1" si="25"/>
        <v>0.91363999996621048</v>
      </c>
      <c r="J38" s="43">
        <f ca="1">IF(I38&lt;Inputs!$B$54,1+Inputs!$B$55,1)</f>
        <v>1</v>
      </c>
      <c r="K38" s="42">
        <f t="shared" ref="K38:T47" ca="1" si="26">RAND()</f>
        <v>0.14245850462591692</v>
      </c>
      <c r="L38" s="42">
        <f t="shared" ca="1" si="26"/>
        <v>0.55775981603831748</v>
      </c>
      <c r="M38" s="42">
        <f t="shared" ca="1" si="26"/>
        <v>9.7037656793997229E-2</v>
      </c>
      <c r="N38" s="42">
        <f t="shared" ca="1" si="26"/>
        <v>0.48699437034617632</v>
      </c>
      <c r="O38" s="42">
        <f t="shared" ca="1" si="26"/>
        <v>0.84422121039047837</v>
      </c>
      <c r="P38" s="42">
        <f t="shared" ca="1" si="26"/>
        <v>0.2955738060018599</v>
      </c>
      <c r="Q38" s="42">
        <f t="shared" ca="1" si="26"/>
        <v>0.19111392946491357</v>
      </c>
      <c r="R38" s="42">
        <f t="shared" ca="1" si="26"/>
        <v>1.406583499025571E-2</v>
      </c>
      <c r="S38" s="42">
        <f t="shared" ca="1" si="26"/>
        <v>0.17278509628031091</v>
      </c>
      <c r="T38" s="42">
        <f t="shared" ca="1" si="26"/>
        <v>0.33330610347848877</v>
      </c>
      <c r="U38" s="44">
        <f ca="1">(IF(D38&gt;=Inputs!$E$12,1,IF(K38&lt;=Inputs!$C$46,Inputs!$D$46,IF(K38&lt;=Inputs!$C$47,Inputs!$D$47,Inputs!$D$48))))*((Inputs!$B$28+(P38-0.5)*2*Inputs!$B$53)/Inputs!$B$28)</f>
        <v>0.99793090896763015</v>
      </c>
      <c r="V38" s="44">
        <f ca="1">(IF(E38&gt;=Inputs!$E$13,1,IF(L38&lt;=Inputs!$C$46,Inputs!$D$46,IF(L38&lt;=Inputs!$C$47,Inputs!$D$47,Inputs!$D$48))))*((Inputs!$B$29+(Q38-0.5)*2*Inputs!$B$53)/Inputs!$B$29)</f>
        <v>0.99688622912767055</v>
      </c>
      <c r="W38" s="44">
        <f ca="1">(IF(F38&gt;=Inputs!$E$14,1,IF(M38&lt;=Inputs!$C$46,Inputs!$D$46,IF(M38&lt;=Inputs!$C$47,Inputs!$D$47,Inputs!$D$48))))*((Inputs!$B$30+(R38-0.5)*2*Inputs!$B$53)/Inputs!$B$30)</f>
        <v>0.99511623954764072</v>
      </c>
      <c r="X38" s="44">
        <f ca="1">(IF(G38&gt;=Inputs!$E$15,1,IF(N38&lt;=Inputs!$C$46,Inputs!$D$46,IF(N38&lt;=Inputs!$C$47,Inputs!$D$47,Inputs!$D$48))))*((Inputs!$B$31+(S38-0.5)*2*Inputs!$B$53)/Inputs!$B$31)</f>
        <v>0.29900340638461009</v>
      </c>
      <c r="Y38" s="44">
        <f ca="1">(IF(H38&gt;=Inputs!$E$16,1,IF(O38&lt;=Inputs!$C$46,Inputs!$D$46,IF(O38&lt;=Inputs!$C$47,Inputs!$D$47,Inputs!$D$48))))*((Inputs!$B$32+(T38-0.5)*2*Inputs!$B$53)/Inputs!$B$32)</f>
        <v>0.99832299902895871</v>
      </c>
      <c r="Z38" s="45">
        <f ca="1">ILP_C_HighResilience!$C$9*U38+ILP_C_HighResilience!$C$10*V38+ILP_C_HighResilience!$C$11*W38+ILP_C_HighResilience!$C$12*X38+ILP_C_HighResilience!$C$13*Y38</f>
        <v>12926.717495395744</v>
      </c>
      <c r="AA38" s="45">
        <f ca="1">ILP_C_HighResilience!$D$9*U38+ILP_C_HighResilience!$D$10*V38+ILP_C_HighResilience!$D$11*W38+ILP_C_HighResilience!$D$12*X38+ILP_C_HighResilience!$D$13*Y38</f>
        <v>11721.32224148159</v>
      </c>
      <c r="AB38" s="45">
        <f ca="1">ILP_C_HighResilience!$E$9*U38+ILP_C_HighResilience!$E$10*V38+ILP_C_HighResilience!$E$11*W38+ILP_C_HighResilience!$E$12*X38+ILP_C_HighResilience!$E$13*Y38</f>
        <v>11962.495003106807</v>
      </c>
      <c r="AC38" s="45">
        <f ca="1">Inputs!$B$6*$C38</f>
        <v>18000</v>
      </c>
      <c r="AD38" s="45">
        <f ca="1">Inputs!$B$7*$C38</f>
        <v>15000</v>
      </c>
      <c r="AE38" s="45">
        <f ca="1">Inputs!$B$8*$C38</f>
        <v>12000</v>
      </c>
      <c r="AF38" s="45">
        <f t="shared" ca="1" si="3"/>
        <v>5073.2825046042562</v>
      </c>
      <c r="AG38" s="45">
        <f t="shared" ca="1" si="4"/>
        <v>3278.67775851841</v>
      </c>
      <c r="AH38" s="45">
        <f t="shared" ca="1" si="5"/>
        <v>37.504996893192583</v>
      </c>
      <c r="AI38" s="45">
        <f t="shared" ca="1" si="6"/>
        <v>8389.4652600158588</v>
      </c>
      <c r="AJ38" s="45">
        <f ca="1">U38*(Inputs!$B$12-ILP_C_HighResilience!$F$9)+V38*(Inputs!$B$13-ILP_C_HighResilience!$F$10)+W38*(Inputs!$B$14-ILP_C_HighResilience!$F$11)+X38*(Inputs!$B$15-ILP_C_HighResilience!$F$12)+Y38*(Inputs!$B$16-ILP_C_HighResilience!$F$13)</f>
        <v>24812.163987454362</v>
      </c>
      <c r="AK38" s="45">
        <f t="shared" ca="1" si="7"/>
        <v>8389.4652600158588</v>
      </c>
      <c r="AL38" s="45">
        <f t="shared" ca="1" si="8"/>
        <v>0</v>
      </c>
      <c r="AM38" s="45">
        <f t="shared" ca="1" si="9"/>
        <v>0</v>
      </c>
      <c r="AN38" s="45">
        <f t="shared" ca="1" si="10"/>
        <v>0</v>
      </c>
      <c r="AO38" s="45">
        <f ca="1">MIN(AL38,Inputs!$B$36)</f>
        <v>0</v>
      </c>
      <c r="AP38" s="45">
        <f ca="1">MIN(AN38,Inputs!$B$36-AO38)</f>
        <v>0</v>
      </c>
      <c r="AQ38" s="45">
        <f ca="1">MIN(AM38,Inputs!$B$36-AO38-AP38)</f>
        <v>0</v>
      </c>
      <c r="AR38" s="45">
        <f t="shared" ca="1" si="11"/>
        <v>0</v>
      </c>
      <c r="AS38" s="45">
        <f t="shared" ca="1" si="12"/>
        <v>0</v>
      </c>
      <c r="AT38" s="45">
        <f t="shared" ca="1" si="13"/>
        <v>0</v>
      </c>
      <c r="AU38" s="45">
        <f t="shared" ca="1" si="14"/>
        <v>0</v>
      </c>
      <c r="AV38" s="46">
        <f ca="1">AU38*Inputs!$B$35</f>
        <v>0</v>
      </c>
      <c r="AW38" s="46">
        <f ca="1">AR38*Inputs!$C$6+AT38*Inputs!$C$7+AS38*Inputs!$C$8</f>
        <v>0</v>
      </c>
      <c r="AX38" s="46">
        <f t="shared" ca="1" si="15"/>
        <v>38868455.164159283</v>
      </c>
      <c r="AY38" s="46">
        <f ca="1">IF(J38&gt;1,($CD$4)*Inputs!$B$55*((Z38+AA38+AB38)/(SUM(ILP_C_HighResilience!$C$9:$E$13))),0)</f>
        <v>0</v>
      </c>
      <c r="AZ38" s="46">
        <f t="shared" ca="1" si="16"/>
        <v>0</v>
      </c>
      <c r="BA38" s="41">
        <f t="shared" ca="1" si="17"/>
        <v>0</v>
      </c>
      <c r="BB38" s="41">
        <f t="shared" ca="1" si="18"/>
        <v>1</v>
      </c>
      <c r="BC38" s="41">
        <f t="shared" ca="1" si="19"/>
        <v>1</v>
      </c>
      <c r="BD38" s="41">
        <f t="shared" ca="1" si="20"/>
        <v>1</v>
      </c>
    </row>
    <row r="39" spans="1:56" ht="15" customHeight="1" x14ac:dyDescent="0.3">
      <c r="A39" s="41">
        <v>32</v>
      </c>
      <c r="B39" s="42">
        <f t="shared" ca="1" si="0"/>
        <v>0.19273837285614215</v>
      </c>
      <c r="C39" s="43">
        <f ca="1">IF(B39&lt;=Inputs!$C$40,Inputs!$D$40,IF(B39&lt;=Inputs!$C$41,Inputs!$D$41,Inputs!$D$42))</f>
        <v>0.9</v>
      </c>
      <c r="D39" s="42">
        <f t="shared" ca="1" si="25"/>
        <v>0.82229954034447617</v>
      </c>
      <c r="E39" s="42">
        <f t="shared" ca="1" si="25"/>
        <v>0.2109585411821564</v>
      </c>
      <c r="F39" s="42">
        <f t="shared" ca="1" si="25"/>
        <v>0.48765495493592814</v>
      </c>
      <c r="G39" s="42">
        <f t="shared" ca="1" si="25"/>
        <v>0.65749907666223639</v>
      </c>
      <c r="H39" s="42">
        <f t="shared" ca="1" si="25"/>
        <v>0.67517961242771163</v>
      </c>
      <c r="I39" s="42">
        <f t="shared" ca="1" si="25"/>
        <v>0.91983355647906118</v>
      </c>
      <c r="J39" s="43">
        <f ca="1">IF(I39&lt;Inputs!$B$54,1+Inputs!$B$55,1)</f>
        <v>1</v>
      </c>
      <c r="K39" s="42">
        <f t="shared" ca="1" si="26"/>
        <v>0.8896367070044503</v>
      </c>
      <c r="L39" s="42">
        <f t="shared" ca="1" si="26"/>
        <v>8.0182716309312507E-2</v>
      </c>
      <c r="M39" s="42">
        <f t="shared" ca="1" si="26"/>
        <v>0.41290940839857637</v>
      </c>
      <c r="N39" s="42">
        <f t="shared" ca="1" si="26"/>
        <v>0.43899520386489721</v>
      </c>
      <c r="O39" s="42">
        <f t="shared" ca="1" si="26"/>
        <v>0.36237150878166846</v>
      </c>
      <c r="P39" s="42">
        <f t="shared" ca="1" si="26"/>
        <v>0.17440443030521169</v>
      </c>
      <c r="Q39" s="42">
        <f t="shared" ca="1" si="26"/>
        <v>0.89343654028581598</v>
      </c>
      <c r="R39" s="42">
        <f t="shared" ca="1" si="26"/>
        <v>0.8748764793124737</v>
      </c>
      <c r="S39" s="42">
        <f t="shared" ca="1" si="26"/>
        <v>0.58976523696463867</v>
      </c>
      <c r="T39" s="42">
        <f t="shared" ca="1" si="26"/>
        <v>0.5175930000397394</v>
      </c>
      <c r="U39" s="44">
        <f ca="1">(IF(D39&gt;=Inputs!$E$12,1,IF(K39&lt;=Inputs!$C$46,Inputs!$D$46,IF(K39&lt;=Inputs!$C$47,Inputs!$D$47,Inputs!$D$48))))*((Inputs!$B$28+(P39-0.5)*2*Inputs!$B$53)/Inputs!$B$28)</f>
        <v>0.99670449828244134</v>
      </c>
      <c r="V39" s="44">
        <f ca="1">(IF(E39&gt;=Inputs!$E$13,1,IF(L39&lt;=Inputs!$C$46,Inputs!$D$46,IF(L39&lt;=Inputs!$C$47,Inputs!$D$47,Inputs!$D$48))))*((Inputs!$B$29+(Q39-0.5)*2*Inputs!$B$53)/Inputs!$B$29)</f>
        <v>1.003966094156107</v>
      </c>
      <c r="W39" s="44">
        <f ca="1">(IF(F39&gt;=Inputs!$E$14,1,IF(M39&lt;=Inputs!$C$46,Inputs!$D$46,IF(M39&lt;=Inputs!$C$47,Inputs!$D$47,Inputs!$D$48))))*((Inputs!$B$30+(R39-0.5)*2*Inputs!$B$53)/Inputs!$B$30)</f>
        <v>1.0037676028071605</v>
      </c>
      <c r="X39" s="44">
        <f ca="1">(IF(G39&gt;=Inputs!$E$15,1,IF(N39&lt;=Inputs!$C$46,Inputs!$D$46,IF(N39&lt;=Inputs!$C$47,Inputs!$D$47,Inputs!$D$48))))*((Inputs!$B$31+(S39-0.5)*2*Inputs!$B$53)/Inputs!$B$31)</f>
        <v>1.0009113222026866</v>
      </c>
      <c r="Y39" s="44">
        <f ca="1">(IF(H39&gt;=Inputs!$E$16,1,IF(O39&lt;=Inputs!$C$46,Inputs!$D$46,IF(O39&lt;=Inputs!$C$47,Inputs!$D$47,Inputs!$D$48))))*((Inputs!$B$32+(T39-0.5)*2*Inputs!$B$53)/Inputs!$B$32)</f>
        <v>1.00017699195211</v>
      </c>
      <c r="Z39" s="45">
        <f ca="1">ILP_C_HighResilience!$C$9*U39+ILP_C_HighResilience!$C$10*V39+ILP_C_HighResilience!$C$11*W39+ILP_C_HighResilience!$C$12*X39+ILP_C_HighResilience!$C$13*Y39</f>
        <v>17997.111846454907</v>
      </c>
      <c r="AA39" s="45">
        <f ca="1">ILP_C_HighResilience!$D$9*U39+ILP_C_HighResilience!$D$10*V39+ILP_C_HighResilience!$D$11*W39+ILP_C_HighResilience!$D$12*X39+ILP_C_HighResilience!$D$13*Y39</f>
        <v>15044.508973808417</v>
      </c>
      <c r="AB39" s="45">
        <f ca="1">ILP_C_HighResilience!$E$9*U39+ILP_C_HighResilience!$E$10*V39+ILP_C_HighResilience!$E$11*W39+ILP_C_HighResilience!$E$12*X39+ILP_C_HighResilience!$E$13*Y39</f>
        <v>12012.159462871557</v>
      </c>
      <c r="AC39" s="45">
        <f ca="1">Inputs!$B$6*$C39</f>
        <v>16200</v>
      </c>
      <c r="AD39" s="45">
        <f ca="1">Inputs!$B$7*$C39</f>
        <v>13500</v>
      </c>
      <c r="AE39" s="45">
        <f ca="1">Inputs!$B$8*$C39</f>
        <v>10800</v>
      </c>
      <c r="AF39" s="45">
        <f t="shared" ca="1" si="3"/>
        <v>0</v>
      </c>
      <c r="AG39" s="45">
        <f t="shared" ca="1" si="4"/>
        <v>0</v>
      </c>
      <c r="AH39" s="45">
        <f t="shared" ca="1" si="5"/>
        <v>0</v>
      </c>
      <c r="AI39" s="45">
        <f t="shared" ca="1" si="6"/>
        <v>0</v>
      </c>
      <c r="AJ39" s="45">
        <f ca="1">U39*(Inputs!$B$12-ILP_C_HighResilience!$F$9)+V39*(Inputs!$B$13-ILP_C_HighResilience!$F$10)+W39*(Inputs!$B$14-ILP_C_HighResilience!$F$11)+X39*(Inputs!$B$15-ILP_C_HighResilience!$F$12)+Y39*(Inputs!$B$16-ILP_C_HighResilience!$F$13)</f>
        <v>25011.586589776656</v>
      </c>
      <c r="AK39" s="45">
        <f t="shared" ca="1" si="7"/>
        <v>0</v>
      </c>
      <c r="AL39" s="45">
        <f t="shared" ca="1" si="8"/>
        <v>0</v>
      </c>
      <c r="AM39" s="45">
        <f t="shared" ca="1" si="9"/>
        <v>0</v>
      </c>
      <c r="AN39" s="45">
        <f t="shared" ca="1" si="10"/>
        <v>0</v>
      </c>
      <c r="AO39" s="45">
        <f ca="1">MIN(AL39,Inputs!$B$36)</f>
        <v>0</v>
      </c>
      <c r="AP39" s="45">
        <f ca="1">MIN(AN39,Inputs!$B$36-AO39)</f>
        <v>0</v>
      </c>
      <c r="AQ39" s="45">
        <f ca="1">MIN(AM39,Inputs!$B$36-AO39-AP39)</f>
        <v>0</v>
      </c>
      <c r="AR39" s="45">
        <f t="shared" ca="1" si="11"/>
        <v>0</v>
      </c>
      <c r="AS39" s="45">
        <f t="shared" ca="1" si="12"/>
        <v>0</v>
      </c>
      <c r="AT39" s="45">
        <f t="shared" ca="1" si="13"/>
        <v>0</v>
      </c>
      <c r="AU39" s="45">
        <f t="shared" ca="1" si="14"/>
        <v>0</v>
      </c>
      <c r="AV39" s="46">
        <f ca="1">AU39*Inputs!$B$35</f>
        <v>0</v>
      </c>
      <c r="AW39" s="46">
        <f ca="1">AR39*Inputs!$C$6+AT39*Inputs!$C$7+AS39*Inputs!$C$8</f>
        <v>0</v>
      </c>
      <c r="AX39" s="46">
        <f t="shared" ca="1" si="15"/>
        <v>47689547.726664096</v>
      </c>
      <c r="AY39" s="46">
        <f ca="1">IF(J39&gt;1,($CD$4)*Inputs!$B$55*((Z39+AA39+AB39)/(SUM(ILP_C_HighResilience!$C$9:$E$13))),0)</f>
        <v>0</v>
      </c>
      <c r="AZ39" s="46">
        <f t="shared" ca="1" si="16"/>
        <v>0</v>
      </c>
      <c r="BA39" s="41">
        <f t="shared" ca="1" si="17"/>
        <v>0</v>
      </c>
      <c r="BB39" s="41">
        <f t="shared" ca="1" si="18"/>
        <v>1</v>
      </c>
      <c r="BC39" s="41">
        <f t="shared" ca="1" si="19"/>
        <v>1</v>
      </c>
      <c r="BD39" s="41">
        <f t="shared" ca="1" si="20"/>
        <v>1</v>
      </c>
    </row>
    <row r="40" spans="1:56" ht="15" customHeight="1" x14ac:dyDescent="0.3">
      <c r="A40" s="41">
        <v>33</v>
      </c>
      <c r="B40" s="42">
        <f t="shared" ref="B40:B71" ca="1" si="27">RAND()</f>
        <v>0.1515875229610304</v>
      </c>
      <c r="C40" s="43">
        <f ca="1">IF(B40&lt;=Inputs!$C$40,Inputs!$D$40,IF(B40&lt;=Inputs!$C$41,Inputs!$D$41,Inputs!$D$42))</f>
        <v>0.9</v>
      </c>
      <c r="D40" s="42">
        <f t="shared" ca="1" si="25"/>
        <v>0.31706829433767147</v>
      </c>
      <c r="E40" s="42">
        <f t="shared" ca="1" si="25"/>
        <v>2.2394876821154597E-2</v>
      </c>
      <c r="F40" s="42">
        <f t="shared" ca="1" si="25"/>
        <v>0.21864782128509741</v>
      </c>
      <c r="G40" s="42">
        <f t="shared" ca="1" si="25"/>
        <v>0.81600466766026303</v>
      </c>
      <c r="H40" s="42">
        <f t="shared" ca="1" si="25"/>
        <v>0.98633870522544043</v>
      </c>
      <c r="I40" s="42">
        <f t="shared" ca="1" si="25"/>
        <v>0.82698170079780731</v>
      </c>
      <c r="J40" s="43">
        <f ca="1">IF(I40&lt;Inputs!$B$54,1+Inputs!$B$55,1)</f>
        <v>1</v>
      </c>
      <c r="K40" s="42">
        <f t="shared" ca="1" si="26"/>
        <v>0.71854802248880678</v>
      </c>
      <c r="L40" s="42">
        <f t="shared" ca="1" si="26"/>
        <v>0.39007876447325296</v>
      </c>
      <c r="M40" s="42">
        <f t="shared" ca="1" si="26"/>
        <v>0.69373297807880985</v>
      </c>
      <c r="N40" s="42">
        <f t="shared" ca="1" si="26"/>
        <v>0.32966534061713004</v>
      </c>
      <c r="O40" s="42">
        <f t="shared" ca="1" si="26"/>
        <v>0.679456382461466</v>
      </c>
      <c r="P40" s="42">
        <f t="shared" ca="1" si="26"/>
        <v>0.1300339759968433</v>
      </c>
      <c r="Q40" s="42">
        <f t="shared" ca="1" si="26"/>
        <v>0.96024500691410763</v>
      </c>
      <c r="R40" s="42">
        <f t="shared" ca="1" si="26"/>
        <v>0.47332863843235673</v>
      </c>
      <c r="S40" s="42">
        <f t="shared" ca="1" si="26"/>
        <v>0.53443092563791528</v>
      </c>
      <c r="T40" s="42">
        <f t="shared" ca="1" si="26"/>
        <v>0.22464194107828095</v>
      </c>
      <c r="U40" s="44">
        <f ca="1">(IF(D40&gt;=Inputs!$E$12,1,IF(K40&lt;=Inputs!$C$46,Inputs!$D$46,IF(K40&lt;=Inputs!$C$47,Inputs!$D$47,Inputs!$D$48))))*((Inputs!$B$28+(P40-0.5)*2*Inputs!$B$53)/Inputs!$B$28)</f>
        <v>0.99625540461535267</v>
      </c>
      <c r="V40" s="44">
        <f ca="1">(IF(E40&gt;=Inputs!$E$13,1,IF(L40&lt;=Inputs!$C$46,Inputs!$D$46,IF(L40&lt;=Inputs!$C$47,Inputs!$D$47,Inputs!$D$48))))*((Inputs!$B$29+(Q40-0.5)*2*Inputs!$B$53)/Inputs!$B$29)</f>
        <v>0.30139186998058703</v>
      </c>
      <c r="W40" s="44">
        <f ca="1">(IF(F40&gt;=Inputs!$E$14,1,IF(M40&lt;=Inputs!$C$46,Inputs!$D$46,IF(M40&lt;=Inputs!$C$47,Inputs!$D$47,Inputs!$D$48))))*((Inputs!$B$30+(R40-0.5)*2*Inputs!$B$53)/Inputs!$B$30)</f>
        <v>0.99973194611489802</v>
      </c>
      <c r="X40" s="44">
        <f ca="1">(IF(G40&gt;=Inputs!$E$15,1,IF(N40&lt;=Inputs!$C$46,Inputs!$D$46,IF(N40&lt;=Inputs!$C$47,Inputs!$D$47,Inputs!$D$48))))*((Inputs!$B$31+(S40-0.5)*2*Inputs!$B$53)/Inputs!$B$31)</f>
        <v>1.0003495525445474</v>
      </c>
      <c r="Y40" s="44">
        <f ca="1">(IF(H40&gt;=Inputs!$E$16,1,IF(O40&lt;=Inputs!$C$46,Inputs!$D$46,IF(O40&lt;=Inputs!$C$47,Inputs!$D$47,Inputs!$D$48))))*((Inputs!$B$32+(T40-0.5)*2*Inputs!$B$53)/Inputs!$B$32)</f>
        <v>0.9972297981999827</v>
      </c>
      <c r="Z40" s="45">
        <f ca="1">ILP_C_HighResilience!$C$9*U40+ILP_C_HighResilience!$C$10*V40+ILP_C_HighResilience!$C$11*W40+ILP_C_HighResilience!$C$12*X40+ILP_C_HighResilience!$C$13*Y40</f>
        <v>15460.566423481392</v>
      </c>
      <c r="AA40" s="45">
        <f ca="1">ILP_C_HighResilience!$D$9*U40+ILP_C_HighResilience!$D$10*V40+ILP_C_HighResilience!$D$11*W40+ILP_C_HighResilience!$D$12*X40+ILP_C_HighResilience!$D$13*Y40</f>
        <v>10808.792076622583</v>
      </c>
      <c r="AB40" s="45">
        <f ca="1">ILP_C_HighResilience!$E$9*U40+ILP_C_HighResilience!$E$10*V40+ILP_C_HighResilience!$E$11*W40+ILP_C_HighResilience!$E$12*X40+ILP_C_HighResilience!$E$13*Y40</f>
        <v>8985.6137077170333</v>
      </c>
      <c r="AC40" s="45">
        <f ca="1">Inputs!$B$6*$C40</f>
        <v>16200</v>
      </c>
      <c r="AD40" s="45">
        <f ca="1">Inputs!$B$7*$C40</f>
        <v>13500</v>
      </c>
      <c r="AE40" s="45">
        <f ca="1">Inputs!$B$8*$C40</f>
        <v>10800</v>
      </c>
      <c r="AF40" s="45">
        <f t="shared" ref="AF40:AF71" ca="1" si="28">MAX(0,AC40-Z40)</f>
        <v>739.43357651860788</v>
      </c>
      <c r="AG40" s="45">
        <f t="shared" ref="AG40:AG71" ca="1" si="29">MAX(0,AD40-AA40)</f>
        <v>2691.2079233774166</v>
      </c>
      <c r="AH40" s="45">
        <f t="shared" ref="AH40:AH71" ca="1" si="30">MAX(0,AE40-AB40)</f>
        <v>1814.3862922829667</v>
      </c>
      <c r="AI40" s="45">
        <f t="shared" ref="AI40:AI71" ca="1" si="31">SUM(AF40:AH40)</f>
        <v>5245.0277921789911</v>
      </c>
      <c r="AJ40" s="45">
        <f ca="1">U40*(Inputs!$B$12-ILP_C_HighResilience!$F$9)+V40*(Inputs!$B$13-ILP_C_HighResilience!$F$10)+W40*(Inputs!$B$14-ILP_C_HighResilience!$F$11)+X40*(Inputs!$B$15-ILP_C_HighResilience!$F$12)+Y40*(Inputs!$B$16-ILP_C_HighResilience!$F$13)</f>
        <v>24863.757348780833</v>
      </c>
      <c r="AK40" s="45">
        <f t="shared" ref="AK40:AK71" ca="1" si="32">MIN(AI40,MAX(0,AJ40))</f>
        <v>5245.0277921789911</v>
      </c>
      <c r="AL40" s="45">
        <f t="shared" ref="AL40:AL71" ca="1" si="33">AF40*(1-(IF(AI40&gt;0,AK40/AI40,0)))</f>
        <v>0</v>
      </c>
      <c r="AM40" s="45">
        <f t="shared" ref="AM40:AM71" ca="1" si="34">AG40*(1-(IF(AI40&gt;0,AK40/AI40,0)))</f>
        <v>0</v>
      </c>
      <c r="AN40" s="45">
        <f t="shared" ref="AN40:AN71" ca="1" si="35">AH40*(1-(IF(AI40&gt;0,AK40/AI40,0)))</f>
        <v>0</v>
      </c>
      <c r="AO40" s="45">
        <f ca="1">MIN(AL40,Inputs!$B$36)</f>
        <v>0</v>
      </c>
      <c r="AP40" s="45">
        <f ca="1">MIN(AN40,Inputs!$B$36-AO40)</f>
        <v>0</v>
      </c>
      <c r="AQ40" s="45">
        <f ca="1">MIN(AM40,Inputs!$B$36-AO40-AP40)</f>
        <v>0</v>
      </c>
      <c r="AR40" s="45">
        <f t="shared" ref="AR40:AR71" ca="1" si="36">AL40-AO40</f>
        <v>0</v>
      </c>
      <c r="AS40" s="45">
        <f t="shared" ref="AS40:AS71" ca="1" si="37">AN40-AP40</f>
        <v>0</v>
      </c>
      <c r="AT40" s="45">
        <f t="shared" ref="AT40:AT71" ca="1" si="38">AM40-AQ40</f>
        <v>0</v>
      </c>
      <c r="AU40" s="45">
        <f t="shared" ref="AU40:AU71" ca="1" si="39">AO40+AP40+AQ40</f>
        <v>0</v>
      </c>
      <c r="AV40" s="46">
        <f ca="1">AU40*Inputs!$B$35</f>
        <v>0</v>
      </c>
      <c r="AW40" s="46">
        <f ca="1">AR40*Inputs!$C$6+AT40*Inputs!$C$7+AS40*Inputs!$C$8</f>
        <v>0</v>
      </c>
      <c r="AX40" s="46">
        <f t="shared" ref="AX40:AX71" ca="1" si="40">Z40*$CA$4+AA40*$CB$4+AB40*$CC$4</f>
        <v>37283326.631238945</v>
      </c>
      <c r="AY40" s="46">
        <f ca="1">IF(J40&gt;1,($CD$4)*Inputs!$B$55*((Z40+AA40+AB40)/(SUM(ILP_C_HighResilience!$C$9:$E$13))),0)</f>
        <v>0</v>
      </c>
      <c r="AZ40" s="46">
        <f t="shared" ref="AZ40:AZ71" ca="1" si="41">AV40+AW40</f>
        <v>0</v>
      </c>
      <c r="BA40" s="41">
        <f t="shared" ref="BA40:BA71" ca="1" si="42">IF(AR40+AT40+AS40&gt;0,1,0)</f>
        <v>0</v>
      </c>
      <c r="BB40" s="41">
        <f t="shared" ref="BB40:BB71" ca="1" si="43">IF(AR40=0,1,0)</f>
        <v>1</v>
      </c>
      <c r="BC40" s="41">
        <f t="shared" ref="BC40:BC71" ca="1" si="44">IF(AT40=0,1,0)</f>
        <v>1</v>
      </c>
      <c r="BD40" s="41">
        <f t="shared" ref="BD40:BD71" ca="1" si="45">IF(AS40=0,1,0)</f>
        <v>1</v>
      </c>
    </row>
    <row r="41" spans="1:56" ht="15" customHeight="1" x14ac:dyDescent="0.3">
      <c r="A41" s="41">
        <v>34</v>
      </c>
      <c r="B41" s="42">
        <f t="shared" ca="1" si="27"/>
        <v>0.31156122151538135</v>
      </c>
      <c r="C41" s="43">
        <f ca="1">IF(B41&lt;=Inputs!$C$40,Inputs!$D$40,IF(B41&lt;=Inputs!$C$41,Inputs!$D$41,Inputs!$D$42))</f>
        <v>1</v>
      </c>
      <c r="D41" s="42">
        <f t="shared" ca="1" si="25"/>
        <v>0.65397508110431846</v>
      </c>
      <c r="E41" s="42">
        <f t="shared" ca="1" si="25"/>
        <v>0.33746357234903313</v>
      </c>
      <c r="F41" s="42">
        <f t="shared" ca="1" si="25"/>
        <v>0.34026296964747083</v>
      </c>
      <c r="G41" s="42">
        <f t="shared" ca="1" si="25"/>
        <v>5.8504123099515581E-2</v>
      </c>
      <c r="H41" s="42">
        <f t="shared" ca="1" si="25"/>
        <v>0.22026852587927503</v>
      </c>
      <c r="I41" s="42">
        <f t="shared" ca="1" si="25"/>
        <v>0.63082573453077928</v>
      </c>
      <c r="J41" s="43">
        <f ca="1">IF(I41&lt;Inputs!$B$54,1+Inputs!$B$55,1)</f>
        <v>1</v>
      </c>
      <c r="K41" s="42">
        <f t="shared" ca="1" si="26"/>
        <v>1.9783465587322246E-2</v>
      </c>
      <c r="L41" s="42">
        <f t="shared" ca="1" si="26"/>
        <v>0.90839770576288559</v>
      </c>
      <c r="M41" s="42">
        <f t="shared" ca="1" si="26"/>
        <v>0.66638172487150338</v>
      </c>
      <c r="N41" s="42">
        <f t="shared" ca="1" si="26"/>
        <v>0.10070976960676736</v>
      </c>
      <c r="O41" s="42">
        <f t="shared" ca="1" si="26"/>
        <v>7.4388972686362909E-2</v>
      </c>
      <c r="P41" s="42">
        <f t="shared" ca="1" si="26"/>
        <v>0.13528845144313717</v>
      </c>
      <c r="Q41" s="42">
        <f t="shared" ca="1" si="26"/>
        <v>0.88549625145760114</v>
      </c>
      <c r="R41" s="42">
        <f t="shared" ca="1" si="26"/>
        <v>0.68941477723112177</v>
      </c>
      <c r="S41" s="42">
        <f t="shared" ca="1" si="26"/>
        <v>0.51294062534194818</v>
      </c>
      <c r="T41" s="42">
        <f t="shared" ca="1" si="26"/>
        <v>9.3772368710694831E-2</v>
      </c>
      <c r="U41" s="44">
        <f ca="1">(IF(D41&gt;=Inputs!$E$12,1,IF(K41&lt;=Inputs!$C$46,Inputs!$D$46,IF(K41&lt;=Inputs!$C$47,Inputs!$D$47,Inputs!$D$48))))*((Inputs!$B$28+(P41-0.5)*2*Inputs!$B$53)/Inputs!$B$28)</f>
        <v>0.9963085875652139</v>
      </c>
      <c r="V41" s="44">
        <f ca="1">(IF(E41&gt;=Inputs!$E$13,1,IF(L41&lt;=Inputs!$C$46,Inputs!$D$46,IF(L41&lt;=Inputs!$C$47,Inputs!$D$47,Inputs!$D$48))))*((Inputs!$B$29+(Q41-0.5)*2*Inputs!$B$53)/Inputs!$B$29)</f>
        <v>1.0038860509219516</v>
      </c>
      <c r="W41" s="44">
        <f ca="1">(IF(F41&gt;=Inputs!$E$14,1,IF(M41&lt;=Inputs!$C$46,Inputs!$D$46,IF(M41&lt;=Inputs!$C$47,Inputs!$D$47,Inputs!$D$48))))*((Inputs!$B$30+(R41-0.5)*2*Inputs!$B$53)/Inputs!$B$30)</f>
        <v>1.0019036661028253</v>
      </c>
      <c r="X41" s="44">
        <f ca="1">(IF(G41&gt;=Inputs!$E$15,1,IF(N41&lt;=Inputs!$C$46,Inputs!$D$46,IF(N41&lt;=Inputs!$C$47,Inputs!$D$47,Inputs!$D$48))))*((Inputs!$B$31+(S41-0.5)*2*Inputs!$B$53)/Inputs!$B$31)</f>
        <v>0.60007882614421482</v>
      </c>
      <c r="Y41" s="44">
        <f ca="1">(IF(H41&gt;=Inputs!$E$16,1,IF(O41&lt;=Inputs!$C$46,Inputs!$D$46,IF(O41&lt;=Inputs!$C$47,Inputs!$D$47,Inputs!$D$48))))*((Inputs!$B$32+(T41-0.5)*2*Inputs!$B$53)/Inputs!$B$32)</f>
        <v>0.99591320290453422</v>
      </c>
      <c r="Z41" s="45">
        <f ca="1">ILP_C_HighResilience!$C$9*U41+ILP_C_HighResilience!$C$10*V41+ILP_C_HighResilience!$C$11*W41+ILP_C_HighResilience!$C$12*X41+ILP_C_HighResilience!$C$13*Y41</f>
        <v>15107.979162026913</v>
      </c>
      <c r="AA41" s="45">
        <f ca="1">ILP_C_HighResilience!$D$9*U41+ILP_C_HighResilience!$D$10*V41+ILP_C_HighResilience!$D$11*W41+ILP_C_HighResilience!$D$12*X41+ILP_C_HighResilience!$D$13*Y41</f>
        <v>13184.018539848355</v>
      </c>
      <c r="AB41" s="45">
        <f ca="1">ILP_C_HighResilience!$E$9*U41+ILP_C_HighResilience!$E$10*V41+ILP_C_HighResilience!$E$11*W41+ILP_C_HighResilience!$E$12*X41+ILP_C_HighResilience!$E$13*Y41</f>
        <v>12004.488082357782</v>
      </c>
      <c r="AC41" s="45">
        <f ca="1">Inputs!$B$6*$C41</f>
        <v>18000</v>
      </c>
      <c r="AD41" s="45">
        <f ca="1">Inputs!$B$7*$C41</f>
        <v>15000</v>
      </c>
      <c r="AE41" s="45">
        <f ca="1">Inputs!$B$8*$C41</f>
        <v>12000</v>
      </c>
      <c r="AF41" s="45">
        <f t="shared" ca="1" si="28"/>
        <v>2892.0208379730866</v>
      </c>
      <c r="AG41" s="45">
        <f t="shared" ca="1" si="29"/>
        <v>1815.9814601516446</v>
      </c>
      <c r="AH41" s="45">
        <f t="shared" ca="1" si="30"/>
        <v>0</v>
      </c>
      <c r="AI41" s="45">
        <f t="shared" ca="1" si="31"/>
        <v>4708.0022981247312</v>
      </c>
      <c r="AJ41" s="45">
        <f ca="1">U41*(Inputs!$B$12-ILP_C_HighResilience!$F$9)+V41*(Inputs!$B$13-ILP_C_HighResilience!$F$10)+W41*(Inputs!$B$14-ILP_C_HighResilience!$F$11)+X41*(Inputs!$B$15-ILP_C_HighResilience!$F$12)+Y41*(Inputs!$B$16-ILP_C_HighResilience!$F$13)</f>
        <v>24863.247946353011</v>
      </c>
      <c r="AK41" s="45">
        <f t="shared" ca="1" si="32"/>
        <v>4708.0022981247312</v>
      </c>
      <c r="AL41" s="45">
        <f t="shared" ca="1" si="33"/>
        <v>0</v>
      </c>
      <c r="AM41" s="45">
        <f t="shared" ca="1" si="34"/>
        <v>0</v>
      </c>
      <c r="AN41" s="45">
        <f t="shared" ca="1" si="35"/>
        <v>0</v>
      </c>
      <c r="AO41" s="45">
        <f ca="1">MIN(AL41,Inputs!$B$36)</f>
        <v>0</v>
      </c>
      <c r="AP41" s="45">
        <f ca="1">MIN(AN41,Inputs!$B$36-AO41)</f>
        <v>0</v>
      </c>
      <c r="AQ41" s="45">
        <f ca="1">MIN(AM41,Inputs!$B$36-AO41-AP41)</f>
        <v>0</v>
      </c>
      <c r="AR41" s="45">
        <f t="shared" ca="1" si="36"/>
        <v>0</v>
      </c>
      <c r="AS41" s="45">
        <f t="shared" ca="1" si="37"/>
        <v>0</v>
      </c>
      <c r="AT41" s="45">
        <f t="shared" ca="1" si="38"/>
        <v>0</v>
      </c>
      <c r="AU41" s="45">
        <f t="shared" ca="1" si="39"/>
        <v>0</v>
      </c>
      <c r="AV41" s="46">
        <f ca="1">AU41*Inputs!$B$35</f>
        <v>0</v>
      </c>
      <c r="AW41" s="46">
        <f ca="1">AR41*Inputs!$C$6+AT41*Inputs!$C$7+AS41*Inputs!$C$8</f>
        <v>0</v>
      </c>
      <c r="AX41" s="46">
        <f t="shared" ca="1" si="40"/>
        <v>42720622.006444186</v>
      </c>
      <c r="AY41" s="46">
        <f ca="1">IF(J41&gt;1,($CD$4)*Inputs!$B$55*((Z41+AA41+AB41)/(SUM(ILP_C_HighResilience!$C$9:$E$13))),0)</f>
        <v>0</v>
      </c>
      <c r="AZ41" s="46">
        <f t="shared" ca="1" si="41"/>
        <v>0</v>
      </c>
      <c r="BA41" s="41">
        <f t="shared" ca="1" si="42"/>
        <v>0</v>
      </c>
      <c r="BB41" s="41">
        <f t="shared" ca="1" si="43"/>
        <v>1</v>
      </c>
      <c r="BC41" s="41">
        <f t="shared" ca="1" si="44"/>
        <v>1</v>
      </c>
      <c r="BD41" s="41">
        <f t="shared" ca="1" si="45"/>
        <v>1</v>
      </c>
    </row>
    <row r="42" spans="1:56" ht="15" customHeight="1" x14ac:dyDescent="0.3">
      <c r="A42" s="41">
        <v>35</v>
      </c>
      <c r="B42" s="42">
        <f t="shared" ca="1" si="27"/>
        <v>0.68716261928664057</v>
      </c>
      <c r="C42" s="43">
        <f ca="1">IF(B42&lt;=Inputs!$C$40,Inputs!$D$40,IF(B42&lt;=Inputs!$C$41,Inputs!$D$41,Inputs!$D$42))</f>
        <v>1</v>
      </c>
      <c r="D42" s="42">
        <f t="shared" ca="1" si="25"/>
        <v>3.6977036355319348E-2</v>
      </c>
      <c r="E42" s="42">
        <f t="shared" ca="1" si="25"/>
        <v>0.36256884265499356</v>
      </c>
      <c r="F42" s="42">
        <f t="shared" ca="1" si="25"/>
        <v>0.40161722130932054</v>
      </c>
      <c r="G42" s="42">
        <f t="shared" ca="1" si="25"/>
        <v>0.43329391820345353</v>
      </c>
      <c r="H42" s="42">
        <f t="shared" ca="1" si="25"/>
        <v>0.44322913302723432</v>
      </c>
      <c r="I42" s="42">
        <f t="shared" ca="1" si="25"/>
        <v>0.19074706208483438</v>
      </c>
      <c r="J42" s="43">
        <f ca="1">IF(I42&lt;Inputs!$B$54,1+Inputs!$B$55,1)</f>
        <v>1</v>
      </c>
      <c r="K42" s="42">
        <f t="shared" ca="1" si="26"/>
        <v>0.84478149846420258</v>
      </c>
      <c r="L42" s="42">
        <f t="shared" ca="1" si="26"/>
        <v>0.3345121648668925</v>
      </c>
      <c r="M42" s="42">
        <f t="shared" ca="1" si="26"/>
        <v>0.21930753698749694</v>
      </c>
      <c r="N42" s="42">
        <f t="shared" ca="1" si="26"/>
        <v>5.6517132115418756E-2</v>
      </c>
      <c r="O42" s="42">
        <f t="shared" ca="1" si="26"/>
        <v>0.54421535030317236</v>
      </c>
      <c r="P42" s="42">
        <f t="shared" ca="1" si="26"/>
        <v>0.94637002522207414</v>
      </c>
      <c r="Q42" s="42">
        <f t="shared" ca="1" si="26"/>
        <v>0.71106964008602269</v>
      </c>
      <c r="R42" s="42">
        <f t="shared" ca="1" si="26"/>
        <v>1.1403681818401123E-2</v>
      </c>
      <c r="S42" s="42">
        <f t="shared" ca="1" si="26"/>
        <v>0.91380826747019028</v>
      </c>
      <c r="T42" s="42">
        <f t="shared" ca="1" si="26"/>
        <v>0.55184435523829967</v>
      </c>
      <c r="U42" s="44">
        <f ca="1">(IF(D42&gt;=Inputs!$E$12,1,IF(K42&lt;=Inputs!$C$46,Inputs!$D$46,IF(K42&lt;=Inputs!$C$47,Inputs!$D$47,Inputs!$D$48))))*((Inputs!$B$28+(P42-0.5)*2*Inputs!$B$53)/Inputs!$B$28)</f>
        <v>0</v>
      </c>
      <c r="V42" s="44">
        <f ca="1">(IF(E42&gt;=Inputs!$E$13,1,IF(L42&lt;=Inputs!$C$46,Inputs!$D$46,IF(L42&lt;=Inputs!$C$47,Inputs!$D$47,Inputs!$D$48))))*((Inputs!$B$29+(Q42-0.5)*2*Inputs!$B$53)/Inputs!$B$29)</f>
        <v>1.0021277181460284</v>
      </c>
      <c r="W42" s="44">
        <f ca="1">(IF(F42&gt;=Inputs!$E$14,1,IF(M42&lt;=Inputs!$C$46,Inputs!$D$46,IF(M42&lt;=Inputs!$C$47,Inputs!$D$47,Inputs!$D$48))))*((Inputs!$B$30+(R42-0.5)*2*Inputs!$B$53)/Inputs!$B$30)</f>
        <v>0.99508948423938093</v>
      </c>
      <c r="X42" s="44">
        <f ca="1">(IF(G42&gt;=Inputs!$E$15,1,IF(N42&lt;=Inputs!$C$46,Inputs!$D$46,IF(N42&lt;=Inputs!$C$47,Inputs!$D$47,Inputs!$D$48))))*((Inputs!$B$31+(S42-0.5)*2*Inputs!$B$53)/Inputs!$B$31)</f>
        <v>1.004201099162134</v>
      </c>
      <c r="Y42" s="44">
        <f ca="1">(IF(H42&gt;=Inputs!$E$16,1,IF(O42&lt;=Inputs!$C$46,Inputs!$D$46,IF(O42&lt;=Inputs!$C$47,Inputs!$D$47,Inputs!$D$48))))*((Inputs!$B$32+(T42-0.5)*2*Inputs!$B$53)/Inputs!$B$32)</f>
        <v>1.000521572990325</v>
      </c>
      <c r="Z42" s="45">
        <f ca="1">ILP_C_HighResilience!$C$9*U42+ILP_C_HighResilience!$C$10*V42+ILP_C_HighResilience!$C$11*W42+ILP_C_HighResilience!$C$12*X42+ILP_C_HighResilience!$C$13*Y42</f>
        <v>10837.907699293066</v>
      </c>
      <c r="AA42" s="45">
        <f ca="1">ILP_C_HighResilience!$D$9*U42+ILP_C_HighResilience!$D$10*V42+ILP_C_HighResilience!$D$11*W42+ILP_C_HighResilience!$D$12*X42+ILP_C_HighResilience!$D$13*Y42</f>
        <v>15010.667327973715</v>
      </c>
      <c r="AB42" s="45">
        <f ca="1">ILP_C_HighResilience!$E$9*U42+ILP_C_HighResilience!$E$10*V42+ILP_C_HighResilience!$E$11*W42+ILP_C_HighResilience!$E$12*X42+ILP_C_HighResilience!$E$13*Y42</f>
        <v>7194.8242335152463</v>
      </c>
      <c r="AC42" s="45">
        <f ca="1">Inputs!$B$6*$C42</f>
        <v>18000</v>
      </c>
      <c r="AD42" s="45">
        <f ca="1">Inputs!$B$7*$C42</f>
        <v>15000</v>
      </c>
      <c r="AE42" s="45">
        <f ca="1">Inputs!$B$8*$C42</f>
        <v>12000</v>
      </c>
      <c r="AF42" s="45">
        <f t="shared" ca="1" si="28"/>
        <v>7162.0923007069341</v>
      </c>
      <c r="AG42" s="45">
        <f t="shared" ca="1" si="29"/>
        <v>0</v>
      </c>
      <c r="AH42" s="45">
        <f t="shared" ca="1" si="30"/>
        <v>4805.1757664847537</v>
      </c>
      <c r="AI42" s="45">
        <f t="shared" ca="1" si="31"/>
        <v>11967.268067191688</v>
      </c>
      <c r="AJ42" s="45">
        <f ca="1">U42*(Inputs!$B$12-ILP_C_HighResilience!$F$9)+V42*(Inputs!$B$13-ILP_C_HighResilience!$F$10)+W42*(Inputs!$B$14-ILP_C_HighResilience!$F$11)+X42*(Inputs!$B$15-ILP_C_HighResilience!$F$12)+Y42*(Inputs!$B$16-ILP_C_HighResilience!$F$13)</f>
        <v>20980.788873174799</v>
      </c>
      <c r="AK42" s="45">
        <f t="shared" ca="1" si="32"/>
        <v>11967.268067191688</v>
      </c>
      <c r="AL42" s="45">
        <f t="shared" ca="1" si="33"/>
        <v>0</v>
      </c>
      <c r="AM42" s="45">
        <f t="shared" ca="1" si="34"/>
        <v>0</v>
      </c>
      <c r="AN42" s="45">
        <f t="shared" ca="1" si="35"/>
        <v>0</v>
      </c>
      <c r="AO42" s="45">
        <f ca="1">MIN(AL42,Inputs!$B$36)</f>
        <v>0</v>
      </c>
      <c r="AP42" s="45">
        <f ca="1">MIN(AN42,Inputs!$B$36-AO42)</f>
        <v>0</v>
      </c>
      <c r="AQ42" s="45">
        <f ca="1">MIN(AM42,Inputs!$B$36-AO42-AP42)</f>
        <v>0</v>
      </c>
      <c r="AR42" s="45">
        <f t="shared" ca="1" si="36"/>
        <v>0</v>
      </c>
      <c r="AS42" s="45">
        <f t="shared" ca="1" si="37"/>
        <v>0</v>
      </c>
      <c r="AT42" s="45">
        <f t="shared" ca="1" si="38"/>
        <v>0</v>
      </c>
      <c r="AU42" s="45">
        <f t="shared" ca="1" si="39"/>
        <v>0</v>
      </c>
      <c r="AV42" s="46">
        <f ca="1">AU42*Inputs!$B$35</f>
        <v>0</v>
      </c>
      <c r="AW42" s="46">
        <f ca="1">AR42*Inputs!$C$6+AT42*Inputs!$C$7+AS42*Inputs!$C$8</f>
        <v>0</v>
      </c>
      <c r="AX42" s="46">
        <f t="shared" ca="1" si="40"/>
        <v>34933336.166832477</v>
      </c>
      <c r="AY42" s="46">
        <f ca="1">IF(J42&gt;1,($CD$4)*Inputs!$B$55*((Z42+AA42+AB42)/(SUM(ILP_C_HighResilience!$C$9:$E$13))),0)</f>
        <v>0</v>
      </c>
      <c r="AZ42" s="46">
        <f t="shared" ca="1" si="41"/>
        <v>0</v>
      </c>
      <c r="BA42" s="41">
        <f t="shared" ca="1" si="42"/>
        <v>0</v>
      </c>
      <c r="BB42" s="41">
        <f t="shared" ca="1" si="43"/>
        <v>1</v>
      </c>
      <c r="BC42" s="41">
        <f t="shared" ca="1" si="44"/>
        <v>1</v>
      </c>
      <c r="BD42" s="41">
        <f t="shared" ca="1" si="45"/>
        <v>1</v>
      </c>
    </row>
    <row r="43" spans="1:56" ht="15" customHeight="1" x14ac:dyDescent="0.3">
      <c r="A43" s="41">
        <v>36</v>
      </c>
      <c r="B43" s="42">
        <f t="shared" ca="1" si="27"/>
        <v>0.90218718446019308</v>
      </c>
      <c r="C43" s="43">
        <f ca="1">IF(B43&lt;=Inputs!$C$40,Inputs!$D$40,IF(B43&lt;=Inputs!$C$41,Inputs!$D$41,Inputs!$D$42))</f>
        <v>1.1499999999999999</v>
      </c>
      <c r="D43" s="42">
        <f t="shared" ca="1" si="25"/>
        <v>0.64521018971677913</v>
      </c>
      <c r="E43" s="42">
        <f t="shared" ca="1" si="25"/>
        <v>0.78053077103904789</v>
      </c>
      <c r="F43" s="42">
        <f t="shared" ca="1" si="25"/>
        <v>0.5328350662572372</v>
      </c>
      <c r="G43" s="42">
        <f t="shared" ca="1" si="25"/>
        <v>0.98156783583604901</v>
      </c>
      <c r="H43" s="42">
        <f t="shared" ca="1" si="25"/>
        <v>3.5155597146668383E-2</v>
      </c>
      <c r="I43" s="42">
        <f t="shared" ca="1" si="25"/>
        <v>0.84149382707623288</v>
      </c>
      <c r="J43" s="43">
        <f ca="1">IF(I43&lt;Inputs!$B$54,1+Inputs!$B$55,1)</f>
        <v>1</v>
      </c>
      <c r="K43" s="42">
        <f t="shared" ca="1" si="26"/>
        <v>0.25589493180868672</v>
      </c>
      <c r="L43" s="42">
        <f t="shared" ca="1" si="26"/>
        <v>0.11726404304246385</v>
      </c>
      <c r="M43" s="42">
        <f t="shared" ca="1" si="26"/>
        <v>7.7669380566278035E-2</v>
      </c>
      <c r="N43" s="42">
        <f t="shared" ca="1" si="26"/>
        <v>0.51846021438960954</v>
      </c>
      <c r="O43" s="42">
        <f t="shared" ca="1" si="26"/>
        <v>0.44882075072304639</v>
      </c>
      <c r="P43" s="42">
        <f t="shared" ca="1" si="26"/>
        <v>0.16580246287856526</v>
      </c>
      <c r="Q43" s="42">
        <f t="shared" ca="1" si="26"/>
        <v>0.89976041253252792</v>
      </c>
      <c r="R43" s="42">
        <f t="shared" ca="1" si="26"/>
        <v>8.5706610610942313E-2</v>
      </c>
      <c r="S43" s="42">
        <f t="shared" ca="1" si="26"/>
        <v>0.65295228774029945</v>
      </c>
      <c r="T43" s="42">
        <f t="shared" ca="1" si="26"/>
        <v>8.5561831851341807E-3</v>
      </c>
      <c r="U43" s="44">
        <f ca="1">(IF(D43&gt;=Inputs!$E$12,1,IF(K43&lt;=Inputs!$C$46,Inputs!$D$46,IF(K43&lt;=Inputs!$C$47,Inputs!$D$47,Inputs!$D$48))))*((Inputs!$B$28+(P43-0.5)*2*Inputs!$B$53)/Inputs!$B$28)</f>
        <v>0.99661743383480328</v>
      </c>
      <c r="V43" s="44">
        <f ca="1">(IF(E43&gt;=Inputs!$E$13,1,IF(L43&lt;=Inputs!$C$46,Inputs!$D$46,IF(L43&lt;=Inputs!$C$47,Inputs!$D$47,Inputs!$D$48))))*((Inputs!$B$29+(Q43-0.5)*2*Inputs!$B$53)/Inputs!$B$29)</f>
        <v>1.0040298428682715</v>
      </c>
      <c r="W43" s="44">
        <f ca="1">(IF(F43&gt;=Inputs!$E$14,1,IF(M43&lt;=Inputs!$C$46,Inputs!$D$46,IF(M43&lt;=Inputs!$C$47,Inputs!$D$47,Inputs!$D$48))))*((Inputs!$B$30+(R43-0.5)*2*Inputs!$B$53)/Inputs!$B$30)</f>
        <v>0.99583624734282361</v>
      </c>
      <c r="X43" s="44">
        <f ca="1">(IF(G43&gt;=Inputs!$E$15,1,IF(N43&lt;=Inputs!$C$46,Inputs!$D$46,IF(N43&lt;=Inputs!$C$47,Inputs!$D$47,Inputs!$D$48))))*((Inputs!$B$31+(S43-0.5)*2*Inputs!$B$53)/Inputs!$B$31)</f>
        <v>1.0015528151039625</v>
      </c>
      <c r="Y43" s="44">
        <f ca="1">(IF(H43&gt;=Inputs!$E$16,1,IF(O43&lt;=Inputs!$C$46,Inputs!$D$46,IF(O43&lt;=Inputs!$C$47,Inputs!$D$47,Inputs!$D$48))))*((Inputs!$B$32+(T43-0.5)*2*Inputs!$B$53)/Inputs!$B$32)</f>
        <v>0.9950558972151422</v>
      </c>
      <c r="Z43" s="45">
        <f ca="1">ILP_C_HighResilience!$C$9*U43+ILP_C_HighResilience!$C$10*V43+ILP_C_HighResilience!$C$11*W43+ILP_C_HighResilience!$C$12*X43+ILP_C_HighResilience!$C$13*Y43</f>
        <v>18001.333226684892</v>
      </c>
      <c r="AA43" s="45">
        <f ca="1">ILP_C_HighResilience!$D$9*U43+ILP_C_HighResilience!$D$10*V43+ILP_C_HighResilience!$D$11*W43+ILP_C_HighResilience!$D$12*X43+ILP_C_HighResilience!$D$13*Y43</f>
        <v>15013.115826351503</v>
      </c>
      <c r="AB43" s="45">
        <f ca="1">ILP_C_HighResilience!$E$9*U43+ILP_C_HighResilience!$E$10*V43+ILP_C_HighResilience!$E$11*W43+ILP_C_HighResilience!$E$12*X43+ILP_C_HighResilience!$E$13*Y43</f>
        <v>11988.918800888507</v>
      </c>
      <c r="AC43" s="45">
        <f ca="1">Inputs!$B$6*$C43</f>
        <v>20700</v>
      </c>
      <c r="AD43" s="45">
        <f ca="1">Inputs!$B$7*$C43</f>
        <v>17250</v>
      </c>
      <c r="AE43" s="45">
        <f ca="1">Inputs!$B$8*$C43</f>
        <v>13799.999999999998</v>
      </c>
      <c r="AF43" s="45">
        <f t="shared" ca="1" si="28"/>
        <v>2698.666773315108</v>
      </c>
      <c r="AG43" s="45">
        <f t="shared" ca="1" si="29"/>
        <v>2236.8841736484974</v>
      </c>
      <c r="AH43" s="45">
        <f t="shared" ca="1" si="30"/>
        <v>1811.0811991114915</v>
      </c>
      <c r="AI43" s="45">
        <f t="shared" ca="1" si="31"/>
        <v>6746.6321460750969</v>
      </c>
      <c r="AJ43" s="45">
        <f ca="1">U43*(Inputs!$B$12-ILP_C_HighResilience!$F$9)+V43*(Inputs!$B$13-ILP_C_HighResilience!$F$10)+W43*(Inputs!$B$14-ILP_C_HighResilience!$F$11)+X43*(Inputs!$B$15-ILP_C_HighResilience!$F$12)+Y43*(Inputs!$B$16-ILP_C_HighResilience!$F$13)</f>
        <v>24889.272342519143</v>
      </c>
      <c r="AK43" s="45">
        <f t="shared" ca="1" si="32"/>
        <v>6746.6321460750969</v>
      </c>
      <c r="AL43" s="45">
        <f t="shared" ca="1" si="33"/>
        <v>0</v>
      </c>
      <c r="AM43" s="45">
        <f t="shared" ca="1" si="34"/>
        <v>0</v>
      </c>
      <c r="AN43" s="45">
        <f t="shared" ca="1" si="35"/>
        <v>0</v>
      </c>
      <c r="AO43" s="45">
        <f ca="1">MIN(AL43,Inputs!$B$36)</f>
        <v>0</v>
      </c>
      <c r="AP43" s="45">
        <f ca="1">MIN(AN43,Inputs!$B$36-AO43)</f>
        <v>0</v>
      </c>
      <c r="AQ43" s="45">
        <f ca="1">MIN(AM43,Inputs!$B$36-AO43-AP43)</f>
        <v>0</v>
      </c>
      <c r="AR43" s="45">
        <f t="shared" ca="1" si="36"/>
        <v>0</v>
      </c>
      <c r="AS43" s="45">
        <f t="shared" ca="1" si="37"/>
        <v>0</v>
      </c>
      <c r="AT43" s="45">
        <f t="shared" ca="1" si="38"/>
        <v>0</v>
      </c>
      <c r="AU43" s="45">
        <f t="shared" ca="1" si="39"/>
        <v>0</v>
      </c>
      <c r="AV43" s="46">
        <f ca="1">AU43*Inputs!$B$35</f>
        <v>0</v>
      </c>
      <c r="AW43" s="46">
        <f ca="1">AR43*Inputs!$C$6+AT43*Inputs!$C$7+AS43*Inputs!$C$8</f>
        <v>0</v>
      </c>
      <c r="AX43" s="46">
        <f t="shared" ca="1" si="40"/>
        <v>47635473.589126222</v>
      </c>
      <c r="AY43" s="46">
        <f ca="1">IF(J43&gt;1,($CD$4)*Inputs!$B$55*((Z43+AA43+AB43)/(SUM(ILP_C_HighResilience!$C$9:$E$13))),0)</f>
        <v>0</v>
      </c>
      <c r="AZ43" s="46">
        <f t="shared" ca="1" si="41"/>
        <v>0</v>
      </c>
      <c r="BA43" s="41">
        <f t="shared" ca="1" si="42"/>
        <v>0</v>
      </c>
      <c r="BB43" s="41">
        <f t="shared" ca="1" si="43"/>
        <v>1</v>
      </c>
      <c r="BC43" s="41">
        <f t="shared" ca="1" si="44"/>
        <v>1</v>
      </c>
      <c r="BD43" s="41">
        <f t="shared" ca="1" si="45"/>
        <v>1</v>
      </c>
    </row>
    <row r="44" spans="1:56" ht="15" customHeight="1" x14ac:dyDescent="0.3">
      <c r="A44" s="41">
        <v>37</v>
      </c>
      <c r="B44" s="42">
        <f t="shared" ca="1" si="27"/>
        <v>0.11727639162933823</v>
      </c>
      <c r="C44" s="43">
        <f ca="1">IF(B44&lt;=Inputs!$C$40,Inputs!$D$40,IF(B44&lt;=Inputs!$C$41,Inputs!$D$41,Inputs!$D$42))</f>
        <v>0.9</v>
      </c>
      <c r="D44" s="42">
        <f t="shared" ca="1" si="25"/>
        <v>0.32288189822279501</v>
      </c>
      <c r="E44" s="42">
        <f t="shared" ca="1" si="25"/>
        <v>0.45316258715849633</v>
      </c>
      <c r="F44" s="42">
        <f t="shared" ca="1" si="25"/>
        <v>0.11043277339858626</v>
      </c>
      <c r="G44" s="42">
        <f t="shared" ca="1" si="25"/>
        <v>0.77528357006101123</v>
      </c>
      <c r="H44" s="42">
        <f t="shared" ca="1" si="25"/>
        <v>0.82201546395006952</v>
      </c>
      <c r="I44" s="42">
        <f t="shared" ca="1" si="25"/>
        <v>0.48667530459316255</v>
      </c>
      <c r="J44" s="43">
        <f ca="1">IF(I44&lt;Inputs!$B$54,1+Inputs!$B$55,1)</f>
        <v>1</v>
      </c>
      <c r="K44" s="42">
        <f t="shared" ca="1" si="26"/>
        <v>0.25403125550604377</v>
      </c>
      <c r="L44" s="42">
        <f t="shared" ca="1" si="26"/>
        <v>0.2089827568773247</v>
      </c>
      <c r="M44" s="42">
        <f t="shared" ca="1" si="26"/>
        <v>0.72739874661990345</v>
      </c>
      <c r="N44" s="42">
        <f t="shared" ca="1" si="26"/>
        <v>0.46958493326546369</v>
      </c>
      <c r="O44" s="42">
        <f t="shared" ca="1" si="26"/>
        <v>0.56118845693041086</v>
      </c>
      <c r="P44" s="42">
        <f t="shared" ca="1" si="26"/>
        <v>0.88053652192371579</v>
      </c>
      <c r="Q44" s="42">
        <f t="shared" ca="1" si="26"/>
        <v>0.75399872377139798</v>
      </c>
      <c r="R44" s="42">
        <f t="shared" ca="1" si="26"/>
        <v>0.79844721864537149</v>
      </c>
      <c r="S44" s="42">
        <f t="shared" ca="1" si="26"/>
        <v>4.6915822767672144E-2</v>
      </c>
      <c r="T44" s="42">
        <f t="shared" ca="1" si="26"/>
        <v>0.56406661782905509</v>
      </c>
      <c r="U44" s="44">
        <f ca="1">(IF(D44&gt;=Inputs!$E$12,1,IF(K44&lt;=Inputs!$C$46,Inputs!$D$46,IF(K44&lt;=Inputs!$C$47,Inputs!$D$47,Inputs!$D$48))))*((Inputs!$B$28+(P44-0.5)*2*Inputs!$B$53)/Inputs!$B$28)</f>
        <v>1.0038515842299971</v>
      </c>
      <c r="V44" s="44">
        <f ca="1">(IF(E44&gt;=Inputs!$E$13,1,IF(L44&lt;=Inputs!$C$46,Inputs!$D$46,IF(L44&lt;=Inputs!$C$47,Inputs!$D$47,Inputs!$D$48))))*((Inputs!$B$29+(Q44-0.5)*2*Inputs!$B$53)/Inputs!$B$29)</f>
        <v>1.0025604710057601</v>
      </c>
      <c r="W44" s="44">
        <f ca="1">(IF(F44&gt;=Inputs!$E$14,1,IF(M44&lt;=Inputs!$C$46,Inputs!$D$46,IF(M44&lt;=Inputs!$C$47,Inputs!$D$47,Inputs!$D$48))))*((Inputs!$B$30+(R44-0.5)*2*Inputs!$B$53)/Inputs!$B$30)</f>
        <v>1.0029994695341242</v>
      </c>
      <c r="X44" s="44">
        <f ca="1">(IF(G44&gt;=Inputs!$E$15,1,IF(N44&lt;=Inputs!$C$46,Inputs!$D$46,IF(N44&lt;=Inputs!$C$47,Inputs!$D$47,Inputs!$D$48))))*((Inputs!$B$31+(S44-0.5)*2*Inputs!$B$53)/Inputs!$B$31)</f>
        <v>0.99540016063723524</v>
      </c>
      <c r="Y44" s="44">
        <f ca="1">(IF(H44&gt;=Inputs!$E$16,1,IF(O44&lt;=Inputs!$C$46,Inputs!$D$46,IF(O44&lt;=Inputs!$C$47,Inputs!$D$47,Inputs!$D$48))))*((Inputs!$B$32+(T44-0.5)*2*Inputs!$B$53)/Inputs!$B$32)</f>
        <v>1.0006445333785619</v>
      </c>
      <c r="Z44" s="45">
        <f ca="1">ILP_C_HighResilience!$C$9*U44+ILP_C_HighResilience!$C$10*V44+ILP_C_HighResilience!$C$11*W44+ILP_C_HighResilience!$C$12*X44+ILP_C_HighResilience!$C$13*Y44</f>
        <v>18003.83025866481</v>
      </c>
      <c r="AA44" s="45">
        <f ca="1">ILP_C_HighResilience!$D$9*U44+ILP_C_HighResilience!$D$10*V44+ILP_C_HighResilience!$D$11*W44+ILP_C_HighResilience!$D$12*X44+ILP_C_HighResilience!$D$13*Y44</f>
        <v>15007.24924473805</v>
      </c>
      <c r="AB44" s="45">
        <f ca="1">ILP_C_HighResilience!$E$9*U44+ILP_C_HighResilience!$E$10*V44+ILP_C_HighResilience!$E$11*W44+ILP_C_HighResilience!$E$12*X44+ILP_C_HighResilience!$E$13*Y44</f>
        <v>12038.201359260054</v>
      </c>
      <c r="AC44" s="45">
        <f ca="1">Inputs!$B$6*$C44</f>
        <v>16200</v>
      </c>
      <c r="AD44" s="45">
        <f ca="1">Inputs!$B$7*$C44</f>
        <v>13500</v>
      </c>
      <c r="AE44" s="45">
        <f ca="1">Inputs!$B$8*$C44</f>
        <v>10800</v>
      </c>
      <c r="AF44" s="45">
        <f t="shared" ca="1" si="28"/>
        <v>0</v>
      </c>
      <c r="AG44" s="45">
        <f t="shared" ca="1" si="29"/>
        <v>0</v>
      </c>
      <c r="AH44" s="45">
        <f t="shared" ca="1" si="30"/>
        <v>0</v>
      </c>
      <c r="AI44" s="45">
        <f t="shared" ca="1" si="31"/>
        <v>0</v>
      </c>
      <c r="AJ44" s="45">
        <f ca="1">U44*(Inputs!$B$12-ILP_C_HighResilience!$F$9)+V44*(Inputs!$B$13-ILP_C_HighResilience!$F$10)+W44*(Inputs!$B$14-ILP_C_HighResilience!$F$11)+X44*(Inputs!$B$15-ILP_C_HighResilience!$F$12)+Y44*(Inputs!$B$16-ILP_C_HighResilience!$F$13)</f>
        <v>25041.654111366544</v>
      </c>
      <c r="AK44" s="45">
        <f t="shared" ca="1" si="32"/>
        <v>0</v>
      </c>
      <c r="AL44" s="45">
        <f t="shared" ca="1" si="33"/>
        <v>0</v>
      </c>
      <c r="AM44" s="45">
        <f t="shared" ca="1" si="34"/>
        <v>0</v>
      </c>
      <c r="AN44" s="45">
        <f t="shared" ca="1" si="35"/>
        <v>0</v>
      </c>
      <c r="AO44" s="45">
        <f ca="1">MIN(AL44,Inputs!$B$36)</f>
        <v>0</v>
      </c>
      <c r="AP44" s="45">
        <f ca="1">MIN(AN44,Inputs!$B$36-AO44)</f>
        <v>0</v>
      </c>
      <c r="AQ44" s="45">
        <f ca="1">MIN(AM44,Inputs!$B$36-AO44-AP44)</f>
        <v>0</v>
      </c>
      <c r="AR44" s="45">
        <f t="shared" ca="1" si="36"/>
        <v>0</v>
      </c>
      <c r="AS44" s="45">
        <f t="shared" ca="1" si="37"/>
        <v>0</v>
      </c>
      <c r="AT44" s="45">
        <f t="shared" ca="1" si="38"/>
        <v>0</v>
      </c>
      <c r="AU44" s="45">
        <f t="shared" ca="1" si="39"/>
        <v>0</v>
      </c>
      <c r="AV44" s="46">
        <f ca="1">AU44*Inputs!$B$35</f>
        <v>0</v>
      </c>
      <c r="AW44" s="46">
        <f ca="1">AR44*Inputs!$C$6+AT44*Inputs!$C$7+AS44*Inputs!$C$8</f>
        <v>0</v>
      </c>
      <c r="AX44" s="46">
        <f t="shared" ca="1" si="40"/>
        <v>47685878.104635343</v>
      </c>
      <c r="AY44" s="46">
        <f ca="1">IF(J44&gt;1,($CD$4)*Inputs!$B$55*((Z44+AA44+AB44)/(SUM(ILP_C_HighResilience!$C$9:$E$13))),0)</f>
        <v>0</v>
      </c>
      <c r="AZ44" s="46">
        <f t="shared" ca="1" si="41"/>
        <v>0</v>
      </c>
      <c r="BA44" s="41">
        <f t="shared" ca="1" si="42"/>
        <v>0</v>
      </c>
      <c r="BB44" s="41">
        <f t="shared" ca="1" si="43"/>
        <v>1</v>
      </c>
      <c r="BC44" s="41">
        <f t="shared" ca="1" si="44"/>
        <v>1</v>
      </c>
      <c r="BD44" s="41">
        <f t="shared" ca="1" si="45"/>
        <v>1</v>
      </c>
    </row>
    <row r="45" spans="1:56" ht="15" customHeight="1" x14ac:dyDescent="0.3">
      <c r="A45" s="41">
        <v>38</v>
      </c>
      <c r="B45" s="42">
        <f t="shared" ca="1" si="27"/>
        <v>0.89262189064492437</v>
      </c>
      <c r="C45" s="43">
        <f ca="1">IF(B45&lt;=Inputs!$C$40,Inputs!$D$40,IF(B45&lt;=Inputs!$C$41,Inputs!$D$41,Inputs!$D$42))</f>
        <v>1.1499999999999999</v>
      </c>
      <c r="D45" s="42">
        <f t="shared" ca="1" si="25"/>
        <v>0.2283823389052988</v>
      </c>
      <c r="E45" s="42">
        <f t="shared" ca="1" si="25"/>
        <v>0.81552479751914331</v>
      </c>
      <c r="F45" s="42">
        <f t="shared" ca="1" si="25"/>
        <v>0.72249319957525404</v>
      </c>
      <c r="G45" s="42">
        <f t="shared" ca="1" si="25"/>
        <v>0.49783884120099775</v>
      </c>
      <c r="H45" s="42">
        <f t="shared" ca="1" si="25"/>
        <v>5.6874778561048167E-2</v>
      </c>
      <c r="I45" s="42">
        <f t="shared" ca="1" si="25"/>
        <v>0.48443744728195792</v>
      </c>
      <c r="J45" s="43">
        <f ca="1">IF(I45&lt;Inputs!$B$54,1+Inputs!$B$55,1)</f>
        <v>1</v>
      </c>
      <c r="K45" s="42">
        <f t="shared" ca="1" si="26"/>
        <v>0.47264201850575505</v>
      </c>
      <c r="L45" s="42">
        <f t="shared" ca="1" si="26"/>
        <v>0.63801125344670995</v>
      </c>
      <c r="M45" s="42">
        <f t="shared" ca="1" si="26"/>
        <v>0.67969178919802697</v>
      </c>
      <c r="N45" s="42">
        <f t="shared" ca="1" si="26"/>
        <v>0.64082950480045231</v>
      </c>
      <c r="O45" s="42">
        <f t="shared" ca="1" si="26"/>
        <v>0.10837834250823963</v>
      </c>
      <c r="P45" s="42">
        <f t="shared" ca="1" si="26"/>
        <v>0.25438975568174194</v>
      </c>
      <c r="Q45" s="42">
        <f t="shared" ca="1" si="26"/>
        <v>0.93865276835289113</v>
      </c>
      <c r="R45" s="42">
        <f t="shared" ca="1" si="26"/>
        <v>0.1342037805786922</v>
      </c>
      <c r="S45" s="42">
        <f t="shared" ca="1" si="26"/>
        <v>0.51243398793600137</v>
      </c>
      <c r="T45" s="42">
        <f t="shared" ca="1" si="26"/>
        <v>0.20664533939056162</v>
      </c>
      <c r="U45" s="44">
        <f ca="1">(IF(D45&gt;=Inputs!$E$12,1,IF(K45&lt;=Inputs!$C$46,Inputs!$D$46,IF(K45&lt;=Inputs!$C$47,Inputs!$D$47,Inputs!$D$48))))*((Inputs!$B$28+(P45-0.5)*2*Inputs!$B$53)/Inputs!$B$28)</f>
        <v>0.99751406635305406</v>
      </c>
      <c r="V45" s="44">
        <f ca="1">(IF(E45&gt;=Inputs!$E$13,1,IF(L45&lt;=Inputs!$C$46,Inputs!$D$46,IF(L45&lt;=Inputs!$C$47,Inputs!$D$47,Inputs!$D$48))))*((Inputs!$B$29+(Q45-0.5)*2*Inputs!$B$53)/Inputs!$B$29)</f>
        <v>1.0044219029067831</v>
      </c>
      <c r="W45" s="44">
        <f ca="1">(IF(F45&gt;=Inputs!$E$14,1,IF(M45&lt;=Inputs!$C$46,Inputs!$D$46,IF(M45&lt;=Inputs!$C$47,Inputs!$D$47,Inputs!$D$48))))*((Inputs!$B$30+(R45-0.5)*2*Inputs!$B$53)/Inputs!$B$30)</f>
        <v>0.99632365608621798</v>
      </c>
      <c r="X45" s="44">
        <f ca="1">(IF(G45&gt;=Inputs!$E$15,1,IF(N45&lt;=Inputs!$C$46,Inputs!$D$46,IF(N45&lt;=Inputs!$C$47,Inputs!$D$47,Inputs!$D$48))))*((Inputs!$B$31+(S45-0.5)*2*Inputs!$B$53)/Inputs!$B$31)</f>
        <v>1.0001262333800609</v>
      </c>
      <c r="Y45" s="44">
        <f ca="1">(IF(H45&gt;=Inputs!$E$16,1,IF(O45&lt;=Inputs!$C$46,Inputs!$D$46,IF(O45&lt;=Inputs!$C$47,Inputs!$D$47,Inputs!$D$48))))*((Inputs!$B$32+(T45-0.5)*2*Inputs!$B$53)/Inputs!$B$32)</f>
        <v>0.9970487458691204</v>
      </c>
      <c r="Z45" s="45">
        <f ca="1">ILP_C_HighResilience!$C$9*U45+ILP_C_HighResilience!$C$10*V45+ILP_C_HighResilience!$C$11*W45+ILP_C_HighResilience!$C$12*X45+ILP_C_HighResilience!$C$13*Y45</f>
        <v>17998.929008542847</v>
      </c>
      <c r="AA45" s="45">
        <f ca="1">ILP_C_HighResilience!$D$9*U45+ILP_C_HighResilience!$D$10*V45+ILP_C_HighResilience!$D$11*W45+ILP_C_HighResilience!$D$12*X45+ILP_C_HighResilience!$D$13*Y45</f>
        <v>15011.012229314216</v>
      </c>
      <c r="AB45" s="45">
        <f ca="1">ILP_C_HighResilience!$E$9*U45+ILP_C_HighResilience!$E$10*V45+ILP_C_HighResilience!$E$11*W45+ILP_C_HighResilience!$E$12*X45+ILP_C_HighResilience!$E$13*Y45</f>
        <v>11996.323124682014</v>
      </c>
      <c r="AC45" s="45">
        <f ca="1">Inputs!$B$6*$C45</f>
        <v>20700</v>
      </c>
      <c r="AD45" s="45">
        <f ca="1">Inputs!$B$7*$C45</f>
        <v>17250</v>
      </c>
      <c r="AE45" s="45">
        <f ca="1">Inputs!$B$8*$C45</f>
        <v>13799.999999999998</v>
      </c>
      <c r="AF45" s="45">
        <f t="shared" ca="1" si="28"/>
        <v>2701.0709914571526</v>
      </c>
      <c r="AG45" s="45">
        <f t="shared" ca="1" si="29"/>
        <v>2238.9877706857842</v>
      </c>
      <c r="AH45" s="45">
        <f t="shared" ca="1" si="30"/>
        <v>1803.676875317984</v>
      </c>
      <c r="AI45" s="45">
        <f t="shared" ca="1" si="31"/>
        <v>6743.7356374609208</v>
      </c>
      <c r="AJ45" s="45">
        <f ca="1">U45*(Inputs!$B$12-ILP_C_HighResilience!$F$9)+V45*(Inputs!$B$13-ILP_C_HighResilience!$F$10)+W45*(Inputs!$B$14-ILP_C_HighResilience!$F$11)+X45*(Inputs!$B$15-ILP_C_HighResilience!$F$12)+Y45*(Inputs!$B$16-ILP_C_HighResilience!$F$13)</f>
        <v>24925.320857523126</v>
      </c>
      <c r="AK45" s="45">
        <f t="shared" ca="1" si="32"/>
        <v>6743.7356374609208</v>
      </c>
      <c r="AL45" s="45">
        <f t="shared" ca="1" si="33"/>
        <v>0</v>
      </c>
      <c r="AM45" s="45">
        <f t="shared" ca="1" si="34"/>
        <v>0</v>
      </c>
      <c r="AN45" s="45">
        <f t="shared" ca="1" si="35"/>
        <v>0</v>
      </c>
      <c r="AO45" s="45">
        <f ca="1">MIN(AL45,Inputs!$B$36)</f>
        <v>0</v>
      </c>
      <c r="AP45" s="45">
        <f ca="1">MIN(AN45,Inputs!$B$36-AO45)</f>
        <v>0</v>
      </c>
      <c r="AQ45" s="45">
        <f ca="1">MIN(AM45,Inputs!$B$36-AO45-AP45)</f>
        <v>0</v>
      </c>
      <c r="AR45" s="45">
        <f t="shared" ca="1" si="36"/>
        <v>0</v>
      </c>
      <c r="AS45" s="45">
        <f t="shared" ca="1" si="37"/>
        <v>0</v>
      </c>
      <c r="AT45" s="45">
        <f t="shared" ca="1" si="38"/>
        <v>0</v>
      </c>
      <c r="AU45" s="45">
        <f t="shared" ca="1" si="39"/>
        <v>0</v>
      </c>
      <c r="AV45" s="46">
        <f ca="1">AU45*Inputs!$B$35</f>
        <v>0</v>
      </c>
      <c r="AW45" s="46">
        <f ca="1">AR45*Inputs!$C$6+AT45*Inputs!$C$7+AS45*Inputs!$C$8</f>
        <v>0</v>
      </c>
      <c r="AX45" s="46">
        <f t="shared" ca="1" si="40"/>
        <v>47638871.247458257</v>
      </c>
      <c r="AY45" s="46">
        <f ca="1">IF(J45&gt;1,($CD$4)*Inputs!$B$55*((Z45+AA45+AB45)/(SUM(ILP_C_HighResilience!$C$9:$E$13))),0)</f>
        <v>0</v>
      </c>
      <c r="AZ45" s="46">
        <f t="shared" ca="1" si="41"/>
        <v>0</v>
      </c>
      <c r="BA45" s="41">
        <f t="shared" ca="1" si="42"/>
        <v>0</v>
      </c>
      <c r="BB45" s="41">
        <f t="shared" ca="1" si="43"/>
        <v>1</v>
      </c>
      <c r="BC45" s="41">
        <f t="shared" ca="1" si="44"/>
        <v>1</v>
      </c>
      <c r="BD45" s="41">
        <f t="shared" ca="1" si="45"/>
        <v>1</v>
      </c>
    </row>
    <row r="46" spans="1:56" ht="15" customHeight="1" x14ac:dyDescent="0.3">
      <c r="A46" s="41">
        <v>39</v>
      </c>
      <c r="B46" s="42">
        <f t="shared" ca="1" si="27"/>
        <v>0.25972116472897688</v>
      </c>
      <c r="C46" s="43">
        <f ca="1">IF(B46&lt;=Inputs!$C$40,Inputs!$D$40,IF(B46&lt;=Inputs!$C$41,Inputs!$D$41,Inputs!$D$42))</f>
        <v>1</v>
      </c>
      <c r="D46" s="42">
        <f t="shared" ca="1" si="25"/>
        <v>0.86725315568054595</v>
      </c>
      <c r="E46" s="42">
        <f t="shared" ca="1" si="25"/>
        <v>0.9246468308009157</v>
      </c>
      <c r="F46" s="42">
        <f t="shared" ca="1" si="25"/>
        <v>0.83580734635293996</v>
      </c>
      <c r="G46" s="42">
        <f t="shared" ca="1" si="25"/>
        <v>0.37785986137131888</v>
      </c>
      <c r="H46" s="42">
        <f t="shared" ca="1" si="25"/>
        <v>0.46819744015497256</v>
      </c>
      <c r="I46" s="42">
        <f t="shared" ca="1" si="25"/>
        <v>7.7580551447991919E-2</v>
      </c>
      <c r="J46" s="43">
        <f ca="1">IF(I46&lt;Inputs!$B$54,1+Inputs!$B$55,1)</f>
        <v>1.25</v>
      </c>
      <c r="K46" s="42">
        <f t="shared" ca="1" si="26"/>
        <v>0.40443383115958653</v>
      </c>
      <c r="L46" s="42">
        <f t="shared" ca="1" si="26"/>
        <v>0.5396134864694988</v>
      </c>
      <c r="M46" s="42">
        <f t="shared" ca="1" si="26"/>
        <v>0.11338582190443081</v>
      </c>
      <c r="N46" s="42">
        <f t="shared" ca="1" si="26"/>
        <v>0.18897813933887408</v>
      </c>
      <c r="O46" s="42">
        <f t="shared" ca="1" si="26"/>
        <v>0.81337131663252971</v>
      </c>
      <c r="P46" s="42">
        <f t="shared" ca="1" si="26"/>
        <v>0.32561450457044483</v>
      </c>
      <c r="Q46" s="42">
        <f t="shared" ca="1" si="26"/>
        <v>0.10436493638143995</v>
      </c>
      <c r="R46" s="42">
        <f t="shared" ca="1" si="26"/>
        <v>0.48424033696274915</v>
      </c>
      <c r="S46" s="42">
        <f t="shared" ca="1" si="26"/>
        <v>0.61995216902201344</v>
      </c>
      <c r="T46" s="42">
        <f t="shared" ca="1" si="26"/>
        <v>0.96842187251787881</v>
      </c>
      <c r="U46" s="44">
        <f ca="1">(IF(D46&gt;=Inputs!$E$12,1,IF(K46&lt;=Inputs!$C$46,Inputs!$D$46,IF(K46&lt;=Inputs!$C$47,Inputs!$D$47,Inputs!$D$48))))*((Inputs!$B$28+(P46-0.5)*2*Inputs!$B$53)/Inputs!$B$28)</f>
        <v>0.99823496462115835</v>
      </c>
      <c r="V46" s="44">
        <f ca="1">(IF(E46&gt;=Inputs!$E$13,1,IF(L46&lt;=Inputs!$C$46,Inputs!$D$46,IF(L46&lt;=Inputs!$C$47,Inputs!$D$47,Inputs!$D$48))))*((Inputs!$B$29+(Q46-0.5)*2*Inputs!$B$53)/Inputs!$B$29)</f>
        <v>0.99601174331029674</v>
      </c>
      <c r="W46" s="44">
        <f ca="1">(IF(F46&gt;=Inputs!$E$14,1,IF(M46&lt;=Inputs!$C$46,Inputs!$D$46,IF(M46&lt;=Inputs!$C$47,Inputs!$D$47,Inputs!$D$48))))*((Inputs!$B$30+(R46-0.5)*2*Inputs!$B$53)/Inputs!$B$30)</f>
        <v>0.99984161142676131</v>
      </c>
      <c r="X46" s="44">
        <f ca="1">(IF(G46&gt;=Inputs!$E$15,1,IF(N46&lt;=Inputs!$C$46,Inputs!$D$46,IF(N46&lt;=Inputs!$C$47,Inputs!$D$47,Inputs!$D$48))))*((Inputs!$B$31+(S46-0.5)*2*Inputs!$B$53)/Inputs!$B$31)</f>
        <v>1.00121778851799</v>
      </c>
      <c r="Y46" s="44">
        <f ca="1">(IF(H46&gt;=Inputs!$E$16,1,IF(O46&lt;=Inputs!$C$46,Inputs!$D$46,IF(O46&lt;=Inputs!$C$47,Inputs!$D$47,Inputs!$D$48))))*((Inputs!$B$32+(T46-0.5)*2*Inputs!$B$53)/Inputs!$B$32)</f>
        <v>1.0047124936873026</v>
      </c>
      <c r="Z46" s="45">
        <f ca="1">ILP_C_HighResilience!$C$9*U46+ILP_C_HighResilience!$C$10*V46+ILP_C_HighResilience!$C$11*W46+ILP_C_HighResilience!$C$12*X46+ILP_C_HighResilience!$C$13*Y46</f>
        <v>17981.702098518937</v>
      </c>
      <c r="AA46" s="45">
        <f ca="1">ILP_C_HighResilience!$D$9*U46+ILP_C_HighResilience!$D$10*V46+ILP_C_HighResilience!$D$11*W46+ILP_C_HighResilience!$D$12*X46+ILP_C_HighResilience!$D$13*Y46</f>
        <v>14981.002900864109</v>
      </c>
      <c r="AB46" s="45">
        <f ca="1">ILP_C_HighResilience!$E$9*U46+ILP_C_HighResilience!$E$10*V46+ILP_C_HighResilience!$E$11*W46+ILP_C_HighResilience!$E$12*X46+ILP_C_HighResilience!$E$13*Y46</f>
        <v>11973.96495797084</v>
      </c>
      <c r="AC46" s="45">
        <f ca="1">Inputs!$B$6*$C46</f>
        <v>18000</v>
      </c>
      <c r="AD46" s="45">
        <f ca="1">Inputs!$B$7*$C46</f>
        <v>15000</v>
      </c>
      <c r="AE46" s="45">
        <f ca="1">Inputs!$B$8*$C46</f>
        <v>12000</v>
      </c>
      <c r="AF46" s="45">
        <f t="shared" ca="1" si="28"/>
        <v>18.297901481062581</v>
      </c>
      <c r="AG46" s="45">
        <f t="shared" ca="1" si="29"/>
        <v>18.997099135891403</v>
      </c>
      <c r="AH46" s="45">
        <f t="shared" ca="1" si="30"/>
        <v>26.03504202915974</v>
      </c>
      <c r="AI46" s="45">
        <f t="shared" ca="1" si="31"/>
        <v>63.330042646113725</v>
      </c>
      <c r="AJ46" s="45">
        <f ca="1">U46*(Inputs!$B$12-ILP_C_HighResilience!$F$9)+V46*(Inputs!$B$13-ILP_C_HighResilience!$F$10)+W46*(Inputs!$B$14-ILP_C_HighResilience!$F$11)+X46*(Inputs!$B$15-ILP_C_HighResilience!$F$12)+Y46*(Inputs!$B$16-ILP_C_HighResilience!$F$13)</f>
        <v>25062.495699002116</v>
      </c>
      <c r="AK46" s="45">
        <f t="shared" ca="1" si="32"/>
        <v>63.330042646113725</v>
      </c>
      <c r="AL46" s="45">
        <f t="shared" ca="1" si="33"/>
        <v>0</v>
      </c>
      <c r="AM46" s="45">
        <f t="shared" ca="1" si="34"/>
        <v>0</v>
      </c>
      <c r="AN46" s="45">
        <f t="shared" ca="1" si="35"/>
        <v>0</v>
      </c>
      <c r="AO46" s="45">
        <f ca="1">MIN(AL46,Inputs!$B$36)</f>
        <v>0</v>
      </c>
      <c r="AP46" s="45">
        <f ca="1">MIN(AN46,Inputs!$B$36-AO46)</f>
        <v>0</v>
      </c>
      <c r="AQ46" s="45">
        <f ca="1">MIN(AM46,Inputs!$B$36-AO46-AP46)</f>
        <v>0</v>
      </c>
      <c r="AR46" s="45">
        <f t="shared" ca="1" si="36"/>
        <v>0</v>
      </c>
      <c r="AS46" s="45">
        <f t="shared" ca="1" si="37"/>
        <v>0</v>
      </c>
      <c r="AT46" s="45">
        <f t="shared" ca="1" si="38"/>
        <v>0</v>
      </c>
      <c r="AU46" s="45">
        <f t="shared" ca="1" si="39"/>
        <v>0</v>
      </c>
      <c r="AV46" s="46">
        <f ca="1">AU46*Inputs!$B$35</f>
        <v>0</v>
      </c>
      <c r="AW46" s="46">
        <f ca="1">AR46*Inputs!$C$6+AT46*Inputs!$C$7+AS46*Inputs!$C$8</f>
        <v>0</v>
      </c>
      <c r="AX46" s="46">
        <f t="shared" ca="1" si="40"/>
        <v>47564915.862042248</v>
      </c>
      <c r="AY46" s="46">
        <f ca="1">IF(J46&gt;1,($CD$4)*Inputs!$B$55*((Z46+AA46+AB46)/(SUM(ILP_C_HighResilience!$C$9:$E$13))),0)</f>
        <v>600199.1287670614</v>
      </c>
      <c r="AZ46" s="46">
        <f t="shared" ca="1" si="41"/>
        <v>0</v>
      </c>
      <c r="BA46" s="41">
        <f t="shared" ca="1" si="42"/>
        <v>0</v>
      </c>
      <c r="BB46" s="41">
        <f t="shared" ca="1" si="43"/>
        <v>1</v>
      </c>
      <c r="BC46" s="41">
        <f t="shared" ca="1" si="44"/>
        <v>1</v>
      </c>
      <c r="BD46" s="41">
        <f t="shared" ca="1" si="45"/>
        <v>1</v>
      </c>
    </row>
    <row r="47" spans="1:56" ht="15" customHeight="1" x14ac:dyDescent="0.3">
      <c r="A47" s="41">
        <v>40</v>
      </c>
      <c r="B47" s="42">
        <f t="shared" ca="1" si="27"/>
        <v>0.14221140717563774</v>
      </c>
      <c r="C47" s="43">
        <f ca="1">IF(B47&lt;=Inputs!$C$40,Inputs!$D$40,IF(B47&lt;=Inputs!$C$41,Inputs!$D$41,Inputs!$D$42))</f>
        <v>0.9</v>
      </c>
      <c r="D47" s="42">
        <f t="shared" ca="1" si="25"/>
        <v>0.65949151987799637</v>
      </c>
      <c r="E47" s="42">
        <f t="shared" ca="1" si="25"/>
        <v>0.81599785990439255</v>
      </c>
      <c r="F47" s="42">
        <f t="shared" ca="1" si="25"/>
        <v>0.71051623803771791</v>
      </c>
      <c r="G47" s="42">
        <f t="shared" ca="1" si="25"/>
        <v>0.45068784058937661</v>
      </c>
      <c r="H47" s="42">
        <f t="shared" ca="1" si="25"/>
        <v>0.55582287736083769</v>
      </c>
      <c r="I47" s="42">
        <f t="shared" ca="1" si="25"/>
        <v>0.74115403950802894</v>
      </c>
      <c r="J47" s="43">
        <f ca="1">IF(I47&lt;Inputs!$B$54,1+Inputs!$B$55,1)</f>
        <v>1</v>
      </c>
      <c r="K47" s="42">
        <f t="shared" ca="1" si="26"/>
        <v>0.33926673142537389</v>
      </c>
      <c r="L47" s="42">
        <f t="shared" ca="1" si="26"/>
        <v>0.33203983955636418</v>
      </c>
      <c r="M47" s="42">
        <f t="shared" ca="1" si="26"/>
        <v>0.40081626171848972</v>
      </c>
      <c r="N47" s="42">
        <f t="shared" ca="1" si="26"/>
        <v>0.34228200471006487</v>
      </c>
      <c r="O47" s="42">
        <f t="shared" ca="1" si="26"/>
        <v>0.85860047128971761</v>
      </c>
      <c r="P47" s="42">
        <f t="shared" ca="1" si="26"/>
        <v>0.35194984288848885</v>
      </c>
      <c r="Q47" s="42">
        <f t="shared" ca="1" si="26"/>
        <v>0.84690673012741258</v>
      </c>
      <c r="R47" s="42">
        <f t="shared" ca="1" si="26"/>
        <v>0.13018910467754929</v>
      </c>
      <c r="S47" s="42">
        <f t="shared" ca="1" si="26"/>
        <v>0.9433452531138643</v>
      </c>
      <c r="T47" s="42">
        <f t="shared" ca="1" si="26"/>
        <v>0.63171260444494015</v>
      </c>
      <c r="U47" s="44">
        <f ca="1">(IF(D47&gt;=Inputs!$E$12,1,IF(K47&lt;=Inputs!$C$46,Inputs!$D$46,IF(K47&lt;=Inputs!$C$47,Inputs!$D$47,Inputs!$D$48))))*((Inputs!$B$28+(P47-0.5)*2*Inputs!$B$53)/Inputs!$B$28)</f>
        <v>0.99850151662842601</v>
      </c>
      <c r="V47" s="44">
        <f ca="1">(IF(E47&gt;=Inputs!$E$13,1,IF(L47&lt;=Inputs!$C$46,Inputs!$D$46,IF(L47&lt;=Inputs!$C$47,Inputs!$D$47,Inputs!$D$48))))*((Inputs!$B$29+(Q47-0.5)*2*Inputs!$B$53)/Inputs!$B$29)</f>
        <v>1.003497043650478</v>
      </c>
      <c r="W47" s="44">
        <f ca="1">(IF(F47&gt;=Inputs!$E$14,1,IF(M47&lt;=Inputs!$C$46,Inputs!$D$46,IF(M47&lt;=Inputs!$C$47,Inputs!$D$47,Inputs!$D$48))))*((Inputs!$B$30+(R47-0.5)*2*Inputs!$B$53)/Inputs!$B$30)</f>
        <v>0.99628330758469896</v>
      </c>
      <c r="X47" s="44">
        <f ca="1">(IF(G47&gt;=Inputs!$E$15,1,IF(N47&lt;=Inputs!$C$46,Inputs!$D$46,IF(N47&lt;=Inputs!$C$47,Inputs!$D$47,Inputs!$D$48))))*((Inputs!$B$31+(S47-0.5)*2*Inputs!$B$53)/Inputs!$B$31)</f>
        <v>1.0045009670366891</v>
      </c>
      <c r="Y47" s="44">
        <f ca="1">(IF(H47&gt;=Inputs!$E$16,1,IF(O47&lt;=Inputs!$C$46,Inputs!$D$46,IF(O47&lt;=Inputs!$C$47,Inputs!$D$47,Inputs!$D$48))))*((Inputs!$B$32+(T47-0.5)*2*Inputs!$B$53)/Inputs!$B$32)</f>
        <v>1.0013250765034702</v>
      </c>
      <c r="Z47" s="45">
        <f ca="1">ILP_C_HighResilience!$C$9*U47+ILP_C_HighResilience!$C$10*V47+ILP_C_HighResilience!$C$11*W47+ILP_C_HighResilience!$C$12*X47+ILP_C_HighResilience!$C$13*Y47</f>
        <v>18034.207239530551</v>
      </c>
      <c r="AA47" s="45">
        <f ca="1">ILP_C_HighResilience!$D$9*U47+ILP_C_HighResilience!$D$10*V47+ILP_C_HighResilience!$D$11*W47+ILP_C_HighResilience!$D$12*X47+ILP_C_HighResilience!$D$13*Y47</f>
        <v>15025.497616833352</v>
      </c>
      <c r="AB47" s="45">
        <f ca="1">ILP_C_HighResilience!$E$9*U47+ILP_C_HighResilience!$E$10*V47+ILP_C_HighResilience!$E$11*W47+ILP_C_HighResilience!$E$12*X47+ILP_C_HighResilience!$E$13*Y47</f>
        <v>11996.979594676337</v>
      </c>
      <c r="AC47" s="45">
        <f ca="1">Inputs!$B$6*$C47</f>
        <v>16200</v>
      </c>
      <c r="AD47" s="45">
        <f ca="1">Inputs!$B$7*$C47</f>
        <v>13500</v>
      </c>
      <c r="AE47" s="45">
        <f ca="1">Inputs!$B$8*$C47</f>
        <v>10800</v>
      </c>
      <c r="AF47" s="45">
        <f t="shared" ca="1" si="28"/>
        <v>0</v>
      </c>
      <c r="AG47" s="45">
        <f t="shared" ca="1" si="29"/>
        <v>0</v>
      </c>
      <c r="AH47" s="45">
        <f t="shared" ca="1" si="30"/>
        <v>0</v>
      </c>
      <c r="AI47" s="45">
        <f t="shared" ca="1" si="31"/>
        <v>0</v>
      </c>
      <c r="AJ47" s="45">
        <f ca="1">U47*(Inputs!$B$12-ILP_C_HighResilience!$F$9)+V47*(Inputs!$B$13-ILP_C_HighResilience!$F$10)+W47*(Inputs!$B$14-ILP_C_HighResilience!$F$11)+X47*(Inputs!$B$15-ILP_C_HighResilience!$F$12)+Y47*(Inputs!$B$16-ILP_C_HighResilience!$F$13)</f>
        <v>24993.869176714677</v>
      </c>
      <c r="AK47" s="45">
        <f t="shared" ca="1" si="32"/>
        <v>0</v>
      </c>
      <c r="AL47" s="45">
        <f t="shared" ca="1" si="33"/>
        <v>0</v>
      </c>
      <c r="AM47" s="45">
        <f t="shared" ca="1" si="34"/>
        <v>0</v>
      </c>
      <c r="AN47" s="45">
        <f t="shared" ca="1" si="35"/>
        <v>0</v>
      </c>
      <c r="AO47" s="45">
        <f ca="1">MIN(AL47,Inputs!$B$36)</f>
        <v>0</v>
      </c>
      <c r="AP47" s="45">
        <f ca="1">MIN(AN47,Inputs!$B$36-AO47)</f>
        <v>0</v>
      </c>
      <c r="AQ47" s="45">
        <f ca="1">MIN(AM47,Inputs!$B$36-AO47-AP47)</f>
        <v>0</v>
      </c>
      <c r="AR47" s="45">
        <f t="shared" ca="1" si="36"/>
        <v>0</v>
      </c>
      <c r="AS47" s="45">
        <f t="shared" ca="1" si="37"/>
        <v>0</v>
      </c>
      <c r="AT47" s="45">
        <f t="shared" ca="1" si="38"/>
        <v>0</v>
      </c>
      <c r="AU47" s="45">
        <f t="shared" ca="1" si="39"/>
        <v>0</v>
      </c>
      <c r="AV47" s="46">
        <f ca="1">AU47*Inputs!$B$35</f>
        <v>0</v>
      </c>
      <c r="AW47" s="46">
        <f ca="1">AR47*Inputs!$C$6+AT47*Inputs!$C$7+AS47*Inputs!$C$8</f>
        <v>0</v>
      </c>
      <c r="AX47" s="46">
        <f t="shared" ca="1" si="40"/>
        <v>47691505.251212843</v>
      </c>
      <c r="AY47" s="46">
        <f ca="1">IF(J47&gt;1,($CD$4)*Inputs!$B$55*((Z47+AA47+AB47)/(SUM(ILP_C_HighResilience!$C$9:$E$13))),0)</f>
        <v>0</v>
      </c>
      <c r="AZ47" s="46">
        <f t="shared" ca="1" si="41"/>
        <v>0</v>
      </c>
      <c r="BA47" s="41">
        <f t="shared" ca="1" si="42"/>
        <v>0</v>
      </c>
      <c r="BB47" s="41">
        <f t="shared" ca="1" si="43"/>
        <v>1</v>
      </c>
      <c r="BC47" s="41">
        <f t="shared" ca="1" si="44"/>
        <v>1</v>
      </c>
      <c r="BD47" s="41">
        <f t="shared" ca="1" si="45"/>
        <v>1</v>
      </c>
    </row>
    <row r="48" spans="1:56" ht="15" customHeight="1" x14ac:dyDescent="0.3">
      <c r="A48" s="41">
        <v>41</v>
      </c>
      <c r="B48" s="42">
        <f t="shared" ca="1" si="27"/>
        <v>0.35370546767646638</v>
      </c>
      <c r="C48" s="43">
        <f ca="1">IF(B48&lt;=Inputs!$C$40,Inputs!$D$40,IF(B48&lt;=Inputs!$C$41,Inputs!$D$41,Inputs!$D$42))</f>
        <v>1</v>
      </c>
      <c r="D48" s="42">
        <f t="shared" ref="D48:I57" ca="1" si="46">RAND()</f>
        <v>0.84652174757449128</v>
      </c>
      <c r="E48" s="42">
        <f t="shared" ca="1" si="46"/>
        <v>0.72987683264678227</v>
      </c>
      <c r="F48" s="42">
        <f t="shared" ca="1" si="46"/>
        <v>0.42647353055362525</v>
      </c>
      <c r="G48" s="42">
        <f t="shared" ca="1" si="46"/>
        <v>1.8103849761250346E-2</v>
      </c>
      <c r="H48" s="42">
        <f t="shared" ca="1" si="46"/>
        <v>0.71869206347565084</v>
      </c>
      <c r="I48" s="42">
        <f t="shared" ca="1" si="46"/>
        <v>0.29397280185810792</v>
      </c>
      <c r="J48" s="43">
        <f ca="1">IF(I48&lt;Inputs!$B$54,1+Inputs!$B$55,1)</f>
        <v>1</v>
      </c>
      <c r="K48" s="42">
        <f t="shared" ref="K48:T57" ca="1" si="47">RAND()</f>
        <v>0.62947718853845192</v>
      </c>
      <c r="L48" s="42">
        <f t="shared" ca="1" si="47"/>
        <v>0.78663516029847191</v>
      </c>
      <c r="M48" s="42">
        <f t="shared" ca="1" si="47"/>
        <v>0.38723354795251586</v>
      </c>
      <c r="N48" s="42">
        <f t="shared" ca="1" si="47"/>
        <v>0.65306184487166263</v>
      </c>
      <c r="O48" s="42">
        <f t="shared" ca="1" si="47"/>
        <v>0.85682675410453135</v>
      </c>
      <c r="P48" s="42">
        <f t="shared" ca="1" si="47"/>
        <v>0.79882983380300676</v>
      </c>
      <c r="Q48" s="42">
        <f t="shared" ca="1" si="47"/>
        <v>0.46266870958415429</v>
      </c>
      <c r="R48" s="42">
        <f t="shared" ca="1" si="47"/>
        <v>0.87936933014569174</v>
      </c>
      <c r="S48" s="42">
        <f t="shared" ca="1" si="47"/>
        <v>2.2222671904119529E-2</v>
      </c>
      <c r="T48" s="42">
        <f t="shared" ca="1" si="47"/>
        <v>0.24782228682085128</v>
      </c>
      <c r="U48" s="44">
        <f ca="1">(IF(D48&gt;=Inputs!$E$12,1,IF(K48&lt;=Inputs!$C$46,Inputs!$D$46,IF(K48&lt;=Inputs!$C$47,Inputs!$D$47,Inputs!$D$48))))*((Inputs!$B$28+(P48-0.5)*2*Inputs!$B$53)/Inputs!$B$28)</f>
        <v>1.0030245934595445</v>
      </c>
      <c r="V48" s="44">
        <f ca="1">(IF(E48&gt;=Inputs!$E$13,1,IF(L48&lt;=Inputs!$C$46,Inputs!$D$46,IF(L48&lt;=Inputs!$C$47,Inputs!$D$47,Inputs!$D$48))))*((Inputs!$B$29+(Q48-0.5)*2*Inputs!$B$53)/Inputs!$B$29)</f>
        <v>0.99962367650790485</v>
      </c>
      <c r="W48" s="44">
        <f ca="1">(IF(F48&gt;=Inputs!$E$14,1,IF(M48&lt;=Inputs!$C$46,Inputs!$D$46,IF(M48&lt;=Inputs!$C$47,Inputs!$D$47,Inputs!$D$48))))*((Inputs!$B$30+(R48-0.5)*2*Inputs!$B$53)/Inputs!$B$30)</f>
        <v>1.0038127570868913</v>
      </c>
      <c r="X48" s="44">
        <f ca="1">(IF(G48&gt;=Inputs!$E$15,1,IF(N48&lt;=Inputs!$C$46,Inputs!$D$46,IF(N48&lt;=Inputs!$C$47,Inputs!$D$47,Inputs!$D$48))))*((Inputs!$B$31+(S48-0.5)*2*Inputs!$B$53)/Inputs!$B$31)</f>
        <v>0.29854484062508863</v>
      </c>
      <c r="Y48" s="44">
        <f ca="1">(IF(H48&gt;=Inputs!$E$16,1,IF(O48&lt;=Inputs!$C$46,Inputs!$D$46,IF(O48&lt;=Inputs!$C$47,Inputs!$D$47,Inputs!$D$48))))*((Inputs!$B$32+(T48-0.5)*2*Inputs!$B$53)/Inputs!$B$32)</f>
        <v>0.99746300087344919</v>
      </c>
      <c r="Z48" s="45">
        <f ca="1">ILP_C_HighResilience!$C$9*U48+ILP_C_HighResilience!$C$10*V48+ILP_C_HighResilience!$C$11*W48+ILP_C_HighResilience!$C$12*X48+ILP_C_HighResilience!$C$13*Y48</f>
        <v>12969.945160837817</v>
      </c>
      <c r="AA48" s="45">
        <f ca="1">ILP_C_HighResilience!$D$9*U48+ILP_C_HighResilience!$D$10*V48+ILP_C_HighResilience!$D$11*W48+ILP_C_HighResilience!$D$12*X48+ILP_C_HighResilience!$D$13*Y48</f>
        <v>11773.719098775922</v>
      </c>
      <c r="AB48" s="45">
        <f ca="1">ILP_C_HighResilience!$E$9*U48+ILP_C_HighResilience!$E$10*V48+ILP_C_HighResilience!$E$11*W48+ILP_C_HighResilience!$E$12*X48+ILP_C_HighResilience!$E$13*Y48</f>
        <v>12024.007122108736</v>
      </c>
      <c r="AC48" s="45">
        <f ca="1">Inputs!$B$6*$C48</f>
        <v>18000</v>
      </c>
      <c r="AD48" s="45">
        <f ca="1">Inputs!$B$7*$C48</f>
        <v>15000</v>
      </c>
      <c r="AE48" s="45">
        <f ca="1">Inputs!$B$8*$C48</f>
        <v>12000</v>
      </c>
      <c r="AF48" s="45">
        <f t="shared" ca="1" si="28"/>
        <v>5030.0548391621833</v>
      </c>
      <c r="AG48" s="45">
        <f t="shared" ca="1" si="29"/>
        <v>3226.2809012240778</v>
      </c>
      <c r="AH48" s="45">
        <f t="shared" ca="1" si="30"/>
        <v>0</v>
      </c>
      <c r="AI48" s="45">
        <f t="shared" ca="1" si="31"/>
        <v>8256.335740386261</v>
      </c>
      <c r="AJ48" s="45">
        <f ca="1">U48*(Inputs!$B$12-ILP_C_HighResilience!$F$9)+V48*(Inputs!$B$13-ILP_C_HighResilience!$F$10)+W48*(Inputs!$B$14-ILP_C_HighResilience!$F$11)+X48*(Inputs!$B$15-ILP_C_HighResilience!$F$12)+Y48*(Inputs!$B$16-ILP_C_HighResilience!$F$13)</f>
        <v>24869.502527473294</v>
      </c>
      <c r="AK48" s="45">
        <f t="shared" ca="1" si="32"/>
        <v>8256.335740386261</v>
      </c>
      <c r="AL48" s="45">
        <f t="shared" ca="1" si="33"/>
        <v>0</v>
      </c>
      <c r="AM48" s="45">
        <f t="shared" ca="1" si="34"/>
        <v>0</v>
      </c>
      <c r="AN48" s="45">
        <f t="shared" ca="1" si="35"/>
        <v>0</v>
      </c>
      <c r="AO48" s="45">
        <f ca="1">MIN(AL48,Inputs!$B$36)</f>
        <v>0</v>
      </c>
      <c r="AP48" s="45">
        <f ca="1">MIN(AN48,Inputs!$B$36-AO48)</f>
        <v>0</v>
      </c>
      <c r="AQ48" s="45">
        <f ca="1">MIN(AM48,Inputs!$B$36-AO48-AP48)</f>
        <v>0</v>
      </c>
      <c r="AR48" s="45">
        <f t="shared" ca="1" si="36"/>
        <v>0</v>
      </c>
      <c r="AS48" s="45">
        <f t="shared" ca="1" si="37"/>
        <v>0</v>
      </c>
      <c r="AT48" s="45">
        <f t="shared" ca="1" si="38"/>
        <v>0</v>
      </c>
      <c r="AU48" s="45">
        <f t="shared" ca="1" si="39"/>
        <v>0</v>
      </c>
      <c r="AV48" s="46">
        <f ca="1">AU48*Inputs!$B$35</f>
        <v>0</v>
      </c>
      <c r="AW48" s="46">
        <f ca="1">AR48*Inputs!$C$6+AT48*Inputs!$C$7+AS48*Inputs!$C$8</f>
        <v>0</v>
      </c>
      <c r="AX48" s="46">
        <f t="shared" ca="1" si="40"/>
        <v>39035870.699985281</v>
      </c>
      <c r="AY48" s="46">
        <f ca="1">IF(J48&gt;1,($CD$4)*Inputs!$B$55*((Z48+AA48+AB48)/(SUM(ILP_C_HighResilience!$C$9:$E$13))),0)</f>
        <v>0</v>
      </c>
      <c r="AZ48" s="46">
        <f t="shared" ca="1" si="41"/>
        <v>0</v>
      </c>
      <c r="BA48" s="41">
        <f t="shared" ca="1" si="42"/>
        <v>0</v>
      </c>
      <c r="BB48" s="41">
        <f t="shared" ca="1" si="43"/>
        <v>1</v>
      </c>
      <c r="BC48" s="41">
        <f t="shared" ca="1" si="44"/>
        <v>1</v>
      </c>
      <c r="BD48" s="41">
        <f t="shared" ca="1" si="45"/>
        <v>1</v>
      </c>
    </row>
    <row r="49" spans="1:56" ht="15" customHeight="1" x14ac:dyDescent="0.3">
      <c r="A49" s="41">
        <v>42</v>
      </c>
      <c r="B49" s="42">
        <f t="shared" ca="1" si="27"/>
        <v>0.99792887109667661</v>
      </c>
      <c r="C49" s="43">
        <f ca="1">IF(B49&lt;=Inputs!$C$40,Inputs!$D$40,IF(B49&lt;=Inputs!$C$41,Inputs!$D$41,Inputs!$D$42))</f>
        <v>1.1499999999999999</v>
      </c>
      <c r="D49" s="42">
        <f t="shared" ca="1" si="46"/>
        <v>0.53273893150835594</v>
      </c>
      <c r="E49" s="42">
        <f t="shared" ca="1" si="46"/>
        <v>0.72679601652602499</v>
      </c>
      <c r="F49" s="42">
        <f t="shared" ca="1" si="46"/>
        <v>0.62299281950480268</v>
      </c>
      <c r="G49" s="42">
        <f t="shared" ca="1" si="46"/>
        <v>0.38513038090840435</v>
      </c>
      <c r="H49" s="42">
        <f t="shared" ca="1" si="46"/>
        <v>0.15890625971348193</v>
      </c>
      <c r="I49" s="42">
        <f t="shared" ca="1" si="46"/>
        <v>0.55271231280101729</v>
      </c>
      <c r="J49" s="43">
        <f ca="1">IF(I49&lt;Inputs!$B$54,1+Inputs!$B$55,1)</f>
        <v>1</v>
      </c>
      <c r="K49" s="42">
        <f t="shared" ca="1" si="47"/>
        <v>0.78909451690386234</v>
      </c>
      <c r="L49" s="42">
        <f t="shared" ca="1" si="47"/>
        <v>0.4043431465938141</v>
      </c>
      <c r="M49" s="42">
        <f t="shared" ca="1" si="47"/>
        <v>0.61724396734284537</v>
      </c>
      <c r="N49" s="42">
        <f t="shared" ca="1" si="47"/>
        <v>0.879966211339133</v>
      </c>
      <c r="O49" s="42">
        <f t="shared" ca="1" si="47"/>
        <v>0.52990560831043021</v>
      </c>
      <c r="P49" s="42">
        <f t="shared" ca="1" si="47"/>
        <v>8.2682994578710201E-2</v>
      </c>
      <c r="Q49" s="42">
        <f t="shared" ca="1" si="47"/>
        <v>0.70744932790462056</v>
      </c>
      <c r="R49" s="42">
        <f t="shared" ca="1" si="47"/>
        <v>6.5780542539503273E-2</v>
      </c>
      <c r="S49" s="42">
        <f t="shared" ca="1" si="47"/>
        <v>0.6335544349303156</v>
      </c>
      <c r="T49" s="42">
        <f t="shared" ca="1" si="47"/>
        <v>0.96680250846857307</v>
      </c>
      <c r="U49" s="44">
        <f ca="1">(IF(D49&gt;=Inputs!$E$12,1,IF(K49&lt;=Inputs!$C$46,Inputs!$D$46,IF(K49&lt;=Inputs!$C$47,Inputs!$D$47,Inputs!$D$48))))*((Inputs!$B$28+(P49-0.5)*2*Inputs!$B$53)/Inputs!$B$28)</f>
        <v>0.99577614366982503</v>
      </c>
      <c r="V49" s="44">
        <f ca="1">(IF(E49&gt;=Inputs!$E$13,1,IF(L49&lt;=Inputs!$C$46,Inputs!$D$46,IF(L49&lt;=Inputs!$C$47,Inputs!$D$47,Inputs!$D$48))))*((Inputs!$B$29+(Q49-0.5)*2*Inputs!$B$53)/Inputs!$B$29)</f>
        <v>1.0020912230635546</v>
      </c>
      <c r="W49" s="44">
        <f ca="1">(IF(F49&gt;=Inputs!$E$14,1,IF(M49&lt;=Inputs!$C$46,Inputs!$D$46,IF(M49&lt;=Inputs!$C$47,Inputs!$D$47,Inputs!$D$48))))*((Inputs!$B$30+(R49-0.5)*2*Inputs!$B$53)/Inputs!$B$30)</f>
        <v>0.99563598535215581</v>
      </c>
      <c r="X49" s="44">
        <f ca="1">(IF(G49&gt;=Inputs!$E$15,1,IF(N49&lt;=Inputs!$C$46,Inputs!$D$46,IF(N49&lt;=Inputs!$C$47,Inputs!$D$47,Inputs!$D$48))))*((Inputs!$B$31+(S49-0.5)*2*Inputs!$B$53)/Inputs!$B$31)</f>
        <v>1.001355882588125</v>
      </c>
      <c r="Y49" s="44">
        <f ca="1">(IF(H49&gt;=Inputs!$E$16,1,IF(O49&lt;=Inputs!$C$46,Inputs!$D$46,IF(O49&lt;=Inputs!$C$47,Inputs!$D$47,Inputs!$D$48))))*((Inputs!$B$32+(T49-0.5)*2*Inputs!$B$53)/Inputs!$B$32)</f>
        <v>1.0046962022984767</v>
      </c>
      <c r="Z49" s="45">
        <f ca="1">ILP_C_HighResilience!$C$9*U49+ILP_C_HighResilience!$C$10*V49+ILP_C_HighResilience!$C$11*W49+ILP_C_HighResilience!$C$12*X49+ILP_C_HighResilience!$C$13*Y49</f>
        <v>17986.878992086036</v>
      </c>
      <c r="AA49" s="45">
        <f ca="1">ILP_C_HighResilience!$D$9*U49+ILP_C_HighResilience!$D$10*V49+ILP_C_HighResilience!$D$11*W49+ILP_C_HighResilience!$D$12*X49+ILP_C_HighResilience!$D$13*Y49</f>
        <v>14999.697131780908</v>
      </c>
      <c r="AB49" s="45">
        <f ca="1">ILP_C_HighResilience!$E$9*U49+ILP_C_HighResilience!$E$10*V49+ILP_C_HighResilience!$E$11*W49+ILP_C_HighResilience!$E$12*X49+ILP_C_HighResilience!$E$13*Y49</f>
        <v>11975.984643457159</v>
      </c>
      <c r="AC49" s="45">
        <f ca="1">Inputs!$B$6*$C49</f>
        <v>20700</v>
      </c>
      <c r="AD49" s="45">
        <f ca="1">Inputs!$B$7*$C49</f>
        <v>17250</v>
      </c>
      <c r="AE49" s="45">
        <f ca="1">Inputs!$B$8*$C49</f>
        <v>13799.999999999998</v>
      </c>
      <c r="AF49" s="45">
        <f t="shared" ca="1" si="28"/>
        <v>2713.1210079139637</v>
      </c>
      <c r="AG49" s="45">
        <f t="shared" ca="1" si="29"/>
        <v>2250.3028682190925</v>
      </c>
      <c r="AH49" s="45">
        <f t="shared" ca="1" si="30"/>
        <v>1824.0153565428391</v>
      </c>
      <c r="AI49" s="45">
        <f t="shared" ca="1" si="31"/>
        <v>6787.4392326758953</v>
      </c>
      <c r="AJ49" s="45">
        <f ca="1">U49*(Inputs!$B$12-ILP_C_HighResilience!$F$9)+V49*(Inputs!$B$13-ILP_C_HighResilience!$F$10)+W49*(Inputs!$B$14-ILP_C_HighResilience!$F$11)+X49*(Inputs!$B$15-ILP_C_HighResilience!$F$12)+Y49*(Inputs!$B$16-ILP_C_HighResilience!$F$13)</f>
        <v>25029.116089395538</v>
      </c>
      <c r="AK49" s="45">
        <f t="shared" ca="1" si="32"/>
        <v>6787.4392326758953</v>
      </c>
      <c r="AL49" s="45">
        <f t="shared" ca="1" si="33"/>
        <v>0</v>
      </c>
      <c r="AM49" s="45">
        <f t="shared" ca="1" si="34"/>
        <v>0</v>
      </c>
      <c r="AN49" s="45">
        <f t="shared" ca="1" si="35"/>
        <v>0</v>
      </c>
      <c r="AO49" s="45">
        <f ca="1">MIN(AL49,Inputs!$B$36)</f>
        <v>0</v>
      </c>
      <c r="AP49" s="45">
        <f ca="1">MIN(AN49,Inputs!$B$36-AO49)</f>
        <v>0</v>
      </c>
      <c r="AQ49" s="45">
        <f ca="1">MIN(AM49,Inputs!$B$36-AO49-AP49)</f>
        <v>0</v>
      </c>
      <c r="AR49" s="45">
        <f t="shared" ca="1" si="36"/>
        <v>0</v>
      </c>
      <c r="AS49" s="45">
        <f t="shared" ca="1" si="37"/>
        <v>0</v>
      </c>
      <c r="AT49" s="45">
        <f t="shared" ca="1" si="38"/>
        <v>0</v>
      </c>
      <c r="AU49" s="45">
        <f t="shared" ca="1" si="39"/>
        <v>0</v>
      </c>
      <c r="AV49" s="46">
        <f ca="1">AU49*Inputs!$B$35</f>
        <v>0</v>
      </c>
      <c r="AW49" s="46">
        <f ca="1">AR49*Inputs!$C$6+AT49*Inputs!$C$7+AS49*Inputs!$C$8</f>
        <v>0</v>
      </c>
      <c r="AX49" s="46">
        <f t="shared" ca="1" si="40"/>
        <v>47592167.782406837</v>
      </c>
      <c r="AY49" s="46">
        <f ca="1">IF(J49&gt;1,($CD$4)*Inputs!$B$55*((Z49+AA49+AB49)/(SUM(ILP_C_HighResilience!$C$9:$E$13))),0)</f>
        <v>0</v>
      </c>
      <c r="AZ49" s="46">
        <f t="shared" ca="1" si="41"/>
        <v>0</v>
      </c>
      <c r="BA49" s="41">
        <f t="shared" ca="1" si="42"/>
        <v>0</v>
      </c>
      <c r="BB49" s="41">
        <f t="shared" ca="1" si="43"/>
        <v>1</v>
      </c>
      <c r="BC49" s="41">
        <f t="shared" ca="1" si="44"/>
        <v>1</v>
      </c>
      <c r="BD49" s="41">
        <f t="shared" ca="1" si="45"/>
        <v>1</v>
      </c>
    </row>
    <row r="50" spans="1:56" ht="15" customHeight="1" x14ac:dyDescent="0.3">
      <c r="A50" s="41">
        <v>43</v>
      </c>
      <c r="B50" s="42">
        <f t="shared" ca="1" si="27"/>
        <v>0.87337131398912971</v>
      </c>
      <c r="C50" s="43">
        <f ca="1">IF(B50&lt;=Inputs!$C$40,Inputs!$D$40,IF(B50&lt;=Inputs!$C$41,Inputs!$D$41,Inputs!$D$42))</f>
        <v>1.1499999999999999</v>
      </c>
      <c r="D50" s="42">
        <f t="shared" ca="1" si="46"/>
        <v>0.61557176666456681</v>
      </c>
      <c r="E50" s="42">
        <f t="shared" ca="1" si="46"/>
        <v>0.82028664356536773</v>
      </c>
      <c r="F50" s="42">
        <f t="shared" ca="1" si="46"/>
        <v>0.32993887204985051</v>
      </c>
      <c r="G50" s="42">
        <f t="shared" ca="1" si="46"/>
        <v>0.56578312436884193</v>
      </c>
      <c r="H50" s="42">
        <f t="shared" ca="1" si="46"/>
        <v>7.9223075004971388E-2</v>
      </c>
      <c r="I50" s="42">
        <f t="shared" ca="1" si="46"/>
        <v>0.59072254363061616</v>
      </c>
      <c r="J50" s="43">
        <f ca="1">IF(I50&lt;Inputs!$B$54,1+Inputs!$B$55,1)</f>
        <v>1</v>
      </c>
      <c r="K50" s="42">
        <f t="shared" ca="1" si="47"/>
        <v>0.48375039928039265</v>
      </c>
      <c r="L50" s="42">
        <f t="shared" ca="1" si="47"/>
        <v>0.79098091015386485</v>
      </c>
      <c r="M50" s="42">
        <f t="shared" ca="1" si="47"/>
        <v>0.9921535655143624</v>
      </c>
      <c r="N50" s="42">
        <f t="shared" ca="1" si="47"/>
        <v>0.25081619990299064</v>
      </c>
      <c r="O50" s="42">
        <f t="shared" ca="1" si="47"/>
        <v>0.84442876079400275</v>
      </c>
      <c r="P50" s="42">
        <f t="shared" ca="1" si="47"/>
        <v>0.76137877865634018</v>
      </c>
      <c r="Q50" s="42">
        <f t="shared" ca="1" si="47"/>
        <v>0.5389919050305565</v>
      </c>
      <c r="R50" s="42">
        <f t="shared" ca="1" si="47"/>
        <v>0.45708963169983374</v>
      </c>
      <c r="S50" s="42">
        <f t="shared" ca="1" si="47"/>
        <v>0.89145617932826748</v>
      </c>
      <c r="T50" s="42">
        <f t="shared" ca="1" si="47"/>
        <v>6.8307202349399243E-2</v>
      </c>
      <c r="U50" s="44">
        <f ca="1">(IF(D50&gt;=Inputs!$E$12,1,IF(K50&lt;=Inputs!$C$46,Inputs!$D$46,IF(K50&lt;=Inputs!$C$47,Inputs!$D$47,Inputs!$D$48))))*((Inputs!$B$28+(P50-0.5)*2*Inputs!$B$53)/Inputs!$B$28)</f>
        <v>1.0026455341969265</v>
      </c>
      <c r="V50" s="44">
        <f ca="1">(IF(E50&gt;=Inputs!$E$13,1,IF(L50&lt;=Inputs!$C$46,Inputs!$D$46,IF(L50&lt;=Inputs!$C$47,Inputs!$D$47,Inputs!$D$48))))*((Inputs!$B$29+(Q50-0.5)*2*Inputs!$B$53)/Inputs!$B$29)</f>
        <v>1.0003930635587759</v>
      </c>
      <c r="W50" s="44">
        <f ca="1">(IF(F50&gt;=Inputs!$E$14,1,IF(M50&lt;=Inputs!$C$46,Inputs!$D$46,IF(M50&lt;=Inputs!$C$47,Inputs!$D$47,Inputs!$D$48))))*((Inputs!$B$30+(R50-0.5)*2*Inputs!$B$53)/Inputs!$B$30)</f>
        <v>0.99956874001708373</v>
      </c>
      <c r="X50" s="44">
        <f ca="1">(IF(G50&gt;=Inputs!$E$15,1,IF(N50&lt;=Inputs!$C$46,Inputs!$D$46,IF(N50&lt;=Inputs!$C$47,Inputs!$D$47,Inputs!$D$48))))*((Inputs!$B$31+(S50-0.5)*2*Inputs!$B$53)/Inputs!$B$31)</f>
        <v>1.0039741744094239</v>
      </c>
      <c r="Y50" s="44">
        <f ca="1">(IF(H50&gt;=Inputs!$E$16,1,IF(O50&lt;=Inputs!$C$46,Inputs!$D$46,IF(O50&lt;=Inputs!$C$47,Inputs!$D$47,Inputs!$D$48))))*((Inputs!$B$32+(T50-0.5)*2*Inputs!$B$53)/Inputs!$B$32)</f>
        <v>0.99565701410814289</v>
      </c>
      <c r="Z50" s="45">
        <f ca="1">ILP_C_HighResilience!$C$9*U50+ILP_C_HighResilience!$C$10*V50+ILP_C_HighResilience!$C$11*W50+ILP_C_HighResilience!$C$12*X50+ILP_C_HighResilience!$C$13*Y50</f>
        <v>18049.076930777315</v>
      </c>
      <c r="AA50" s="45">
        <f ca="1">ILP_C_HighResilience!$D$9*U50+ILP_C_HighResilience!$D$10*V50+ILP_C_HighResilience!$D$11*W50+ILP_C_HighResilience!$D$12*X50+ILP_C_HighResilience!$D$13*Y50</f>
        <v>15018.830148399022</v>
      </c>
      <c r="AB50" s="45">
        <f ca="1">ILP_C_HighResilience!$E$9*U50+ILP_C_HighResilience!$E$10*V50+ILP_C_HighResilience!$E$11*W50+ILP_C_HighResilience!$E$12*X50+ILP_C_HighResilience!$E$13*Y50</f>
        <v>12013.128191615026</v>
      </c>
      <c r="AC50" s="45">
        <f ca="1">Inputs!$B$6*$C50</f>
        <v>20700</v>
      </c>
      <c r="AD50" s="45">
        <f ca="1">Inputs!$B$7*$C50</f>
        <v>17250</v>
      </c>
      <c r="AE50" s="45">
        <f ca="1">Inputs!$B$8*$C50</f>
        <v>13799.999999999998</v>
      </c>
      <c r="AF50" s="45">
        <f t="shared" ca="1" si="28"/>
        <v>2650.9230692226847</v>
      </c>
      <c r="AG50" s="45">
        <f t="shared" ca="1" si="29"/>
        <v>2231.1698516009783</v>
      </c>
      <c r="AH50" s="45">
        <f t="shared" ca="1" si="30"/>
        <v>1786.8718083849726</v>
      </c>
      <c r="AI50" s="45">
        <f t="shared" ca="1" si="31"/>
        <v>6668.9647292086356</v>
      </c>
      <c r="AJ50" s="45">
        <f ca="1">U50*(Inputs!$B$12-ILP_C_HighResilience!$F$9)+V50*(Inputs!$B$13-ILP_C_HighResilience!$F$10)+W50*(Inputs!$B$14-ILP_C_HighResilience!$F$11)+X50*(Inputs!$B$15-ILP_C_HighResilience!$F$12)+Y50*(Inputs!$B$16-ILP_C_HighResilience!$F$13)</f>
        <v>24943.735090939641</v>
      </c>
      <c r="AK50" s="45">
        <f t="shared" ca="1" si="32"/>
        <v>6668.9647292086356</v>
      </c>
      <c r="AL50" s="45">
        <f t="shared" ca="1" si="33"/>
        <v>0</v>
      </c>
      <c r="AM50" s="45">
        <f t="shared" ca="1" si="34"/>
        <v>0</v>
      </c>
      <c r="AN50" s="45">
        <f t="shared" ca="1" si="35"/>
        <v>0</v>
      </c>
      <c r="AO50" s="45">
        <f ca="1">MIN(AL50,Inputs!$B$36)</f>
        <v>0</v>
      </c>
      <c r="AP50" s="45">
        <f ca="1">MIN(AN50,Inputs!$B$36-AO50)</f>
        <v>0</v>
      </c>
      <c r="AQ50" s="45">
        <f ca="1">MIN(AM50,Inputs!$B$36-AO50-AP50)</f>
        <v>0</v>
      </c>
      <c r="AR50" s="45">
        <f t="shared" ca="1" si="36"/>
        <v>0</v>
      </c>
      <c r="AS50" s="45">
        <f t="shared" ca="1" si="37"/>
        <v>0</v>
      </c>
      <c r="AT50" s="45">
        <f t="shared" ca="1" si="38"/>
        <v>0</v>
      </c>
      <c r="AU50" s="45">
        <f t="shared" ca="1" si="39"/>
        <v>0</v>
      </c>
      <c r="AV50" s="46">
        <f ca="1">AU50*Inputs!$B$35</f>
        <v>0</v>
      </c>
      <c r="AW50" s="46">
        <f ca="1">AR50*Inputs!$C$6+AT50*Inputs!$C$7+AS50*Inputs!$C$8</f>
        <v>0</v>
      </c>
      <c r="AX50" s="46">
        <f t="shared" ca="1" si="40"/>
        <v>47717643.374591604</v>
      </c>
      <c r="AY50" s="46">
        <f ca="1">IF(J50&gt;1,($CD$4)*Inputs!$B$55*((Z50+AA50+AB50)/(SUM(ILP_C_HighResilience!$C$9:$E$13))),0)</f>
        <v>0</v>
      </c>
      <c r="AZ50" s="46">
        <f t="shared" ca="1" si="41"/>
        <v>0</v>
      </c>
      <c r="BA50" s="41">
        <f t="shared" ca="1" si="42"/>
        <v>0</v>
      </c>
      <c r="BB50" s="41">
        <f t="shared" ca="1" si="43"/>
        <v>1</v>
      </c>
      <c r="BC50" s="41">
        <f t="shared" ca="1" si="44"/>
        <v>1</v>
      </c>
      <c r="BD50" s="41">
        <f t="shared" ca="1" si="45"/>
        <v>1</v>
      </c>
    </row>
    <row r="51" spans="1:56" ht="15" customHeight="1" x14ac:dyDescent="0.3">
      <c r="A51" s="41">
        <v>44</v>
      </c>
      <c r="B51" s="42">
        <f t="shared" ca="1" si="27"/>
        <v>0.71769894750292673</v>
      </c>
      <c r="C51" s="43">
        <f ca="1">IF(B51&lt;=Inputs!$C$40,Inputs!$D$40,IF(B51&lt;=Inputs!$C$41,Inputs!$D$41,Inputs!$D$42))</f>
        <v>1</v>
      </c>
      <c r="D51" s="42">
        <f t="shared" ca="1" si="46"/>
        <v>0.74656239242791012</v>
      </c>
      <c r="E51" s="42">
        <f t="shared" ca="1" si="46"/>
        <v>0.96515307193465183</v>
      </c>
      <c r="F51" s="42">
        <f t="shared" ca="1" si="46"/>
        <v>7.8723018270465794E-2</v>
      </c>
      <c r="G51" s="42">
        <f t="shared" ca="1" si="46"/>
        <v>0.70461882352691474</v>
      </c>
      <c r="H51" s="42">
        <f t="shared" ca="1" si="46"/>
        <v>0.48242439748568489</v>
      </c>
      <c r="I51" s="42">
        <f t="shared" ca="1" si="46"/>
        <v>0.14879783342884467</v>
      </c>
      <c r="J51" s="43">
        <f ca="1">IF(I51&lt;Inputs!$B$54,1+Inputs!$B$55,1)</f>
        <v>1</v>
      </c>
      <c r="K51" s="42">
        <f t="shared" ca="1" si="47"/>
        <v>8.4601161282319981E-2</v>
      </c>
      <c r="L51" s="42">
        <f t="shared" ca="1" si="47"/>
        <v>7.0754795314430297E-2</v>
      </c>
      <c r="M51" s="42">
        <f t="shared" ca="1" si="47"/>
        <v>0.79923114944171836</v>
      </c>
      <c r="N51" s="42">
        <f t="shared" ca="1" si="47"/>
        <v>0.20716660136323339</v>
      </c>
      <c r="O51" s="42">
        <f t="shared" ca="1" si="47"/>
        <v>0.61455365323869637</v>
      </c>
      <c r="P51" s="42">
        <f t="shared" ca="1" si="47"/>
        <v>0.55884455200558336</v>
      </c>
      <c r="Q51" s="42">
        <f t="shared" ca="1" si="47"/>
        <v>0.43412056198005189</v>
      </c>
      <c r="R51" s="42">
        <f t="shared" ca="1" si="47"/>
        <v>0.4210681240240125</v>
      </c>
      <c r="S51" s="42">
        <f t="shared" ca="1" si="47"/>
        <v>0.19567694068885677</v>
      </c>
      <c r="T51" s="42">
        <f t="shared" ca="1" si="47"/>
        <v>0.95666079327631148</v>
      </c>
      <c r="U51" s="44">
        <f ca="1">(IF(D51&gt;=Inputs!$E$12,1,IF(K51&lt;=Inputs!$C$46,Inputs!$D$46,IF(K51&lt;=Inputs!$C$47,Inputs!$D$47,Inputs!$D$48))))*((Inputs!$B$28+(P51-0.5)*2*Inputs!$B$53)/Inputs!$B$28)</f>
        <v>1.0005955926316354</v>
      </c>
      <c r="V51" s="44">
        <f ca="1">(IF(E51&gt;=Inputs!$E$13,1,IF(L51&lt;=Inputs!$C$46,Inputs!$D$46,IF(L51&lt;=Inputs!$C$47,Inputs!$D$47,Inputs!$D$48))))*((Inputs!$B$29+(Q51-0.5)*2*Inputs!$B$53)/Inputs!$B$29)</f>
        <v>0.99933589276189572</v>
      </c>
      <c r="W51" s="44">
        <f ca="1">(IF(F51&gt;=Inputs!$E$14,1,IF(M51&lt;=Inputs!$C$46,Inputs!$D$46,IF(M51&lt;=Inputs!$C$47,Inputs!$D$47,Inputs!$D$48))))*((Inputs!$B$30+(R51-0.5)*2*Inputs!$B$53)/Inputs!$B$30)</f>
        <v>0.99920671481431167</v>
      </c>
      <c r="X51" s="44">
        <f ca="1">(IF(G51&gt;=Inputs!$E$15,1,IF(N51&lt;=Inputs!$C$46,Inputs!$D$46,IF(N51&lt;=Inputs!$C$47,Inputs!$D$47,Inputs!$D$48))))*((Inputs!$B$31+(S51-0.5)*2*Inputs!$B$53)/Inputs!$B$31)</f>
        <v>0.99691042579379552</v>
      </c>
      <c r="Y51" s="44">
        <f ca="1">(IF(H51&gt;=Inputs!$E$16,1,IF(O51&lt;=Inputs!$C$46,Inputs!$D$46,IF(O51&lt;=Inputs!$C$47,Inputs!$D$47,Inputs!$D$48))))*((Inputs!$B$32+(T51-0.5)*2*Inputs!$B$53)/Inputs!$B$32)</f>
        <v>1.0045941729705865</v>
      </c>
      <c r="Z51" s="45">
        <f ca="1">ILP_C_HighResilience!$C$9*U51+ILP_C_HighResilience!$C$10*V51+ILP_C_HighResilience!$C$11*W51+ILP_C_HighResilience!$C$12*X51+ILP_C_HighResilience!$C$13*Y51</f>
        <v>17979.652546605925</v>
      </c>
      <c r="AA51" s="45">
        <f ca="1">ILP_C_HighResilience!$D$9*U51+ILP_C_HighResilience!$D$10*V51+ILP_C_HighResilience!$D$11*W51+ILP_C_HighResilience!$D$12*X51+ILP_C_HighResilience!$D$13*Y51</f>
        <v>14978.266934625395</v>
      </c>
      <c r="AB51" s="45">
        <f ca="1">ILP_C_HighResilience!$E$9*U51+ILP_C_HighResilience!$E$10*V51+ILP_C_HighResilience!$E$11*W51+ILP_C_HighResilience!$E$12*X51+ILP_C_HighResilience!$E$13*Y51</f>
        <v>11997.701106334132</v>
      </c>
      <c r="AC51" s="45">
        <f ca="1">Inputs!$B$6*$C51</f>
        <v>18000</v>
      </c>
      <c r="AD51" s="45">
        <f ca="1">Inputs!$B$7*$C51</f>
        <v>15000</v>
      </c>
      <c r="AE51" s="45">
        <f ca="1">Inputs!$B$8*$C51</f>
        <v>12000</v>
      </c>
      <c r="AF51" s="45">
        <f t="shared" ca="1" si="28"/>
        <v>20.347453394075274</v>
      </c>
      <c r="AG51" s="45">
        <f t="shared" ca="1" si="29"/>
        <v>21.733065374604848</v>
      </c>
      <c r="AH51" s="45">
        <f t="shared" ca="1" si="30"/>
        <v>2.2988936658675811</v>
      </c>
      <c r="AI51" s="45">
        <f t="shared" ca="1" si="31"/>
        <v>44.379412434547703</v>
      </c>
      <c r="AJ51" s="45">
        <f ca="1">U51*(Inputs!$B$12-ILP_C_HighResilience!$F$9)+V51*(Inputs!$B$13-ILP_C_HighResilience!$F$10)+W51*(Inputs!$B$14-ILP_C_HighResilience!$F$11)+X51*(Inputs!$B$15-ILP_C_HighResilience!$F$12)+Y51*(Inputs!$B$16-ILP_C_HighResilience!$F$13)</f>
        <v>25066.136389877647</v>
      </c>
      <c r="AK51" s="45">
        <f t="shared" ca="1" si="32"/>
        <v>44.379412434547703</v>
      </c>
      <c r="AL51" s="45">
        <f t="shared" ca="1" si="33"/>
        <v>0</v>
      </c>
      <c r="AM51" s="45">
        <f t="shared" ca="1" si="34"/>
        <v>0</v>
      </c>
      <c r="AN51" s="45">
        <f t="shared" ca="1" si="35"/>
        <v>0</v>
      </c>
      <c r="AO51" s="45">
        <f ca="1">MIN(AL51,Inputs!$B$36)</f>
        <v>0</v>
      </c>
      <c r="AP51" s="45">
        <f ca="1">MIN(AN51,Inputs!$B$36-AO51)</f>
        <v>0</v>
      </c>
      <c r="AQ51" s="45">
        <f ca="1">MIN(AM51,Inputs!$B$36-AO51-AP51)</f>
        <v>0</v>
      </c>
      <c r="AR51" s="45">
        <f t="shared" ca="1" si="36"/>
        <v>0</v>
      </c>
      <c r="AS51" s="45">
        <f t="shared" ca="1" si="37"/>
        <v>0</v>
      </c>
      <c r="AT51" s="45">
        <f t="shared" ca="1" si="38"/>
        <v>0</v>
      </c>
      <c r="AU51" s="45">
        <f t="shared" ca="1" si="39"/>
        <v>0</v>
      </c>
      <c r="AV51" s="46">
        <f ca="1">AU51*Inputs!$B$35</f>
        <v>0</v>
      </c>
      <c r="AW51" s="46">
        <f ca="1">AR51*Inputs!$C$6+AT51*Inputs!$C$7+AS51*Inputs!$C$8</f>
        <v>0</v>
      </c>
      <c r="AX51" s="46">
        <f t="shared" ca="1" si="40"/>
        <v>47585904.786762252</v>
      </c>
      <c r="AY51" s="46">
        <f ca="1">IF(J51&gt;1,($CD$4)*Inputs!$B$55*((Z51+AA51+AB51)/(SUM(ILP_C_HighResilience!$C$9:$E$13))),0)</f>
        <v>0</v>
      </c>
      <c r="AZ51" s="46">
        <f t="shared" ca="1" si="41"/>
        <v>0</v>
      </c>
      <c r="BA51" s="41">
        <f t="shared" ca="1" si="42"/>
        <v>0</v>
      </c>
      <c r="BB51" s="41">
        <f t="shared" ca="1" si="43"/>
        <v>1</v>
      </c>
      <c r="BC51" s="41">
        <f t="shared" ca="1" si="44"/>
        <v>1</v>
      </c>
      <c r="BD51" s="41">
        <f t="shared" ca="1" si="45"/>
        <v>1</v>
      </c>
    </row>
    <row r="52" spans="1:56" ht="15" customHeight="1" x14ac:dyDescent="0.3">
      <c r="A52" s="41">
        <v>45</v>
      </c>
      <c r="B52" s="42">
        <f t="shared" ca="1" si="27"/>
        <v>0.5994704576652965</v>
      </c>
      <c r="C52" s="43">
        <f ca="1">IF(B52&lt;=Inputs!$C$40,Inputs!$D$40,IF(B52&lt;=Inputs!$C$41,Inputs!$D$41,Inputs!$D$42))</f>
        <v>1</v>
      </c>
      <c r="D52" s="42">
        <f t="shared" ca="1" si="46"/>
        <v>0.70800495668788355</v>
      </c>
      <c r="E52" s="42">
        <f t="shared" ca="1" si="46"/>
        <v>0.82873284718900109</v>
      </c>
      <c r="F52" s="42">
        <f t="shared" ca="1" si="46"/>
        <v>0.70917896568037087</v>
      </c>
      <c r="G52" s="42">
        <f t="shared" ca="1" si="46"/>
        <v>0.34878621679802002</v>
      </c>
      <c r="H52" s="42">
        <f t="shared" ca="1" si="46"/>
        <v>0.50323291590035224</v>
      </c>
      <c r="I52" s="42">
        <f t="shared" ca="1" si="46"/>
        <v>0.18525537156318861</v>
      </c>
      <c r="J52" s="43">
        <f ca="1">IF(I52&lt;Inputs!$B$54,1+Inputs!$B$55,1)</f>
        <v>1</v>
      </c>
      <c r="K52" s="42">
        <f t="shared" ca="1" si="47"/>
        <v>1.8620360077490905E-2</v>
      </c>
      <c r="L52" s="42">
        <f t="shared" ca="1" si="47"/>
        <v>0.89593288387320724</v>
      </c>
      <c r="M52" s="42">
        <f t="shared" ca="1" si="47"/>
        <v>0.14950660870882881</v>
      </c>
      <c r="N52" s="42">
        <f t="shared" ca="1" si="47"/>
        <v>0.38895131218734014</v>
      </c>
      <c r="O52" s="42">
        <f t="shared" ca="1" si="47"/>
        <v>0.96221618306294732</v>
      </c>
      <c r="P52" s="42">
        <f t="shared" ca="1" si="47"/>
        <v>0.45397666737694597</v>
      </c>
      <c r="Q52" s="42">
        <f t="shared" ca="1" si="47"/>
        <v>0.16676667316267091</v>
      </c>
      <c r="R52" s="42">
        <f t="shared" ca="1" si="47"/>
        <v>0.60457284228648522</v>
      </c>
      <c r="S52" s="42">
        <f t="shared" ca="1" si="47"/>
        <v>0.6186055230003159</v>
      </c>
      <c r="T52" s="42">
        <f t="shared" ca="1" si="47"/>
        <v>0.62741409002591386</v>
      </c>
      <c r="U52" s="44">
        <f ca="1">(IF(D52&gt;=Inputs!$E$12,1,IF(K52&lt;=Inputs!$C$46,Inputs!$D$46,IF(K52&lt;=Inputs!$C$47,Inputs!$D$47,Inputs!$D$48))))*((Inputs!$B$28+(P52-0.5)*2*Inputs!$B$53)/Inputs!$B$28)</f>
        <v>0.9995341767953132</v>
      </c>
      <c r="V52" s="44">
        <f ca="1">(IF(E52&gt;=Inputs!$E$13,1,IF(L52&lt;=Inputs!$C$46,Inputs!$D$46,IF(L52&lt;=Inputs!$C$47,Inputs!$D$47,Inputs!$D$48))))*((Inputs!$B$29+(Q52-0.5)*2*Inputs!$B$53)/Inputs!$B$29)</f>
        <v>0.99664079307623654</v>
      </c>
      <c r="W52" s="44">
        <f ca="1">(IF(F52&gt;=Inputs!$E$14,1,IF(M52&lt;=Inputs!$C$46,Inputs!$D$46,IF(M52&lt;=Inputs!$C$47,Inputs!$D$47,Inputs!$D$48))))*((Inputs!$B$30+(R52-0.5)*2*Inputs!$B$53)/Inputs!$B$30)</f>
        <v>1.0010509833395627</v>
      </c>
      <c r="X52" s="44">
        <f ca="1">(IF(G52&gt;=Inputs!$E$15,1,IF(N52&lt;=Inputs!$C$46,Inputs!$D$46,IF(N52&lt;=Inputs!$C$47,Inputs!$D$47,Inputs!$D$48))))*((Inputs!$B$31+(S52-0.5)*2*Inputs!$B$53)/Inputs!$B$31)</f>
        <v>1.0012041169847747</v>
      </c>
      <c r="Y52" s="44">
        <f ca="1">(IF(H52&gt;=Inputs!$E$16,1,IF(O52&lt;=Inputs!$C$46,Inputs!$D$46,IF(O52&lt;=Inputs!$C$47,Inputs!$D$47,Inputs!$D$48))))*((Inputs!$B$32+(T52-0.5)*2*Inputs!$B$53)/Inputs!$B$32)</f>
        <v>1.0012818318916088</v>
      </c>
      <c r="Z52" s="45">
        <f ca="1">ILP_C_HighResilience!$C$9*U52+ILP_C_HighResilience!$C$10*V52+ILP_C_HighResilience!$C$11*W52+ILP_C_HighResilience!$C$12*X52+ILP_C_HighResilience!$C$13*Y52</f>
        <v>17993.222570291084</v>
      </c>
      <c r="AA52" s="45">
        <f ca="1">ILP_C_HighResilience!$D$9*U52+ILP_C_HighResilience!$D$10*V52+ILP_C_HighResilience!$D$11*W52+ILP_C_HighResilience!$D$12*X52+ILP_C_HighResilience!$D$13*Y52</f>
        <v>14990.011085954362</v>
      </c>
      <c r="AB52" s="45">
        <f ca="1">ILP_C_HighResilience!$E$9*U52+ILP_C_HighResilience!$E$10*V52+ILP_C_HighResilience!$E$11*W52+ILP_C_HighResilience!$E$12*X52+ILP_C_HighResilience!$E$13*Y52</f>
        <v>11986.420232813212</v>
      </c>
      <c r="AC52" s="45">
        <f ca="1">Inputs!$B$6*$C52</f>
        <v>18000</v>
      </c>
      <c r="AD52" s="45">
        <f ca="1">Inputs!$B$7*$C52</f>
        <v>15000</v>
      </c>
      <c r="AE52" s="45">
        <f ca="1">Inputs!$B$8*$C52</f>
        <v>12000</v>
      </c>
      <c r="AF52" s="45">
        <f t="shared" ca="1" si="28"/>
        <v>6.7774297089163156</v>
      </c>
      <c r="AG52" s="45">
        <f t="shared" ca="1" si="29"/>
        <v>9.9889140456380119</v>
      </c>
      <c r="AH52" s="45">
        <f t="shared" ca="1" si="30"/>
        <v>13.579767186787649</v>
      </c>
      <c r="AI52" s="45">
        <f t="shared" ca="1" si="31"/>
        <v>30.346110941341976</v>
      </c>
      <c r="AJ52" s="45">
        <f ca="1">U52*(Inputs!$B$12-ILP_C_HighResilience!$F$9)+V52*(Inputs!$B$13-ILP_C_HighResilience!$F$10)+W52*(Inputs!$B$14-ILP_C_HighResilience!$F$11)+X52*(Inputs!$B$15-ILP_C_HighResilience!$F$12)+Y52*(Inputs!$B$16-ILP_C_HighResilience!$F$13)</f>
        <v>25023.203708339406</v>
      </c>
      <c r="AK52" s="45">
        <f t="shared" ca="1" si="32"/>
        <v>30.346110941341976</v>
      </c>
      <c r="AL52" s="45">
        <f t="shared" ca="1" si="33"/>
        <v>0</v>
      </c>
      <c r="AM52" s="45">
        <f t="shared" ca="1" si="34"/>
        <v>0</v>
      </c>
      <c r="AN52" s="45">
        <f t="shared" ca="1" si="35"/>
        <v>0</v>
      </c>
      <c r="AO52" s="45">
        <f ca="1">MIN(AL52,Inputs!$B$36)</f>
        <v>0</v>
      </c>
      <c r="AP52" s="45">
        <f ca="1">MIN(AN52,Inputs!$B$36-AO52)</f>
        <v>0</v>
      </c>
      <c r="AQ52" s="45">
        <f ca="1">MIN(AM52,Inputs!$B$36-AO52-AP52)</f>
        <v>0</v>
      </c>
      <c r="AR52" s="45">
        <f t="shared" ca="1" si="36"/>
        <v>0</v>
      </c>
      <c r="AS52" s="45">
        <f t="shared" ca="1" si="37"/>
        <v>0</v>
      </c>
      <c r="AT52" s="45">
        <f t="shared" ca="1" si="38"/>
        <v>0</v>
      </c>
      <c r="AU52" s="45">
        <f t="shared" ca="1" si="39"/>
        <v>0</v>
      </c>
      <c r="AV52" s="46">
        <f ca="1">AU52*Inputs!$B$35</f>
        <v>0</v>
      </c>
      <c r="AW52" s="46">
        <f ca="1">AR52*Inputs!$C$6+AT52*Inputs!$C$7+AS52*Inputs!$C$8</f>
        <v>0</v>
      </c>
      <c r="AX52" s="46">
        <f t="shared" ca="1" si="40"/>
        <v>47600008.934574038</v>
      </c>
      <c r="AY52" s="46">
        <f ca="1">IF(J52&gt;1,($CD$4)*Inputs!$B$55*((Z52+AA52+AB52)/(SUM(ILP_C_HighResilience!$C$9:$E$13))),0)</f>
        <v>0</v>
      </c>
      <c r="AZ52" s="46">
        <f t="shared" ca="1" si="41"/>
        <v>0</v>
      </c>
      <c r="BA52" s="41">
        <f t="shared" ca="1" si="42"/>
        <v>0</v>
      </c>
      <c r="BB52" s="41">
        <f t="shared" ca="1" si="43"/>
        <v>1</v>
      </c>
      <c r="BC52" s="41">
        <f t="shared" ca="1" si="44"/>
        <v>1</v>
      </c>
      <c r="BD52" s="41">
        <f t="shared" ca="1" si="45"/>
        <v>1</v>
      </c>
    </row>
    <row r="53" spans="1:56" ht="15" customHeight="1" x14ac:dyDescent="0.3">
      <c r="A53" s="41">
        <v>46</v>
      </c>
      <c r="B53" s="42">
        <f t="shared" ca="1" si="27"/>
        <v>5.6973581715368482E-2</v>
      </c>
      <c r="C53" s="43">
        <f ca="1">IF(B53&lt;=Inputs!$C$40,Inputs!$D$40,IF(B53&lt;=Inputs!$C$41,Inputs!$D$41,Inputs!$D$42))</f>
        <v>0.9</v>
      </c>
      <c r="D53" s="42">
        <f t="shared" ca="1" si="46"/>
        <v>0.94277451759985453</v>
      </c>
      <c r="E53" s="42">
        <f t="shared" ca="1" si="46"/>
        <v>5.3268225438302341E-2</v>
      </c>
      <c r="F53" s="42">
        <f t="shared" ca="1" si="46"/>
        <v>0.91038357534481518</v>
      </c>
      <c r="G53" s="42">
        <f t="shared" ca="1" si="46"/>
        <v>7.5000234459388082E-3</v>
      </c>
      <c r="H53" s="42">
        <f t="shared" ca="1" si="46"/>
        <v>1.8356403107059993E-2</v>
      </c>
      <c r="I53" s="42">
        <f t="shared" ca="1" si="46"/>
        <v>0.20466394827921242</v>
      </c>
      <c r="J53" s="43">
        <f ca="1">IF(I53&lt;Inputs!$B$54,1+Inputs!$B$55,1)</f>
        <v>1</v>
      </c>
      <c r="K53" s="42">
        <f t="shared" ca="1" si="47"/>
        <v>0.92467695819681539</v>
      </c>
      <c r="L53" s="42">
        <f t="shared" ca="1" si="47"/>
        <v>0.22430558984265314</v>
      </c>
      <c r="M53" s="42">
        <f t="shared" ca="1" si="47"/>
        <v>0.53142596194848268</v>
      </c>
      <c r="N53" s="42">
        <f t="shared" ca="1" si="47"/>
        <v>0.490950598072741</v>
      </c>
      <c r="O53" s="42">
        <f t="shared" ca="1" si="47"/>
        <v>5.111843044862896E-2</v>
      </c>
      <c r="P53" s="42">
        <f t="shared" ca="1" si="47"/>
        <v>0.36089756433921349</v>
      </c>
      <c r="Q53" s="42">
        <f t="shared" ca="1" si="47"/>
        <v>0.64167314850615265</v>
      </c>
      <c r="R53" s="42">
        <f t="shared" ca="1" si="47"/>
        <v>0.71047896531114274</v>
      </c>
      <c r="S53" s="42">
        <f t="shared" ca="1" si="47"/>
        <v>0.41259521817464406</v>
      </c>
      <c r="T53" s="42">
        <f t="shared" ca="1" si="47"/>
        <v>6.9680548782065088E-2</v>
      </c>
      <c r="U53" s="44">
        <f ca="1">(IF(D53&gt;=Inputs!$E$12,1,IF(K53&lt;=Inputs!$C$46,Inputs!$D$46,IF(K53&lt;=Inputs!$C$47,Inputs!$D$47,Inputs!$D$48))))*((Inputs!$B$28+(P53-0.5)*2*Inputs!$B$53)/Inputs!$B$28)</f>
        <v>0.9985920806107208</v>
      </c>
      <c r="V53" s="44">
        <f ca="1">(IF(E53&gt;=Inputs!$E$13,1,IF(L53&lt;=Inputs!$C$46,Inputs!$D$46,IF(L53&lt;=Inputs!$C$47,Inputs!$D$47,Inputs!$D$48))))*((Inputs!$B$29+(Q53-0.5)*2*Inputs!$B$53)/Inputs!$B$29)</f>
        <v>0.60085689404338394</v>
      </c>
      <c r="W53" s="44">
        <f ca="1">(IF(F53&gt;=Inputs!$E$14,1,IF(M53&lt;=Inputs!$C$46,Inputs!$D$46,IF(M53&lt;=Inputs!$C$47,Inputs!$D$47,Inputs!$D$48))))*((Inputs!$B$30+(R53-0.5)*2*Inputs!$B$53)/Inputs!$B$30)</f>
        <v>1.0021153664855391</v>
      </c>
      <c r="X53" s="44">
        <f ca="1">(IF(G53&gt;=Inputs!$E$15,1,IF(N53&lt;=Inputs!$C$46,Inputs!$D$46,IF(N53&lt;=Inputs!$C$47,Inputs!$D$47,Inputs!$D$48))))*((Inputs!$B$31+(S53-0.5)*2*Inputs!$B$53)/Inputs!$B$31)</f>
        <v>0.29973379254266391</v>
      </c>
      <c r="Y53" s="44">
        <f ca="1">(IF(H53&gt;=Inputs!$E$16,1,IF(O53&lt;=Inputs!$C$46,Inputs!$D$46,IF(O53&lt;=Inputs!$C$47,Inputs!$D$47,Inputs!$D$48))))*((Inputs!$B$32+(T53-0.5)*2*Inputs!$B$53)/Inputs!$B$32)</f>
        <v>0.59740249828238667</v>
      </c>
      <c r="Z53" s="45">
        <f ca="1">ILP_C_HighResilience!$C$9*U53+ILP_C_HighResilience!$C$10*V53+ILP_C_HighResilience!$C$11*W53+ILP_C_HighResilience!$C$12*X53+ILP_C_HighResilience!$C$13*Y53</f>
        <v>11511.031105260552</v>
      </c>
      <c r="AA53" s="45">
        <f ca="1">ILP_C_HighResilience!$D$9*U53+ILP_C_HighResilience!$D$10*V53+ILP_C_HighResilience!$D$11*W53+ILP_C_HighResilience!$D$12*X53+ILP_C_HighResilience!$D$13*Y53</f>
        <v>9379.1767910140734</v>
      </c>
      <c r="AB53" s="45">
        <f ca="1">ILP_C_HighResilience!$E$9*U53+ILP_C_HighResilience!$E$10*V53+ILP_C_HighResilience!$E$11*W53+ILP_C_HighResilience!$E$12*X53+ILP_C_HighResilience!$E$13*Y53</f>
        <v>10287.87629579538</v>
      </c>
      <c r="AC53" s="45">
        <f ca="1">Inputs!$B$6*$C53</f>
        <v>16200</v>
      </c>
      <c r="AD53" s="45">
        <f ca="1">Inputs!$B$7*$C53</f>
        <v>13500</v>
      </c>
      <c r="AE53" s="45">
        <f ca="1">Inputs!$B$8*$C53</f>
        <v>10800</v>
      </c>
      <c r="AF53" s="45">
        <f t="shared" ca="1" si="28"/>
        <v>4688.9688947394479</v>
      </c>
      <c r="AG53" s="45">
        <f t="shared" ca="1" si="29"/>
        <v>4120.8232089859266</v>
      </c>
      <c r="AH53" s="45">
        <f t="shared" ca="1" si="30"/>
        <v>512.12370420461957</v>
      </c>
      <c r="AI53" s="45">
        <f t="shared" ca="1" si="31"/>
        <v>9321.9158079299941</v>
      </c>
      <c r="AJ53" s="45">
        <f ca="1">U53*(Inputs!$B$12-ILP_C_HighResilience!$F$9)+V53*(Inputs!$B$13-ILP_C_HighResilience!$F$10)+W53*(Inputs!$B$14-ILP_C_HighResilience!$F$11)+X53*(Inputs!$B$15-ILP_C_HighResilience!$F$12)+Y53*(Inputs!$B$16-ILP_C_HighResilience!$F$13)</f>
        <v>18796.728363368678</v>
      </c>
      <c r="AK53" s="45">
        <f t="shared" ca="1" si="32"/>
        <v>9321.9158079299941</v>
      </c>
      <c r="AL53" s="45">
        <f t="shared" ca="1" si="33"/>
        <v>0</v>
      </c>
      <c r="AM53" s="45">
        <f t="shared" ca="1" si="34"/>
        <v>0</v>
      </c>
      <c r="AN53" s="45">
        <f t="shared" ca="1" si="35"/>
        <v>0</v>
      </c>
      <c r="AO53" s="45">
        <f ca="1">MIN(AL53,Inputs!$B$36)</f>
        <v>0</v>
      </c>
      <c r="AP53" s="45">
        <f ca="1">MIN(AN53,Inputs!$B$36-AO53)</f>
        <v>0</v>
      </c>
      <c r="AQ53" s="45">
        <f ca="1">MIN(AM53,Inputs!$B$36-AO53-AP53)</f>
        <v>0</v>
      </c>
      <c r="AR53" s="45">
        <f t="shared" ca="1" si="36"/>
        <v>0</v>
      </c>
      <c r="AS53" s="45">
        <f t="shared" ca="1" si="37"/>
        <v>0</v>
      </c>
      <c r="AT53" s="45">
        <f t="shared" ca="1" si="38"/>
        <v>0</v>
      </c>
      <c r="AU53" s="45">
        <f t="shared" ca="1" si="39"/>
        <v>0</v>
      </c>
      <c r="AV53" s="46">
        <f ca="1">AU53*Inputs!$B$35</f>
        <v>0</v>
      </c>
      <c r="AW53" s="46">
        <f ca="1">AR53*Inputs!$C$6+AT53*Inputs!$C$7+AS53*Inputs!$C$8</f>
        <v>0</v>
      </c>
      <c r="AX53" s="46">
        <f t="shared" ca="1" si="40"/>
        <v>33099509.353812855</v>
      </c>
      <c r="AY53" s="46">
        <f ca="1">IF(J53&gt;1,($CD$4)*Inputs!$B$55*((Z53+AA53+AB53)/(SUM(ILP_C_HighResilience!$C$9:$E$13))),0)</f>
        <v>0</v>
      </c>
      <c r="AZ53" s="46">
        <f t="shared" ca="1" si="41"/>
        <v>0</v>
      </c>
      <c r="BA53" s="41">
        <f t="shared" ca="1" si="42"/>
        <v>0</v>
      </c>
      <c r="BB53" s="41">
        <f t="shared" ca="1" si="43"/>
        <v>1</v>
      </c>
      <c r="BC53" s="41">
        <f t="shared" ca="1" si="44"/>
        <v>1</v>
      </c>
      <c r="BD53" s="41">
        <f t="shared" ca="1" si="45"/>
        <v>1</v>
      </c>
    </row>
    <row r="54" spans="1:56" ht="15" customHeight="1" x14ac:dyDescent="0.3">
      <c r="A54" s="41">
        <v>47</v>
      </c>
      <c r="B54" s="42">
        <f t="shared" ca="1" si="27"/>
        <v>0.79519418432748534</v>
      </c>
      <c r="C54" s="43">
        <f ca="1">IF(B54&lt;=Inputs!$C$40,Inputs!$D$40,IF(B54&lt;=Inputs!$C$41,Inputs!$D$41,Inputs!$D$42))</f>
        <v>1.1499999999999999</v>
      </c>
      <c r="D54" s="42">
        <f t="shared" ca="1" si="46"/>
        <v>0.47751245796602426</v>
      </c>
      <c r="E54" s="42">
        <f t="shared" ca="1" si="46"/>
        <v>0.53734058831334475</v>
      </c>
      <c r="F54" s="42">
        <f t="shared" ca="1" si="46"/>
        <v>0.21607257034337268</v>
      </c>
      <c r="G54" s="42">
        <f t="shared" ca="1" si="46"/>
        <v>0.13934780045627648</v>
      </c>
      <c r="H54" s="42">
        <f t="shared" ca="1" si="46"/>
        <v>0.47980038463733354</v>
      </c>
      <c r="I54" s="42">
        <f t="shared" ca="1" si="46"/>
        <v>0.88786648568440341</v>
      </c>
      <c r="J54" s="43">
        <f ca="1">IF(I54&lt;Inputs!$B$54,1+Inputs!$B$55,1)</f>
        <v>1</v>
      </c>
      <c r="K54" s="42">
        <f t="shared" ca="1" si="47"/>
        <v>1.7954628806225448E-2</v>
      </c>
      <c r="L54" s="42">
        <f t="shared" ca="1" si="47"/>
        <v>0.61958654556656689</v>
      </c>
      <c r="M54" s="42">
        <f t="shared" ca="1" si="47"/>
        <v>0.15842723286396998</v>
      </c>
      <c r="N54" s="42">
        <f t="shared" ca="1" si="47"/>
        <v>0.85441677416836292</v>
      </c>
      <c r="O54" s="42">
        <f t="shared" ca="1" si="47"/>
        <v>0.20729645395696827</v>
      </c>
      <c r="P54" s="42">
        <f t="shared" ca="1" si="47"/>
        <v>0.87501848184413789</v>
      </c>
      <c r="Q54" s="42">
        <f t="shared" ca="1" si="47"/>
        <v>0.14153314154729979</v>
      </c>
      <c r="R54" s="42">
        <f t="shared" ca="1" si="47"/>
        <v>0.82535587128841925</v>
      </c>
      <c r="S54" s="42">
        <f t="shared" ca="1" si="47"/>
        <v>0.80649421759960149</v>
      </c>
      <c r="T54" s="42">
        <f t="shared" ca="1" si="47"/>
        <v>0.97009726224387016</v>
      </c>
      <c r="U54" s="44">
        <f ca="1">(IF(D54&gt;=Inputs!$E$12,1,IF(K54&lt;=Inputs!$C$46,Inputs!$D$46,IF(K54&lt;=Inputs!$C$47,Inputs!$D$47,Inputs!$D$48))))*((Inputs!$B$28+(P54-0.5)*2*Inputs!$B$53)/Inputs!$B$28)</f>
        <v>1.0037957336219041</v>
      </c>
      <c r="V54" s="44">
        <f ca="1">(IF(E54&gt;=Inputs!$E$13,1,IF(L54&lt;=Inputs!$C$46,Inputs!$D$46,IF(L54&lt;=Inputs!$C$47,Inputs!$D$47,Inputs!$D$48))))*((Inputs!$B$29+(Q54-0.5)*2*Inputs!$B$53)/Inputs!$B$29)</f>
        <v>0.99638642279785583</v>
      </c>
      <c r="W54" s="44">
        <f ca="1">(IF(F54&gt;=Inputs!$E$14,1,IF(M54&lt;=Inputs!$C$46,Inputs!$D$46,IF(M54&lt;=Inputs!$C$47,Inputs!$D$47,Inputs!$D$48))))*((Inputs!$B$30+(R54-0.5)*2*Inputs!$B$53)/Inputs!$B$30)</f>
        <v>1.003269908254155</v>
      </c>
      <c r="X54" s="44">
        <f ca="1">(IF(G54&gt;=Inputs!$E$15,1,IF(N54&lt;=Inputs!$C$46,Inputs!$D$46,IF(N54&lt;=Inputs!$C$47,Inputs!$D$47,Inputs!$D$48))))*((Inputs!$B$31+(S54-0.5)*2*Inputs!$B$53)/Inputs!$B$31)</f>
        <v>0</v>
      </c>
      <c r="Y54" s="44">
        <f ca="1">(IF(H54&gt;=Inputs!$E$16,1,IF(O54&lt;=Inputs!$C$46,Inputs!$D$46,IF(O54&lt;=Inputs!$C$47,Inputs!$D$47,Inputs!$D$48))))*((Inputs!$B$32+(T54-0.5)*2*Inputs!$B$53)/Inputs!$B$32)</f>
        <v>1.0047293487147271</v>
      </c>
      <c r="Z54" s="45">
        <f ca="1">ILP_C_HighResilience!$C$9*U54+ILP_C_HighResilience!$C$10*V54+ILP_C_HighResilience!$C$11*W54+ILP_C_HighResilience!$C$12*X54+ILP_C_HighResilience!$C$13*Y54</f>
        <v>10814.32040414999</v>
      </c>
      <c r="AA54" s="45">
        <f ca="1">ILP_C_HighResilience!$D$9*U54+ILP_C_HighResilience!$D$10*V54+ILP_C_HighResilience!$D$11*W54+ILP_C_HighResilience!$D$12*X54+ILP_C_HighResilience!$D$13*Y54</f>
        <v>10372.640734940334</v>
      </c>
      <c r="AB54" s="45">
        <f ca="1">ILP_C_HighResilience!$E$9*U54+ILP_C_HighResilience!$E$10*V54+ILP_C_HighResilience!$E$11*W54+ILP_C_HighResilience!$E$12*X54+ILP_C_HighResilience!$E$13*Y54</f>
        <v>12012.246475178445</v>
      </c>
      <c r="AC54" s="45">
        <f ca="1">Inputs!$B$6*$C54</f>
        <v>20700</v>
      </c>
      <c r="AD54" s="45">
        <f ca="1">Inputs!$B$7*$C54</f>
        <v>17250</v>
      </c>
      <c r="AE54" s="45">
        <f ca="1">Inputs!$B$8*$C54</f>
        <v>13799.999999999998</v>
      </c>
      <c r="AF54" s="45">
        <f t="shared" ca="1" si="28"/>
        <v>9885.6795958500097</v>
      </c>
      <c r="AG54" s="45">
        <f t="shared" ca="1" si="29"/>
        <v>6877.3592650596656</v>
      </c>
      <c r="AH54" s="45">
        <f t="shared" ca="1" si="30"/>
        <v>1787.7535248215536</v>
      </c>
      <c r="AI54" s="45">
        <f t="shared" ca="1" si="31"/>
        <v>18550.792385731231</v>
      </c>
      <c r="AJ54" s="45">
        <f ca="1">U54*(Inputs!$B$12-ILP_C_HighResilience!$F$9)+V54*(Inputs!$B$13-ILP_C_HighResilience!$F$10)+W54*(Inputs!$B$14-ILP_C_HighResilience!$F$11)+X54*(Inputs!$B$15-ILP_C_HighResilience!$F$12)+Y54*(Inputs!$B$16-ILP_C_HighResilience!$F$13)</f>
        <v>24924.3830808766</v>
      </c>
      <c r="AK54" s="45">
        <f t="shared" ca="1" si="32"/>
        <v>18550.792385731231</v>
      </c>
      <c r="AL54" s="45">
        <f t="shared" ca="1" si="33"/>
        <v>0</v>
      </c>
      <c r="AM54" s="45">
        <f t="shared" ca="1" si="34"/>
        <v>0</v>
      </c>
      <c r="AN54" s="45">
        <f t="shared" ca="1" si="35"/>
        <v>0</v>
      </c>
      <c r="AO54" s="45">
        <f ca="1">MIN(AL54,Inputs!$B$36)</f>
        <v>0</v>
      </c>
      <c r="AP54" s="45">
        <f ca="1">MIN(AN54,Inputs!$B$36-AO54)</f>
        <v>0</v>
      </c>
      <c r="AQ54" s="45">
        <f ca="1">MIN(AM54,Inputs!$B$36-AO54-AP54)</f>
        <v>0</v>
      </c>
      <c r="AR54" s="45">
        <f t="shared" ca="1" si="36"/>
        <v>0</v>
      </c>
      <c r="AS54" s="45">
        <f t="shared" ca="1" si="37"/>
        <v>0</v>
      </c>
      <c r="AT54" s="45">
        <f t="shared" ca="1" si="38"/>
        <v>0</v>
      </c>
      <c r="AU54" s="45">
        <f t="shared" ca="1" si="39"/>
        <v>0</v>
      </c>
      <c r="AV54" s="46">
        <f ca="1">AU54*Inputs!$B$35</f>
        <v>0</v>
      </c>
      <c r="AW54" s="46">
        <f ca="1">AR54*Inputs!$C$6+AT54*Inputs!$C$7+AS54*Inputs!$C$8</f>
        <v>0</v>
      </c>
      <c r="AX54" s="46">
        <f t="shared" ca="1" si="40"/>
        <v>35308264.577354871</v>
      </c>
      <c r="AY54" s="46">
        <f ca="1">IF(J54&gt;1,($CD$4)*Inputs!$B$55*((Z54+AA54+AB54)/(SUM(ILP_C_HighResilience!$C$9:$E$13))),0)</f>
        <v>0</v>
      </c>
      <c r="AZ54" s="46">
        <f t="shared" ca="1" si="41"/>
        <v>0</v>
      </c>
      <c r="BA54" s="41">
        <f t="shared" ca="1" si="42"/>
        <v>0</v>
      </c>
      <c r="BB54" s="41">
        <f t="shared" ca="1" si="43"/>
        <v>1</v>
      </c>
      <c r="BC54" s="41">
        <f t="shared" ca="1" si="44"/>
        <v>1</v>
      </c>
      <c r="BD54" s="41">
        <f t="shared" ca="1" si="45"/>
        <v>1</v>
      </c>
    </row>
    <row r="55" spans="1:56" ht="15" customHeight="1" x14ac:dyDescent="0.3">
      <c r="A55" s="41">
        <v>48</v>
      </c>
      <c r="B55" s="42">
        <f t="shared" ca="1" si="27"/>
        <v>9.2595075816040096E-2</v>
      </c>
      <c r="C55" s="43">
        <f ca="1">IF(B55&lt;=Inputs!$C$40,Inputs!$D$40,IF(B55&lt;=Inputs!$C$41,Inputs!$D$41,Inputs!$D$42))</f>
        <v>0.9</v>
      </c>
      <c r="D55" s="42">
        <f t="shared" ca="1" si="46"/>
        <v>5.8090168868925263E-2</v>
      </c>
      <c r="E55" s="42">
        <f t="shared" ca="1" si="46"/>
        <v>0.22805211940798698</v>
      </c>
      <c r="F55" s="42">
        <f t="shared" ca="1" si="46"/>
        <v>0.38979344477077238</v>
      </c>
      <c r="G55" s="42">
        <f t="shared" ca="1" si="46"/>
        <v>0.5521999745408317</v>
      </c>
      <c r="H55" s="42">
        <f t="shared" ca="1" si="46"/>
        <v>0.24721415562016036</v>
      </c>
      <c r="I55" s="42">
        <f t="shared" ca="1" si="46"/>
        <v>0.55887841305604158</v>
      </c>
      <c r="J55" s="43">
        <f ca="1">IF(I55&lt;Inputs!$B$54,1+Inputs!$B$55,1)</f>
        <v>1</v>
      </c>
      <c r="K55" s="42">
        <f t="shared" ca="1" si="47"/>
        <v>0.28181108932668908</v>
      </c>
      <c r="L55" s="42">
        <f t="shared" ca="1" si="47"/>
        <v>0.17645430156387365</v>
      </c>
      <c r="M55" s="42">
        <f t="shared" ca="1" si="47"/>
        <v>0.60711764569546456</v>
      </c>
      <c r="N55" s="42">
        <f t="shared" ca="1" si="47"/>
        <v>0.45088779899736087</v>
      </c>
      <c r="O55" s="42">
        <f t="shared" ca="1" si="47"/>
        <v>0.46487673556526365</v>
      </c>
      <c r="P55" s="42">
        <f t="shared" ca="1" si="47"/>
        <v>0.9520403514378476</v>
      </c>
      <c r="Q55" s="42">
        <f t="shared" ca="1" si="47"/>
        <v>0.79560331234997239</v>
      </c>
      <c r="R55" s="42">
        <f t="shared" ca="1" si="47"/>
        <v>0.22774688924055531</v>
      </c>
      <c r="S55" s="42">
        <f t="shared" ca="1" si="47"/>
        <v>0.81268429815372834</v>
      </c>
      <c r="T55" s="42">
        <f t="shared" ca="1" si="47"/>
        <v>0.33481706325771488</v>
      </c>
      <c r="U55" s="44">
        <f ca="1">(IF(D55&gt;=Inputs!$E$12,1,IF(K55&lt;=Inputs!$C$46,Inputs!$D$46,IF(K55&lt;=Inputs!$C$47,Inputs!$D$47,Inputs!$D$48))))*((Inputs!$B$28+(P55-0.5)*2*Inputs!$B$53)/Inputs!$B$28)</f>
        <v>0.60274518432047275</v>
      </c>
      <c r="V55" s="44">
        <f ca="1">(IF(E55&gt;=Inputs!$E$13,1,IF(L55&lt;=Inputs!$C$46,Inputs!$D$46,IF(L55&lt;=Inputs!$C$47,Inputs!$D$47,Inputs!$D$48))))*((Inputs!$B$29+(Q55-0.5)*2*Inputs!$B$53)/Inputs!$B$29)</f>
        <v>1.002979872100302</v>
      </c>
      <c r="W55" s="44">
        <f ca="1">(IF(F55&gt;=Inputs!$E$14,1,IF(M55&lt;=Inputs!$C$46,Inputs!$D$46,IF(M55&lt;=Inputs!$C$47,Inputs!$D$47,Inputs!$D$48))))*((Inputs!$B$30+(R55-0.5)*2*Inputs!$B$53)/Inputs!$B$30)</f>
        <v>0.99726378783156333</v>
      </c>
      <c r="X55" s="44">
        <f ca="1">(IF(G55&gt;=Inputs!$E$15,1,IF(N55&lt;=Inputs!$C$46,Inputs!$D$46,IF(N55&lt;=Inputs!$C$47,Inputs!$D$47,Inputs!$D$48))))*((Inputs!$B$31+(S55-0.5)*2*Inputs!$B$53)/Inputs!$B$31)</f>
        <v>1.0031744598797334</v>
      </c>
      <c r="Y55" s="44">
        <f ca="1">(IF(H55&gt;=Inputs!$E$16,1,IF(O55&lt;=Inputs!$C$46,Inputs!$D$46,IF(O55&lt;=Inputs!$C$47,Inputs!$D$47,Inputs!$D$48))))*((Inputs!$B$32+(T55-0.5)*2*Inputs!$B$53)/Inputs!$B$32)</f>
        <v>0.99833819983156658</v>
      </c>
      <c r="Z55" s="45">
        <f ca="1">ILP_C_HighResilience!$C$9*U55+ILP_C_HighResilience!$C$10*V55+ILP_C_HighResilience!$C$11*W55+ILP_C_HighResilience!$C$12*X55+ILP_C_HighResilience!$C$13*Y55</f>
        <v>15173.348977802572</v>
      </c>
      <c r="AA55" s="45">
        <f ca="1">ILP_C_HighResilience!$D$9*U55+ILP_C_HighResilience!$D$10*V55+ILP_C_HighResilience!$D$11*W55+ILP_C_HighResilience!$D$12*X55+ILP_C_HighResilience!$D$13*Y55</f>
        <v>15020.560627948427</v>
      </c>
      <c r="AB55" s="45">
        <f ca="1">ILP_C_HighResilience!$E$9*U55+ILP_C_HighResilience!$E$10*V55+ILP_C_HighResilience!$E$11*W55+ILP_C_HighResilience!$E$12*X55+ILP_C_HighResilience!$E$13*Y55</f>
        <v>10097.986726469877</v>
      </c>
      <c r="AC55" s="45">
        <f ca="1">Inputs!$B$6*$C55</f>
        <v>16200</v>
      </c>
      <c r="AD55" s="45">
        <f ca="1">Inputs!$B$7*$C55</f>
        <v>13500</v>
      </c>
      <c r="AE55" s="45">
        <f ca="1">Inputs!$B$8*$C55</f>
        <v>10800</v>
      </c>
      <c r="AF55" s="45">
        <f t="shared" ca="1" si="28"/>
        <v>1026.6510221974277</v>
      </c>
      <c r="AG55" s="45">
        <f t="shared" ca="1" si="29"/>
        <v>0</v>
      </c>
      <c r="AH55" s="45">
        <f t="shared" ca="1" si="30"/>
        <v>702.01327353012312</v>
      </c>
      <c r="AI55" s="45">
        <f t="shared" ca="1" si="31"/>
        <v>1728.6642957275508</v>
      </c>
      <c r="AJ55" s="45">
        <f ca="1">U55*(Inputs!$B$12-ILP_C_HighResilience!$F$9)+V55*(Inputs!$B$13-ILP_C_HighResilience!$F$10)+W55*(Inputs!$B$14-ILP_C_HighResilience!$F$11)+X55*(Inputs!$B$15-ILP_C_HighResilience!$F$12)+Y55*(Inputs!$B$16-ILP_C_HighResilience!$F$13)</f>
        <v>23371.340584151541</v>
      </c>
      <c r="AK55" s="45">
        <f t="shared" ca="1" si="32"/>
        <v>1728.6642957275508</v>
      </c>
      <c r="AL55" s="45">
        <f t="shared" ca="1" si="33"/>
        <v>0</v>
      </c>
      <c r="AM55" s="45">
        <f t="shared" ca="1" si="34"/>
        <v>0</v>
      </c>
      <c r="AN55" s="45">
        <f t="shared" ca="1" si="35"/>
        <v>0</v>
      </c>
      <c r="AO55" s="45">
        <f ca="1">MIN(AL55,Inputs!$B$36)</f>
        <v>0</v>
      </c>
      <c r="AP55" s="45">
        <f ca="1">MIN(AN55,Inputs!$B$36-AO55)</f>
        <v>0</v>
      </c>
      <c r="AQ55" s="45">
        <f ca="1">MIN(AM55,Inputs!$B$36-AO55-AP55)</f>
        <v>0</v>
      </c>
      <c r="AR55" s="45">
        <f t="shared" ca="1" si="36"/>
        <v>0</v>
      </c>
      <c r="AS55" s="45">
        <f t="shared" ca="1" si="37"/>
        <v>0</v>
      </c>
      <c r="AT55" s="45">
        <f t="shared" ca="1" si="38"/>
        <v>0</v>
      </c>
      <c r="AU55" s="45">
        <f t="shared" ca="1" si="39"/>
        <v>0</v>
      </c>
      <c r="AV55" s="46">
        <f ca="1">AU55*Inputs!$B$35</f>
        <v>0</v>
      </c>
      <c r="AW55" s="46">
        <f ca="1">AR55*Inputs!$C$6+AT55*Inputs!$C$7+AS55*Inputs!$C$8</f>
        <v>0</v>
      </c>
      <c r="AX55" s="46">
        <f t="shared" ca="1" si="40"/>
        <v>42631601.507751018</v>
      </c>
      <c r="AY55" s="46">
        <f ca="1">IF(J55&gt;1,($CD$4)*Inputs!$B$55*((Z55+AA55+AB55)/(SUM(ILP_C_HighResilience!$C$9:$E$13))),0)</f>
        <v>0</v>
      </c>
      <c r="AZ55" s="46">
        <f t="shared" ca="1" si="41"/>
        <v>0</v>
      </c>
      <c r="BA55" s="41">
        <f t="shared" ca="1" si="42"/>
        <v>0</v>
      </c>
      <c r="BB55" s="41">
        <f t="shared" ca="1" si="43"/>
        <v>1</v>
      </c>
      <c r="BC55" s="41">
        <f t="shared" ca="1" si="44"/>
        <v>1</v>
      </c>
      <c r="BD55" s="41">
        <f t="shared" ca="1" si="45"/>
        <v>1</v>
      </c>
    </row>
    <row r="56" spans="1:56" ht="15" customHeight="1" x14ac:dyDescent="0.3">
      <c r="A56" s="41">
        <v>49</v>
      </c>
      <c r="B56" s="42">
        <f t="shared" ca="1" si="27"/>
        <v>0.76640184674470146</v>
      </c>
      <c r="C56" s="43">
        <f ca="1">IF(B56&lt;=Inputs!$C$40,Inputs!$D$40,IF(B56&lt;=Inputs!$C$41,Inputs!$D$41,Inputs!$D$42))</f>
        <v>1.1499999999999999</v>
      </c>
      <c r="D56" s="42">
        <f t="shared" ca="1" si="46"/>
        <v>0.85470126882941455</v>
      </c>
      <c r="E56" s="42">
        <f t="shared" ca="1" si="46"/>
        <v>0.91927228940321015</v>
      </c>
      <c r="F56" s="42">
        <f t="shared" ca="1" si="46"/>
        <v>0.94368740971784271</v>
      </c>
      <c r="G56" s="42">
        <f t="shared" ca="1" si="46"/>
        <v>0.43911140005140015</v>
      </c>
      <c r="H56" s="42">
        <f t="shared" ca="1" si="46"/>
        <v>0.99079028178390938</v>
      </c>
      <c r="I56" s="42">
        <f t="shared" ca="1" si="46"/>
        <v>0.1209480531934678</v>
      </c>
      <c r="J56" s="43">
        <f ca="1">IF(I56&lt;Inputs!$B$54,1+Inputs!$B$55,1)</f>
        <v>1</v>
      </c>
      <c r="K56" s="42">
        <f t="shared" ca="1" si="47"/>
        <v>0.68785443724680584</v>
      </c>
      <c r="L56" s="42">
        <f t="shared" ca="1" si="47"/>
        <v>0.83204435161108492</v>
      </c>
      <c r="M56" s="42">
        <f t="shared" ca="1" si="47"/>
        <v>0.55445153570877148</v>
      </c>
      <c r="N56" s="42">
        <f t="shared" ca="1" si="47"/>
        <v>0.86345001459411397</v>
      </c>
      <c r="O56" s="42">
        <f t="shared" ca="1" si="47"/>
        <v>0.50763161275023638</v>
      </c>
      <c r="P56" s="42">
        <f t="shared" ca="1" si="47"/>
        <v>0.95273822473647607</v>
      </c>
      <c r="Q56" s="42">
        <f t="shared" ca="1" si="47"/>
        <v>0.15717031601475651</v>
      </c>
      <c r="R56" s="42">
        <f t="shared" ca="1" si="47"/>
        <v>0.2146475744557329</v>
      </c>
      <c r="S56" s="42">
        <f t="shared" ca="1" si="47"/>
        <v>0.98143219424299233</v>
      </c>
      <c r="T56" s="42">
        <f t="shared" ca="1" si="47"/>
        <v>0.81405742049722951</v>
      </c>
      <c r="U56" s="44">
        <f ca="1">(IF(D56&gt;=Inputs!$E$12,1,IF(K56&lt;=Inputs!$C$46,Inputs!$D$46,IF(K56&lt;=Inputs!$C$47,Inputs!$D$47,Inputs!$D$48))))*((Inputs!$B$28+(P56-0.5)*2*Inputs!$B$53)/Inputs!$B$28)</f>
        <v>1.0045823706957133</v>
      </c>
      <c r="V56" s="44">
        <f ca="1">(IF(E56&gt;=Inputs!$E$13,1,IF(L56&lt;=Inputs!$C$46,Inputs!$D$46,IF(L56&lt;=Inputs!$C$47,Inputs!$D$47,Inputs!$D$48))))*((Inputs!$B$29+(Q56-0.5)*2*Inputs!$B$53)/Inputs!$B$29)</f>
        <v>0.99654405560498749</v>
      </c>
      <c r="W56" s="44">
        <f ca="1">(IF(F56&gt;=Inputs!$E$14,1,IF(M56&lt;=Inputs!$C$46,Inputs!$D$46,IF(M56&lt;=Inputs!$C$47,Inputs!$D$47,Inputs!$D$48))))*((Inputs!$B$30+(R56-0.5)*2*Inputs!$B$53)/Inputs!$B$30)</f>
        <v>0.99713213642669074</v>
      </c>
      <c r="X56" s="44">
        <f ca="1">(IF(G56&gt;=Inputs!$E$15,1,IF(N56&lt;=Inputs!$C$46,Inputs!$D$46,IF(N56&lt;=Inputs!$C$47,Inputs!$D$47,Inputs!$D$48))))*((Inputs!$B$31+(S56-0.5)*2*Inputs!$B$53)/Inputs!$B$31)</f>
        <v>1.0048876364897765</v>
      </c>
      <c r="Y56" s="44">
        <f ca="1">(IF(H56&gt;=Inputs!$E$16,1,IF(O56&lt;=Inputs!$C$46,Inputs!$D$46,IF(O56&lt;=Inputs!$C$47,Inputs!$D$47,Inputs!$D$48))))*((Inputs!$B$32+(T56-0.5)*2*Inputs!$B$53)/Inputs!$B$32)</f>
        <v>1.0031595313933324</v>
      </c>
      <c r="Z56" s="45">
        <f ca="1">ILP_C_HighResilience!$C$9*U56+ILP_C_HighResilience!$C$10*V56+ILP_C_HighResilience!$C$11*W56+ILP_C_HighResilience!$C$12*X56+ILP_C_HighResilience!$C$13*Y56</f>
        <v>18055.742651913482</v>
      </c>
      <c r="AA56" s="45">
        <f ca="1">ILP_C_HighResilience!$D$9*U56+ILP_C_HighResilience!$D$10*V56+ILP_C_HighResilience!$D$11*W56+ILP_C_HighResilience!$D$12*X56+ILP_C_HighResilience!$D$13*Y56</f>
        <v>14989.283971761599</v>
      </c>
      <c r="AB56" s="45">
        <f ca="1">ILP_C_HighResilience!$E$9*U56+ILP_C_HighResilience!$E$10*V56+ILP_C_HighResilience!$E$11*W56+ILP_C_HighResilience!$E$12*X56+ILP_C_HighResilience!$E$13*Y56</f>
        <v>11998.825071048135</v>
      </c>
      <c r="AC56" s="45">
        <f ca="1">Inputs!$B$6*$C56</f>
        <v>20700</v>
      </c>
      <c r="AD56" s="45">
        <f ca="1">Inputs!$B$7*$C56</f>
        <v>17250</v>
      </c>
      <c r="AE56" s="45">
        <f ca="1">Inputs!$B$8*$C56</f>
        <v>13799.999999999998</v>
      </c>
      <c r="AF56" s="45">
        <f t="shared" ca="1" si="28"/>
        <v>2644.2573480865176</v>
      </c>
      <c r="AG56" s="45">
        <f t="shared" ca="1" si="29"/>
        <v>2260.7160282384011</v>
      </c>
      <c r="AH56" s="45">
        <f t="shared" ca="1" si="30"/>
        <v>1801.174928951863</v>
      </c>
      <c r="AI56" s="45">
        <f t="shared" ca="1" si="31"/>
        <v>6706.1483052767817</v>
      </c>
      <c r="AJ56" s="45">
        <f ca="1">U56*(Inputs!$B$12-ILP_C_HighResilience!$F$9)+V56*(Inputs!$B$13-ILP_C_HighResilience!$F$10)+W56*(Inputs!$B$14-ILP_C_HighResilience!$F$11)+X56*(Inputs!$B$15-ILP_C_HighResilience!$F$12)+Y56*(Inputs!$B$16-ILP_C_HighResilience!$F$13)</f>
        <v>25049.845397202305</v>
      </c>
      <c r="AK56" s="45">
        <f t="shared" ca="1" si="32"/>
        <v>6706.1483052767817</v>
      </c>
      <c r="AL56" s="45">
        <f t="shared" ca="1" si="33"/>
        <v>0</v>
      </c>
      <c r="AM56" s="45">
        <f t="shared" ca="1" si="34"/>
        <v>0</v>
      </c>
      <c r="AN56" s="45">
        <f t="shared" ca="1" si="35"/>
        <v>0</v>
      </c>
      <c r="AO56" s="45">
        <f ca="1">MIN(AL56,Inputs!$B$36)</f>
        <v>0</v>
      </c>
      <c r="AP56" s="45">
        <f ca="1">MIN(AN56,Inputs!$B$36-AO56)</f>
        <v>0</v>
      </c>
      <c r="AQ56" s="45">
        <f ca="1">MIN(AM56,Inputs!$B$36-AO56-AP56)</f>
        <v>0</v>
      </c>
      <c r="AR56" s="45">
        <f t="shared" ca="1" si="36"/>
        <v>0</v>
      </c>
      <c r="AS56" s="45">
        <f t="shared" ca="1" si="37"/>
        <v>0</v>
      </c>
      <c r="AT56" s="45">
        <f t="shared" ca="1" si="38"/>
        <v>0</v>
      </c>
      <c r="AU56" s="45">
        <f t="shared" ca="1" si="39"/>
        <v>0</v>
      </c>
      <c r="AV56" s="46">
        <f ca="1">AU56*Inputs!$B$35</f>
        <v>0</v>
      </c>
      <c r="AW56" s="46">
        <f ca="1">AR56*Inputs!$C$6+AT56*Inputs!$C$7+AS56*Inputs!$C$8</f>
        <v>0</v>
      </c>
      <c r="AX56" s="46">
        <f t="shared" ca="1" si="40"/>
        <v>47677841.854289234</v>
      </c>
      <c r="AY56" s="46">
        <f ca="1">IF(J56&gt;1,($CD$4)*Inputs!$B$55*((Z56+AA56+AB56)/(SUM(ILP_C_HighResilience!$C$9:$E$13))),0)</f>
        <v>0</v>
      </c>
      <c r="AZ56" s="46">
        <f t="shared" ca="1" si="41"/>
        <v>0</v>
      </c>
      <c r="BA56" s="41">
        <f t="shared" ca="1" si="42"/>
        <v>0</v>
      </c>
      <c r="BB56" s="41">
        <f t="shared" ca="1" si="43"/>
        <v>1</v>
      </c>
      <c r="BC56" s="41">
        <f t="shared" ca="1" si="44"/>
        <v>1</v>
      </c>
      <c r="BD56" s="41">
        <f t="shared" ca="1" si="45"/>
        <v>1</v>
      </c>
    </row>
    <row r="57" spans="1:56" ht="15" customHeight="1" x14ac:dyDescent="0.3">
      <c r="A57" s="41">
        <v>50</v>
      </c>
      <c r="B57" s="42">
        <f t="shared" ca="1" si="27"/>
        <v>0.42314090165545637</v>
      </c>
      <c r="C57" s="43">
        <f ca="1">IF(B57&lt;=Inputs!$C$40,Inputs!$D$40,IF(B57&lt;=Inputs!$C$41,Inputs!$D$41,Inputs!$D$42))</f>
        <v>1</v>
      </c>
      <c r="D57" s="42">
        <f t="shared" ca="1" si="46"/>
        <v>0.52213452156837636</v>
      </c>
      <c r="E57" s="42">
        <f t="shared" ca="1" si="46"/>
        <v>9.4797355320114463E-2</v>
      </c>
      <c r="F57" s="42">
        <f t="shared" ca="1" si="46"/>
        <v>3.3165744612581149E-2</v>
      </c>
      <c r="G57" s="42">
        <f t="shared" ca="1" si="46"/>
        <v>0.41610611936708097</v>
      </c>
      <c r="H57" s="42">
        <f t="shared" ca="1" si="46"/>
        <v>0.5880139914111383</v>
      </c>
      <c r="I57" s="42">
        <f t="shared" ca="1" si="46"/>
        <v>0.58597599059940286</v>
      </c>
      <c r="J57" s="43">
        <f ca="1">IF(I57&lt;Inputs!$B$54,1+Inputs!$B$55,1)</f>
        <v>1</v>
      </c>
      <c r="K57" s="42">
        <f t="shared" ca="1" si="47"/>
        <v>2.6897870382240119E-2</v>
      </c>
      <c r="L57" s="42">
        <f t="shared" ca="1" si="47"/>
        <v>0.15374506134946286</v>
      </c>
      <c r="M57" s="42">
        <f t="shared" ca="1" si="47"/>
        <v>0.78135953716648487</v>
      </c>
      <c r="N57" s="42">
        <f t="shared" ca="1" si="47"/>
        <v>0.13194529155383294</v>
      </c>
      <c r="O57" s="42">
        <f t="shared" ca="1" si="47"/>
        <v>1.9928053974419768E-2</v>
      </c>
      <c r="P57" s="42">
        <f t="shared" ca="1" si="47"/>
        <v>0.1940631305509013</v>
      </c>
      <c r="Q57" s="42">
        <f t="shared" ca="1" si="47"/>
        <v>0.7706175544837206</v>
      </c>
      <c r="R57" s="42">
        <f t="shared" ca="1" si="47"/>
        <v>0.87445222271053125</v>
      </c>
      <c r="S57" s="42">
        <f t="shared" ca="1" si="47"/>
        <v>0.10716979945764593</v>
      </c>
      <c r="T57" s="42">
        <f t="shared" ca="1" si="47"/>
        <v>0.42254408336633942</v>
      </c>
      <c r="U57" s="44">
        <f ca="1">(IF(D57&gt;=Inputs!$E$12,1,IF(K57&lt;=Inputs!$C$46,Inputs!$D$46,IF(K57&lt;=Inputs!$C$47,Inputs!$D$47,Inputs!$D$48))))*((Inputs!$B$28+(P57-0.5)*2*Inputs!$B$53)/Inputs!$B$28)</f>
        <v>0.99690347298128446</v>
      </c>
      <c r="V57" s="44">
        <f ca="1">(IF(E57&gt;=Inputs!$E$13,1,IF(L57&lt;=Inputs!$C$46,Inputs!$D$46,IF(L57&lt;=Inputs!$C$47,Inputs!$D$47,Inputs!$D$48))))*((Inputs!$B$29+(Q57-0.5)*2*Inputs!$B$53)/Inputs!$B$29)</f>
        <v>0.60163679972469997</v>
      </c>
      <c r="W57" s="44">
        <f ca="1">(IF(F57&gt;=Inputs!$E$14,1,IF(M57&lt;=Inputs!$C$46,Inputs!$D$46,IF(M57&lt;=Inputs!$C$47,Inputs!$D$47,Inputs!$D$48))))*((Inputs!$B$30+(R57-0.5)*2*Inputs!$B$53)/Inputs!$B$30)</f>
        <v>0.30112900167651413</v>
      </c>
      <c r="X57" s="44">
        <f ca="1">(IF(G57&gt;=Inputs!$E$15,1,IF(N57&lt;=Inputs!$C$46,Inputs!$D$46,IF(N57&lt;=Inputs!$C$47,Inputs!$D$47,Inputs!$D$48))))*((Inputs!$B$31+(S57-0.5)*2*Inputs!$B$53)/Inputs!$B$31)</f>
        <v>0.9960118761366259</v>
      </c>
      <c r="Y57" s="44">
        <f ca="1">(IF(H57&gt;=Inputs!$E$16,1,IF(O57&lt;=Inputs!$C$46,Inputs!$D$46,IF(O57&lt;=Inputs!$C$47,Inputs!$D$47,Inputs!$D$48))))*((Inputs!$B$32+(T57-0.5)*2*Inputs!$B$53)/Inputs!$B$32)</f>
        <v>0.99922076542622074</v>
      </c>
      <c r="Z57" s="45">
        <f ca="1">ILP_C_HighResilience!$C$9*U57+ILP_C_HighResilience!$C$10*V57+ILP_C_HighResilience!$C$11*W57+ILP_C_HighResilience!$C$12*X57+ILP_C_HighResilience!$C$13*Y57</f>
        <v>16514.882992657876</v>
      </c>
      <c r="AA57" s="45">
        <f ca="1">ILP_C_HighResilience!$D$9*U57+ILP_C_HighResilience!$D$10*V57+ILP_C_HighResilience!$D$11*W57+ILP_C_HighResilience!$D$12*X57+ILP_C_HighResilience!$D$13*Y57</f>
        <v>9530.3406934425439</v>
      </c>
      <c r="AB57" s="45">
        <f ca="1">ILP_C_HighResilience!$E$9*U57+ILP_C_HighResilience!$E$10*V57+ILP_C_HighResilience!$E$11*W57+ILP_C_HighResilience!$E$12*X57+ILP_C_HighResilience!$E$13*Y57</f>
        <v>8241.8429204116874</v>
      </c>
      <c r="AC57" s="45">
        <f ca="1">Inputs!$B$6*$C57</f>
        <v>18000</v>
      </c>
      <c r="AD57" s="45">
        <f ca="1">Inputs!$B$7*$C57</f>
        <v>15000</v>
      </c>
      <c r="AE57" s="45">
        <f ca="1">Inputs!$B$8*$C57</f>
        <v>12000</v>
      </c>
      <c r="AF57" s="45">
        <f t="shared" ca="1" si="28"/>
        <v>1485.1170073421235</v>
      </c>
      <c r="AG57" s="45">
        <f t="shared" ca="1" si="29"/>
        <v>5469.6593065574561</v>
      </c>
      <c r="AH57" s="45">
        <f t="shared" ca="1" si="30"/>
        <v>3758.1570795883126</v>
      </c>
      <c r="AI57" s="45">
        <f t="shared" ca="1" si="31"/>
        <v>10712.933393487892</v>
      </c>
      <c r="AJ57" s="45">
        <f ca="1">U57*(Inputs!$B$12-ILP_C_HighResilience!$F$9)+V57*(Inputs!$B$13-ILP_C_HighResilience!$F$10)+W57*(Inputs!$B$14-ILP_C_HighResilience!$F$11)+X57*(Inputs!$B$15-ILP_C_HighResilience!$F$12)+Y57*(Inputs!$B$16-ILP_C_HighResilience!$F$13)</f>
        <v>20941.43517416175</v>
      </c>
      <c r="AK57" s="45">
        <f t="shared" ca="1" si="32"/>
        <v>10712.933393487892</v>
      </c>
      <c r="AL57" s="45">
        <f t="shared" ca="1" si="33"/>
        <v>0</v>
      </c>
      <c r="AM57" s="45">
        <f t="shared" ca="1" si="34"/>
        <v>0</v>
      </c>
      <c r="AN57" s="45">
        <f t="shared" ca="1" si="35"/>
        <v>0</v>
      </c>
      <c r="AO57" s="45">
        <f ca="1">MIN(AL57,Inputs!$B$36)</f>
        <v>0</v>
      </c>
      <c r="AP57" s="45">
        <f ca="1">MIN(AN57,Inputs!$B$36-AO57)</f>
        <v>0</v>
      </c>
      <c r="AQ57" s="45">
        <f ca="1">MIN(AM57,Inputs!$B$36-AO57-AP57)</f>
        <v>0</v>
      </c>
      <c r="AR57" s="45">
        <f t="shared" ca="1" si="36"/>
        <v>0</v>
      </c>
      <c r="AS57" s="45">
        <f t="shared" ca="1" si="37"/>
        <v>0</v>
      </c>
      <c r="AT57" s="45">
        <f t="shared" ca="1" si="38"/>
        <v>0</v>
      </c>
      <c r="AU57" s="45">
        <f t="shared" ca="1" si="39"/>
        <v>0</v>
      </c>
      <c r="AV57" s="46">
        <f ca="1">AU57*Inputs!$B$35</f>
        <v>0</v>
      </c>
      <c r="AW57" s="46">
        <f ca="1">AR57*Inputs!$C$6+AT57*Inputs!$C$7+AS57*Inputs!$C$8</f>
        <v>0</v>
      </c>
      <c r="AX57" s="46">
        <f t="shared" ca="1" si="40"/>
        <v>36220764.858924329</v>
      </c>
      <c r="AY57" s="46">
        <f ca="1">IF(J57&gt;1,($CD$4)*Inputs!$B$55*((Z57+AA57+AB57)/(SUM(ILP_C_HighResilience!$C$9:$E$13))),0)</f>
        <v>0</v>
      </c>
      <c r="AZ57" s="46">
        <f t="shared" ca="1" si="41"/>
        <v>0</v>
      </c>
      <c r="BA57" s="41">
        <f t="shared" ca="1" si="42"/>
        <v>0</v>
      </c>
      <c r="BB57" s="41">
        <f t="shared" ca="1" si="43"/>
        <v>1</v>
      </c>
      <c r="BC57" s="41">
        <f t="shared" ca="1" si="44"/>
        <v>1</v>
      </c>
      <c r="BD57" s="41">
        <f t="shared" ca="1" si="45"/>
        <v>1</v>
      </c>
    </row>
    <row r="58" spans="1:56" ht="15" customHeight="1" x14ac:dyDescent="0.3">
      <c r="A58" s="41">
        <v>51</v>
      </c>
      <c r="B58" s="42">
        <f t="shared" ca="1" si="27"/>
        <v>4.5797441041238951E-2</v>
      </c>
      <c r="C58" s="43">
        <f ca="1">IF(B58&lt;=Inputs!$C$40,Inputs!$D$40,IF(B58&lt;=Inputs!$C$41,Inputs!$D$41,Inputs!$D$42))</f>
        <v>0.9</v>
      </c>
      <c r="D58" s="42">
        <f t="shared" ref="D58:I67" ca="1" si="48">RAND()</f>
        <v>0.41723854050041487</v>
      </c>
      <c r="E58" s="42">
        <f t="shared" ca="1" si="48"/>
        <v>2.5825426573605315E-2</v>
      </c>
      <c r="F58" s="42">
        <f t="shared" ca="1" si="48"/>
        <v>0.22765218504849527</v>
      </c>
      <c r="G58" s="42">
        <f t="shared" ca="1" si="48"/>
        <v>0.36443137161310379</v>
      </c>
      <c r="H58" s="42">
        <f t="shared" ca="1" si="48"/>
        <v>0.2546324180037931</v>
      </c>
      <c r="I58" s="42">
        <f t="shared" ca="1" si="48"/>
        <v>0.50617159107861842</v>
      </c>
      <c r="J58" s="43">
        <f ca="1">IF(I58&lt;Inputs!$B$54,1+Inputs!$B$55,1)</f>
        <v>1</v>
      </c>
      <c r="K58" s="42">
        <f t="shared" ref="K58:T67" ca="1" si="49">RAND()</f>
        <v>0.14201109492869124</v>
      </c>
      <c r="L58" s="42">
        <f t="shared" ca="1" si="49"/>
        <v>0.67976464023078897</v>
      </c>
      <c r="M58" s="42">
        <f t="shared" ca="1" si="49"/>
        <v>0.25694468344191812</v>
      </c>
      <c r="N58" s="42">
        <f t="shared" ca="1" si="49"/>
        <v>0.72796615034890311</v>
      </c>
      <c r="O58" s="42">
        <f t="shared" ca="1" si="49"/>
        <v>0.83095623446592604</v>
      </c>
      <c r="P58" s="42">
        <f t="shared" ca="1" si="49"/>
        <v>6.9283059674139724E-2</v>
      </c>
      <c r="Q58" s="42">
        <f t="shared" ca="1" si="49"/>
        <v>0.2192372253889926</v>
      </c>
      <c r="R58" s="42">
        <f t="shared" ca="1" si="49"/>
        <v>0.97411029752307243</v>
      </c>
      <c r="S58" s="42">
        <f t="shared" ca="1" si="49"/>
        <v>0.21020864487030588</v>
      </c>
      <c r="T58" s="42">
        <f t="shared" ca="1" si="49"/>
        <v>6.3259558211700151E-2</v>
      </c>
      <c r="U58" s="44">
        <f ca="1">(IF(D58&gt;=Inputs!$E$12,1,IF(K58&lt;=Inputs!$C$46,Inputs!$D$46,IF(K58&lt;=Inputs!$C$47,Inputs!$D$47,Inputs!$D$48))))*((Inputs!$B$28+(P58-0.5)*2*Inputs!$B$53)/Inputs!$B$28)</f>
        <v>0.99564051679832122</v>
      </c>
      <c r="V58" s="44">
        <f ca="1">(IF(E58&gt;=Inputs!$E$13,1,IF(L58&lt;=Inputs!$C$46,Inputs!$D$46,IF(L58&lt;=Inputs!$C$47,Inputs!$D$47,Inputs!$D$48))))*((Inputs!$B$29+(Q58-0.5)*2*Inputs!$B$53)/Inputs!$B$29)</f>
        <v>0.29915091902839408</v>
      </c>
      <c r="W58" s="44">
        <f ca="1">(IF(F58&gt;=Inputs!$E$14,1,IF(M58&lt;=Inputs!$C$46,Inputs!$D$46,IF(M58&lt;=Inputs!$C$47,Inputs!$D$47,Inputs!$D$48))))*((Inputs!$B$30+(R58-0.5)*2*Inputs!$B$53)/Inputs!$B$30)</f>
        <v>1.0047649276132971</v>
      </c>
      <c r="X58" s="44">
        <f ca="1">(IF(G58&gt;=Inputs!$E$15,1,IF(N58&lt;=Inputs!$C$46,Inputs!$D$46,IF(N58&lt;=Inputs!$C$47,Inputs!$D$47,Inputs!$D$48))))*((Inputs!$B$31+(S58-0.5)*2*Inputs!$B$53)/Inputs!$B$31)</f>
        <v>0.99705795578548528</v>
      </c>
      <c r="Y58" s="44">
        <f ca="1">(IF(H58&gt;=Inputs!$E$16,1,IF(O58&lt;=Inputs!$C$46,Inputs!$D$46,IF(O58&lt;=Inputs!$C$47,Inputs!$D$47,Inputs!$D$48))))*((Inputs!$B$32+(T58-0.5)*2*Inputs!$B$53)/Inputs!$B$32)</f>
        <v>0.99560623297999706</v>
      </c>
      <c r="Z58" s="45">
        <f ca="1">ILP_C_HighResilience!$C$9*U58+ILP_C_HighResilience!$C$10*V58+ILP_C_HighResilience!$C$11*W58+ILP_C_HighResilience!$C$12*X58+ILP_C_HighResilience!$C$13*Y58</f>
        <v>15424.372311105626</v>
      </c>
      <c r="AA58" s="45">
        <f ca="1">ILP_C_HighResilience!$D$9*U58+ILP_C_HighResilience!$D$10*V58+ILP_C_HighResilience!$D$11*W58+ILP_C_HighResilience!$D$12*X58+ILP_C_HighResilience!$D$13*Y58</f>
        <v>10802.183652845548</v>
      </c>
      <c r="AB58" s="45">
        <f ca="1">ILP_C_HighResilience!$E$9*U58+ILP_C_HighResilience!$E$10*V58+ILP_C_HighResilience!$E$11*W58+ILP_C_HighResilience!$E$12*X58+ILP_C_HighResilience!$E$13*Y58</f>
        <v>8987.709090635617</v>
      </c>
      <c r="AC58" s="45">
        <f ca="1">Inputs!$B$6*$C58</f>
        <v>16200</v>
      </c>
      <c r="AD58" s="45">
        <f ca="1">Inputs!$B$7*$C58</f>
        <v>13500</v>
      </c>
      <c r="AE58" s="45">
        <f ca="1">Inputs!$B$8*$C58</f>
        <v>10800</v>
      </c>
      <c r="AF58" s="45">
        <f t="shared" ca="1" si="28"/>
        <v>775.62768889437393</v>
      </c>
      <c r="AG58" s="45">
        <f t="shared" ca="1" si="29"/>
        <v>2697.8163471544522</v>
      </c>
      <c r="AH58" s="45">
        <f t="shared" ca="1" si="30"/>
        <v>1812.290909364383</v>
      </c>
      <c r="AI58" s="45">
        <f t="shared" ca="1" si="31"/>
        <v>5285.7349454132091</v>
      </c>
      <c r="AJ58" s="45">
        <f ca="1">U58*(Inputs!$B$12-ILP_C_HighResilience!$F$9)+V58*(Inputs!$B$13-ILP_C_HighResilience!$F$10)+W58*(Inputs!$B$14-ILP_C_HighResilience!$F$11)+X58*(Inputs!$B$15-ILP_C_HighResilience!$F$12)+Y58*(Inputs!$B$16-ILP_C_HighResilience!$F$13)</f>
        <v>24864.829103682507</v>
      </c>
      <c r="AK58" s="45">
        <f t="shared" ca="1" si="32"/>
        <v>5285.7349454132091</v>
      </c>
      <c r="AL58" s="45">
        <f t="shared" ca="1" si="33"/>
        <v>0</v>
      </c>
      <c r="AM58" s="45">
        <f t="shared" ca="1" si="34"/>
        <v>0</v>
      </c>
      <c r="AN58" s="45">
        <f t="shared" ca="1" si="35"/>
        <v>0</v>
      </c>
      <c r="AO58" s="45">
        <f ca="1">MIN(AL58,Inputs!$B$36)</f>
        <v>0</v>
      </c>
      <c r="AP58" s="45">
        <f ca="1">MIN(AN58,Inputs!$B$36-AO58)</f>
        <v>0</v>
      </c>
      <c r="AQ58" s="45">
        <f ca="1">MIN(AM58,Inputs!$B$36-AO58-AP58)</f>
        <v>0</v>
      </c>
      <c r="AR58" s="45">
        <f t="shared" ca="1" si="36"/>
        <v>0</v>
      </c>
      <c r="AS58" s="45">
        <f t="shared" ca="1" si="37"/>
        <v>0</v>
      </c>
      <c r="AT58" s="45">
        <f t="shared" ca="1" si="38"/>
        <v>0</v>
      </c>
      <c r="AU58" s="45">
        <f t="shared" ca="1" si="39"/>
        <v>0</v>
      </c>
      <c r="AV58" s="46">
        <f ca="1">AU58*Inputs!$B$35</f>
        <v>0</v>
      </c>
      <c r="AW58" s="46">
        <f ca="1">AR58*Inputs!$C$6+AT58*Inputs!$C$7+AS58*Inputs!$C$8</f>
        <v>0</v>
      </c>
      <c r="AX58" s="46">
        <f t="shared" ca="1" si="40"/>
        <v>37241036.7252644</v>
      </c>
      <c r="AY58" s="46">
        <f ca="1">IF(J58&gt;1,($CD$4)*Inputs!$B$55*((Z58+AA58+AB58)/(SUM(ILP_C_HighResilience!$C$9:$E$13))),0)</f>
        <v>0</v>
      </c>
      <c r="AZ58" s="46">
        <f t="shared" ca="1" si="41"/>
        <v>0</v>
      </c>
      <c r="BA58" s="41">
        <f t="shared" ca="1" si="42"/>
        <v>0</v>
      </c>
      <c r="BB58" s="41">
        <f t="shared" ca="1" si="43"/>
        <v>1</v>
      </c>
      <c r="BC58" s="41">
        <f t="shared" ca="1" si="44"/>
        <v>1</v>
      </c>
      <c r="BD58" s="41">
        <f t="shared" ca="1" si="45"/>
        <v>1</v>
      </c>
    </row>
    <row r="59" spans="1:56" ht="15" customHeight="1" x14ac:dyDescent="0.3">
      <c r="A59" s="41">
        <v>52</v>
      </c>
      <c r="B59" s="42">
        <f t="shared" ca="1" si="27"/>
        <v>0.12730755263609772</v>
      </c>
      <c r="C59" s="43">
        <f ca="1">IF(B59&lt;=Inputs!$C$40,Inputs!$D$40,IF(B59&lt;=Inputs!$C$41,Inputs!$D$41,Inputs!$D$42))</f>
        <v>0.9</v>
      </c>
      <c r="D59" s="42">
        <f t="shared" ca="1" si="48"/>
        <v>0.89146070910815833</v>
      </c>
      <c r="E59" s="42">
        <f t="shared" ca="1" si="48"/>
        <v>0.36481179740683456</v>
      </c>
      <c r="F59" s="42">
        <f t="shared" ca="1" si="48"/>
        <v>0.22248679586355813</v>
      </c>
      <c r="G59" s="42">
        <f t="shared" ca="1" si="48"/>
        <v>0.58779408518991205</v>
      </c>
      <c r="H59" s="42">
        <f t="shared" ca="1" si="48"/>
        <v>0.53281788284760778</v>
      </c>
      <c r="I59" s="42">
        <f t="shared" ca="1" si="48"/>
        <v>8.1278139531523075E-2</v>
      </c>
      <c r="J59" s="43">
        <f ca="1">IF(I59&lt;Inputs!$B$54,1+Inputs!$B$55,1)</f>
        <v>1</v>
      </c>
      <c r="K59" s="42">
        <f t="shared" ca="1" si="49"/>
        <v>2.0007814591208151E-2</v>
      </c>
      <c r="L59" s="42">
        <f t="shared" ca="1" si="49"/>
        <v>0.39368372651749184</v>
      </c>
      <c r="M59" s="42">
        <f t="shared" ca="1" si="49"/>
        <v>0.50966152571389123</v>
      </c>
      <c r="N59" s="42">
        <f t="shared" ca="1" si="49"/>
        <v>0.79768704203388452</v>
      </c>
      <c r="O59" s="42">
        <f t="shared" ca="1" si="49"/>
        <v>0.2199399886268627</v>
      </c>
      <c r="P59" s="42">
        <f t="shared" ca="1" si="49"/>
        <v>0.16278386728044958</v>
      </c>
      <c r="Q59" s="42">
        <f t="shared" ca="1" si="49"/>
        <v>0.60968228407415392</v>
      </c>
      <c r="R59" s="42">
        <f t="shared" ca="1" si="49"/>
        <v>0.13649029653682521</v>
      </c>
      <c r="S59" s="42">
        <f t="shared" ca="1" si="49"/>
        <v>0.41252367728932127</v>
      </c>
      <c r="T59" s="42">
        <f t="shared" ca="1" si="49"/>
        <v>0.41789159645413354</v>
      </c>
      <c r="U59" s="44">
        <f ca="1">(IF(D59&gt;=Inputs!$E$12,1,IF(K59&lt;=Inputs!$C$46,Inputs!$D$46,IF(K59&lt;=Inputs!$C$47,Inputs!$D$47,Inputs!$D$48))))*((Inputs!$B$28+(P59-0.5)*2*Inputs!$B$53)/Inputs!$B$28)</f>
        <v>0.99658688124777783</v>
      </c>
      <c r="V59" s="44">
        <f ca="1">(IF(E59&gt;=Inputs!$E$13,1,IF(L59&lt;=Inputs!$C$46,Inputs!$D$46,IF(L59&lt;=Inputs!$C$47,Inputs!$D$47,Inputs!$D$48))))*((Inputs!$B$29+(Q59-0.5)*2*Inputs!$B$53)/Inputs!$B$29)</f>
        <v>1.0011056681862314</v>
      </c>
      <c r="W59" s="44">
        <f ca="1">(IF(F59&gt;=Inputs!$E$14,1,IF(M59&lt;=Inputs!$C$46,Inputs!$D$46,IF(M59&lt;=Inputs!$C$47,Inputs!$D$47,Inputs!$D$48))))*((Inputs!$B$30+(R59-0.5)*2*Inputs!$B$53)/Inputs!$B$30)</f>
        <v>0.99634663614609875</v>
      </c>
      <c r="X59" s="44">
        <f ca="1">(IF(G59&gt;=Inputs!$E$15,1,IF(N59&lt;=Inputs!$C$46,Inputs!$D$46,IF(N59&lt;=Inputs!$C$47,Inputs!$D$47,Inputs!$D$48))))*((Inputs!$B$31+(S59-0.5)*2*Inputs!$B$53)/Inputs!$B$31)</f>
        <v>0.9991119155054754</v>
      </c>
      <c r="Y59" s="44">
        <f ca="1">(IF(H59&gt;=Inputs!$E$16,1,IF(O59&lt;=Inputs!$C$46,Inputs!$D$46,IF(O59&lt;=Inputs!$C$47,Inputs!$D$47,Inputs!$D$48))))*((Inputs!$B$32+(T59-0.5)*2*Inputs!$B$53)/Inputs!$B$32)</f>
        <v>0.99917395972287859</v>
      </c>
      <c r="Z59" s="45">
        <f ca="1">ILP_C_HighResilience!$C$9*U59+ILP_C_HighResilience!$C$10*V59+ILP_C_HighResilience!$C$11*W59+ILP_C_HighResilience!$C$12*X59+ILP_C_HighResilience!$C$13*Y59</f>
        <v>17973.011742093855</v>
      </c>
      <c r="AA59" s="45">
        <f ca="1">ILP_C_HighResilience!$D$9*U59+ILP_C_HighResilience!$D$10*V59+ILP_C_HighResilience!$D$11*W59+ILP_C_HighResilience!$D$12*X59+ILP_C_HighResilience!$D$13*Y59</f>
        <v>14986.529325072595</v>
      </c>
      <c r="AB59" s="45">
        <f ca="1">ILP_C_HighResilience!$E$9*U59+ILP_C_HighResilience!$E$10*V59+ILP_C_HighResilience!$E$11*W59+ILP_C_HighResilience!$E$12*X59+ILP_C_HighResilience!$E$13*Y59</f>
        <v>11977.719539629332</v>
      </c>
      <c r="AC59" s="45">
        <f ca="1">Inputs!$B$6*$C59</f>
        <v>16200</v>
      </c>
      <c r="AD59" s="45">
        <f ca="1">Inputs!$B$7*$C59</f>
        <v>13500</v>
      </c>
      <c r="AE59" s="45">
        <f ca="1">Inputs!$B$8*$C59</f>
        <v>10800</v>
      </c>
      <c r="AF59" s="45">
        <f t="shared" ca="1" si="28"/>
        <v>0</v>
      </c>
      <c r="AG59" s="45">
        <f t="shared" ca="1" si="29"/>
        <v>0</v>
      </c>
      <c r="AH59" s="45">
        <f t="shared" ca="1" si="30"/>
        <v>0</v>
      </c>
      <c r="AI59" s="45">
        <f t="shared" ca="1" si="31"/>
        <v>0</v>
      </c>
      <c r="AJ59" s="45">
        <f ca="1">U59*(Inputs!$B$12-ILP_C_HighResilience!$F$9)+V59*(Inputs!$B$13-ILP_C_HighResilience!$F$10)+W59*(Inputs!$B$14-ILP_C_HighResilience!$F$11)+X59*(Inputs!$B$15-ILP_C_HighResilience!$F$12)+Y59*(Inputs!$B$16-ILP_C_HighResilience!$F$13)</f>
        <v>24953.067499584067</v>
      </c>
      <c r="AK59" s="45">
        <f t="shared" ca="1" si="32"/>
        <v>0</v>
      </c>
      <c r="AL59" s="45">
        <f t="shared" ca="1" si="33"/>
        <v>0</v>
      </c>
      <c r="AM59" s="45">
        <f t="shared" ca="1" si="34"/>
        <v>0</v>
      </c>
      <c r="AN59" s="45">
        <f t="shared" ca="1" si="35"/>
        <v>0</v>
      </c>
      <c r="AO59" s="45">
        <f ca="1">MIN(AL59,Inputs!$B$36)</f>
        <v>0</v>
      </c>
      <c r="AP59" s="45">
        <f ca="1">MIN(AN59,Inputs!$B$36-AO59)</f>
        <v>0</v>
      </c>
      <c r="AQ59" s="45">
        <f ca="1">MIN(AM59,Inputs!$B$36-AO59-AP59)</f>
        <v>0</v>
      </c>
      <c r="AR59" s="45">
        <f t="shared" ca="1" si="36"/>
        <v>0</v>
      </c>
      <c r="AS59" s="45">
        <f t="shared" ca="1" si="37"/>
        <v>0</v>
      </c>
      <c r="AT59" s="45">
        <f t="shared" ca="1" si="38"/>
        <v>0</v>
      </c>
      <c r="AU59" s="45">
        <f t="shared" ca="1" si="39"/>
        <v>0</v>
      </c>
      <c r="AV59" s="46">
        <f ca="1">AU59*Inputs!$B$35</f>
        <v>0</v>
      </c>
      <c r="AW59" s="46">
        <f ca="1">AR59*Inputs!$C$6+AT59*Inputs!$C$7+AS59*Inputs!$C$8</f>
        <v>0</v>
      </c>
      <c r="AX59" s="46">
        <f t="shared" ca="1" si="40"/>
        <v>47565802.402128085</v>
      </c>
      <c r="AY59" s="46">
        <f ca="1">IF(J59&gt;1,($CD$4)*Inputs!$B$55*((Z59+AA59+AB59)/(SUM(ILP_C_HighResilience!$C$9:$E$13))),0)</f>
        <v>0</v>
      </c>
      <c r="AZ59" s="46">
        <f t="shared" ca="1" si="41"/>
        <v>0</v>
      </c>
      <c r="BA59" s="41">
        <f t="shared" ca="1" si="42"/>
        <v>0</v>
      </c>
      <c r="BB59" s="41">
        <f t="shared" ca="1" si="43"/>
        <v>1</v>
      </c>
      <c r="BC59" s="41">
        <f t="shared" ca="1" si="44"/>
        <v>1</v>
      </c>
      <c r="BD59" s="41">
        <f t="shared" ca="1" si="45"/>
        <v>1</v>
      </c>
    </row>
    <row r="60" spans="1:56" ht="15" customHeight="1" x14ac:dyDescent="0.3">
      <c r="A60" s="41">
        <v>53</v>
      </c>
      <c r="B60" s="42">
        <f t="shared" ca="1" si="27"/>
        <v>1.5419515728856137E-3</v>
      </c>
      <c r="C60" s="43">
        <f ca="1">IF(B60&lt;=Inputs!$C$40,Inputs!$D$40,IF(B60&lt;=Inputs!$C$41,Inputs!$D$41,Inputs!$D$42))</f>
        <v>0.9</v>
      </c>
      <c r="D60" s="42">
        <f t="shared" ca="1" si="48"/>
        <v>0.10050864704970508</v>
      </c>
      <c r="E60" s="42">
        <f t="shared" ca="1" si="48"/>
        <v>0.51157282208782839</v>
      </c>
      <c r="F60" s="42">
        <f t="shared" ca="1" si="48"/>
        <v>0.30745517090114471</v>
      </c>
      <c r="G60" s="42">
        <f t="shared" ca="1" si="48"/>
        <v>0.36213017953216109</v>
      </c>
      <c r="H60" s="42">
        <f t="shared" ca="1" si="48"/>
        <v>0.86517320111109075</v>
      </c>
      <c r="I60" s="42">
        <f t="shared" ca="1" si="48"/>
        <v>0.42982265275101561</v>
      </c>
      <c r="J60" s="43">
        <f ca="1">IF(I60&lt;Inputs!$B$54,1+Inputs!$B$55,1)</f>
        <v>1</v>
      </c>
      <c r="K60" s="42">
        <f t="shared" ca="1" si="49"/>
        <v>0.21782705213961429</v>
      </c>
      <c r="L60" s="42">
        <f t="shared" ca="1" si="49"/>
        <v>0.71400276715495681</v>
      </c>
      <c r="M60" s="42">
        <f t="shared" ca="1" si="49"/>
        <v>4.0241890955266424E-2</v>
      </c>
      <c r="N60" s="42">
        <f t="shared" ca="1" si="49"/>
        <v>0.64350551346067963</v>
      </c>
      <c r="O60" s="42">
        <f t="shared" ca="1" si="49"/>
        <v>0.67621957209664996</v>
      </c>
      <c r="P60" s="42">
        <f t="shared" ca="1" si="49"/>
        <v>0.95131208817768365</v>
      </c>
      <c r="Q60" s="42">
        <f t="shared" ca="1" si="49"/>
        <v>0.86564021057791551</v>
      </c>
      <c r="R60" s="42">
        <f t="shared" ca="1" si="49"/>
        <v>0.46992297654266424</v>
      </c>
      <c r="S60" s="42">
        <f t="shared" ca="1" si="49"/>
        <v>0.71483721912418063</v>
      </c>
      <c r="T60" s="42">
        <f t="shared" ca="1" si="49"/>
        <v>0.60059284107393496</v>
      </c>
      <c r="U60" s="44">
        <f ca="1">(IF(D60&gt;=Inputs!$E$12,1,IF(K60&lt;=Inputs!$C$46,Inputs!$D$46,IF(K60&lt;=Inputs!$C$47,Inputs!$D$47,Inputs!$D$48))))*((Inputs!$B$28+(P60-0.5)*2*Inputs!$B$53)/Inputs!$B$28)</f>
        <v>1.0045679361151587</v>
      </c>
      <c r="V60" s="44">
        <f ca="1">(IF(E60&gt;=Inputs!$E$13,1,IF(L60&lt;=Inputs!$C$46,Inputs!$D$46,IF(L60&lt;=Inputs!$C$47,Inputs!$D$47,Inputs!$D$48))))*((Inputs!$B$29+(Q60-0.5)*2*Inputs!$B$53)/Inputs!$B$29)</f>
        <v>1.0036858892195355</v>
      </c>
      <c r="W60" s="44">
        <f ca="1">(IF(F60&gt;=Inputs!$E$14,1,IF(M60&lt;=Inputs!$C$46,Inputs!$D$46,IF(M60&lt;=Inputs!$C$47,Inputs!$D$47,Inputs!$D$48))))*((Inputs!$B$30+(R60-0.5)*2*Inputs!$B$53)/Inputs!$B$30)</f>
        <v>0.99969771835721277</v>
      </c>
      <c r="X60" s="44">
        <f ca="1">(IF(G60&gt;=Inputs!$E$15,1,IF(N60&lt;=Inputs!$C$46,Inputs!$D$46,IF(N60&lt;=Inputs!$C$47,Inputs!$D$47,Inputs!$D$48))))*((Inputs!$B$31+(S60-0.5)*2*Inputs!$B$53)/Inputs!$B$31)</f>
        <v>1.0021810885190272</v>
      </c>
      <c r="Y60" s="44">
        <f ca="1">(IF(H60&gt;=Inputs!$E$16,1,IF(O60&lt;=Inputs!$C$46,Inputs!$D$46,IF(O60&lt;=Inputs!$C$47,Inputs!$D$47,Inputs!$D$48))))*((Inputs!$B$32+(T60-0.5)*2*Inputs!$B$53)/Inputs!$B$32)</f>
        <v>1.0010120004132186</v>
      </c>
      <c r="Z60" s="45">
        <f ca="1">ILP_C_HighResilience!$C$9*U60+ILP_C_HighResilience!$C$10*V60+ILP_C_HighResilience!$C$11*W60+ILP_C_HighResilience!$C$12*X60+ILP_C_HighResilience!$C$13*Y60</f>
        <v>18061.862178556468</v>
      </c>
      <c r="AA60" s="45">
        <f ca="1">ILP_C_HighResilience!$D$9*U60+ILP_C_HighResilience!$D$10*V60+ILP_C_HighResilience!$D$11*W60+ILP_C_HighResilience!$D$12*X60+ILP_C_HighResilience!$D$13*Y60</f>
        <v>15030.86797067971</v>
      </c>
      <c r="AB60" s="45">
        <f ca="1">ILP_C_HighResilience!$E$9*U60+ILP_C_HighResilience!$E$10*V60+ILP_C_HighResilience!$E$11*W60+ILP_C_HighResilience!$E$12*X60+ILP_C_HighResilience!$E$13*Y60</f>
        <v>12036.850942182335</v>
      </c>
      <c r="AC60" s="45">
        <f ca="1">Inputs!$B$6*$C60</f>
        <v>16200</v>
      </c>
      <c r="AD60" s="45">
        <f ca="1">Inputs!$B$7*$C60</f>
        <v>13500</v>
      </c>
      <c r="AE60" s="45">
        <f ca="1">Inputs!$B$8*$C60</f>
        <v>10800</v>
      </c>
      <c r="AF60" s="45">
        <f t="shared" ca="1" si="28"/>
        <v>0</v>
      </c>
      <c r="AG60" s="45">
        <f t="shared" ca="1" si="29"/>
        <v>0</v>
      </c>
      <c r="AH60" s="45">
        <f t="shared" ca="1" si="30"/>
        <v>0</v>
      </c>
      <c r="AI60" s="45">
        <f t="shared" ca="1" si="31"/>
        <v>0</v>
      </c>
      <c r="AJ60" s="45">
        <f ca="1">U60*(Inputs!$B$12-ILP_C_HighResilience!$F$9)+V60*(Inputs!$B$13-ILP_C_HighResilience!$F$10)+W60*(Inputs!$B$14-ILP_C_HighResilience!$F$11)+X60*(Inputs!$B$15-ILP_C_HighResilience!$F$12)+Y60*(Inputs!$B$16-ILP_C_HighResilience!$F$13)</f>
        <v>25032.531742567895</v>
      </c>
      <c r="AK60" s="45">
        <f t="shared" ca="1" si="32"/>
        <v>0</v>
      </c>
      <c r="AL60" s="45">
        <f t="shared" ca="1" si="33"/>
        <v>0</v>
      </c>
      <c r="AM60" s="45">
        <f t="shared" ca="1" si="34"/>
        <v>0</v>
      </c>
      <c r="AN60" s="45">
        <f t="shared" ca="1" si="35"/>
        <v>0</v>
      </c>
      <c r="AO60" s="45">
        <f ca="1">MIN(AL60,Inputs!$B$36)</f>
        <v>0</v>
      </c>
      <c r="AP60" s="45">
        <f ca="1">MIN(AN60,Inputs!$B$36-AO60)</f>
        <v>0</v>
      </c>
      <c r="AQ60" s="45">
        <f ca="1">MIN(AM60,Inputs!$B$36-AO60-AP60)</f>
        <v>0</v>
      </c>
      <c r="AR60" s="45">
        <f t="shared" ca="1" si="36"/>
        <v>0</v>
      </c>
      <c r="AS60" s="45">
        <f t="shared" ca="1" si="37"/>
        <v>0</v>
      </c>
      <c r="AT60" s="45">
        <f t="shared" ca="1" si="38"/>
        <v>0</v>
      </c>
      <c r="AU60" s="45">
        <f t="shared" ca="1" si="39"/>
        <v>0</v>
      </c>
      <c r="AV60" s="46">
        <f ca="1">AU60*Inputs!$B$35</f>
        <v>0</v>
      </c>
      <c r="AW60" s="46">
        <f ca="1">AR60*Inputs!$C$6+AT60*Inputs!$C$7+AS60*Inputs!$C$8</f>
        <v>0</v>
      </c>
      <c r="AX60" s="46">
        <f t="shared" ca="1" si="40"/>
        <v>47769577.913157649</v>
      </c>
      <c r="AY60" s="46">
        <f ca="1">IF(J60&gt;1,($CD$4)*Inputs!$B$55*((Z60+AA60+AB60)/(SUM(ILP_C_HighResilience!$C$9:$E$13))),0)</f>
        <v>0</v>
      </c>
      <c r="AZ60" s="46">
        <f t="shared" ca="1" si="41"/>
        <v>0</v>
      </c>
      <c r="BA60" s="41">
        <f t="shared" ca="1" si="42"/>
        <v>0</v>
      </c>
      <c r="BB60" s="41">
        <f t="shared" ca="1" si="43"/>
        <v>1</v>
      </c>
      <c r="BC60" s="41">
        <f t="shared" ca="1" si="44"/>
        <v>1</v>
      </c>
      <c r="BD60" s="41">
        <f t="shared" ca="1" si="45"/>
        <v>1</v>
      </c>
    </row>
    <row r="61" spans="1:56" ht="15" customHeight="1" x14ac:dyDescent="0.3">
      <c r="A61" s="41">
        <v>54</v>
      </c>
      <c r="B61" s="42">
        <f t="shared" ca="1" si="27"/>
        <v>0.16970114934507252</v>
      </c>
      <c r="C61" s="43">
        <f ca="1">IF(B61&lt;=Inputs!$C$40,Inputs!$D$40,IF(B61&lt;=Inputs!$C$41,Inputs!$D$41,Inputs!$D$42))</f>
        <v>0.9</v>
      </c>
      <c r="D61" s="42">
        <f t="shared" ca="1" si="48"/>
        <v>0.71436145933638751</v>
      </c>
      <c r="E61" s="42">
        <f t="shared" ca="1" si="48"/>
        <v>0.93613052440650446</v>
      </c>
      <c r="F61" s="42">
        <f t="shared" ca="1" si="48"/>
        <v>0.32803588434111375</v>
      </c>
      <c r="G61" s="42">
        <f t="shared" ca="1" si="48"/>
        <v>0.38655936040522854</v>
      </c>
      <c r="H61" s="42">
        <f t="shared" ca="1" si="48"/>
        <v>0.17674751625219487</v>
      </c>
      <c r="I61" s="42">
        <f t="shared" ca="1" si="48"/>
        <v>2.0568673507355473E-2</v>
      </c>
      <c r="J61" s="43">
        <f ca="1">IF(I61&lt;Inputs!$B$54,1+Inputs!$B$55,1)</f>
        <v>1.25</v>
      </c>
      <c r="K61" s="42">
        <f t="shared" ca="1" si="49"/>
        <v>0.11003103104804179</v>
      </c>
      <c r="L61" s="42">
        <f t="shared" ca="1" si="49"/>
        <v>0.4348092080393835</v>
      </c>
      <c r="M61" s="42">
        <f t="shared" ca="1" si="49"/>
        <v>0.49521266029769517</v>
      </c>
      <c r="N61" s="42">
        <f t="shared" ca="1" si="49"/>
        <v>0.56630883686859002</v>
      </c>
      <c r="O61" s="42">
        <f t="shared" ca="1" si="49"/>
        <v>0.31855503595252344</v>
      </c>
      <c r="P61" s="42">
        <f t="shared" ca="1" si="49"/>
        <v>0.72369424512783997</v>
      </c>
      <c r="Q61" s="42">
        <f t="shared" ca="1" si="49"/>
        <v>6.296222987808775E-2</v>
      </c>
      <c r="R61" s="42">
        <f t="shared" ca="1" si="49"/>
        <v>0.42771651605472005</v>
      </c>
      <c r="S61" s="42">
        <f t="shared" ca="1" si="49"/>
        <v>0.92352185119804053</v>
      </c>
      <c r="T61" s="42">
        <f t="shared" ca="1" si="49"/>
        <v>0.72448010146484898</v>
      </c>
      <c r="U61" s="44">
        <f ca="1">(IF(D61&gt;=Inputs!$E$12,1,IF(K61&lt;=Inputs!$C$46,Inputs!$D$46,IF(K61&lt;=Inputs!$C$47,Inputs!$D$47,Inputs!$D$48))))*((Inputs!$B$28+(P61-0.5)*2*Inputs!$B$53)/Inputs!$B$28)</f>
        <v>1.002264111792792</v>
      </c>
      <c r="V61" s="44">
        <f ca="1">(IF(E61&gt;=Inputs!$E$13,1,IF(L61&lt;=Inputs!$C$46,Inputs!$D$46,IF(L61&lt;=Inputs!$C$47,Inputs!$D$47,Inputs!$D$48))))*((Inputs!$B$29+(Q61-0.5)*2*Inputs!$B$53)/Inputs!$B$29)</f>
        <v>0.99559437731731937</v>
      </c>
      <c r="W61" s="44">
        <f ca="1">(IF(F61&gt;=Inputs!$E$14,1,IF(M61&lt;=Inputs!$C$46,Inputs!$D$46,IF(M61&lt;=Inputs!$C$47,Inputs!$D$47,Inputs!$D$48))))*((Inputs!$B$30+(R61-0.5)*2*Inputs!$B$53)/Inputs!$B$30)</f>
        <v>0.99927353282467057</v>
      </c>
      <c r="X61" s="44">
        <f ca="1">(IF(G61&gt;=Inputs!$E$15,1,IF(N61&lt;=Inputs!$C$46,Inputs!$D$46,IF(N61&lt;=Inputs!$C$47,Inputs!$D$47,Inputs!$D$48))))*((Inputs!$B$31+(S61-0.5)*2*Inputs!$B$53)/Inputs!$B$31)</f>
        <v>1.0042997142253609</v>
      </c>
      <c r="Y61" s="44">
        <f ca="1">(IF(H61&gt;=Inputs!$E$16,1,IF(O61&lt;=Inputs!$C$46,Inputs!$D$46,IF(O61&lt;=Inputs!$C$47,Inputs!$D$47,Inputs!$D$48))))*((Inputs!$B$32+(T61-0.5)*2*Inputs!$B$53)/Inputs!$B$32)</f>
        <v>1.0022583511213767</v>
      </c>
      <c r="Z61" s="45">
        <f ca="1">ILP_C_HighResilience!$C$9*U61+ILP_C_HighResilience!$C$10*V61+ILP_C_HighResilience!$C$11*W61+ILP_C_HighResilience!$C$12*X61+ILP_C_HighResilience!$C$13*Y61</f>
        <v>18031.399305673051</v>
      </c>
      <c r="AA61" s="45">
        <f ca="1">ILP_C_HighResilience!$D$9*U61+ILP_C_HighResilience!$D$10*V61+ILP_C_HighResilience!$D$11*W61+ILP_C_HighResilience!$D$12*X61+ILP_C_HighResilience!$D$13*Y61</f>
        <v>14990.24901739714</v>
      </c>
      <c r="AB61" s="45">
        <f ca="1">ILP_C_HighResilience!$E$9*U61+ILP_C_HighResilience!$E$10*V61+ILP_C_HighResilience!$E$11*W61+ILP_C_HighResilience!$E$12*X61+ILP_C_HighResilience!$E$13*Y61</f>
        <v>11989.860954127507</v>
      </c>
      <c r="AC61" s="45">
        <f ca="1">Inputs!$B$6*$C61</f>
        <v>16200</v>
      </c>
      <c r="AD61" s="45">
        <f ca="1">Inputs!$B$7*$C61</f>
        <v>13500</v>
      </c>
      <c r="AE61" s="45">
        <f ca="1">Inputs!$B$8*$C61</f>
        <v>10800</v>
      </c>
      <c r="AF61" s="45">
        <f t="shared" ca="1" si="28"/>
        <v>0</v>
      </c>
      <c r="AG61" s="45">
        <f t="shared" ca="1" si="29"/>
        <v>0</v>
      </c>
      <c r="AH61" s="45">
        <f t="shared" ca="1" si="30"/>
        <v>0</v>
      </c>
      <c r="AI61" s="45">
        <f t="shared" ca="1" si="31"/>
        <v>0</v>
      </c>
      <c r="AJ61" s="45">
        <f ca="1">U61*(Inputs!$B$12-ILP_C_HighResilience!$F$9)+V61*(Inputs!$B$13-ILP_C_HighResilience!$F$10)+W61*(Inputs!$B$14-ILP_C_HighResilience!$F$11)+X61*(Inputs!$B$15-ILP_C_HighResilience!$F$12)+Y61*(Inputs!$B$16-ILP_C_HighResilience!$F$13)</f>
        <v>25039.065558175142</v>
      </c>
      <c r="AK61" s="45">
        <f t="shared" ca="1" si="32"/>
        <v>0</v>
      </c>
      <c r="AL61" s="45">
        <f t="shared" ca="1" si="33"/>
        <v>0</v>
      </c>
      <c r="AM61" s="45">
        <f t="shared" ca="1" si="34"/>
        <v>0</v>
      </c>
      <c r="AN61" s="45">
        <f t="shared" ca="1" si="35"/>
        <v>0</v>
      </c>
      <c r="AO61" s="45">
        <f ca="1">MIN(AL61,Inputs!$B$36)</f>
        <v>0</v>
      </c>
      <c r="AP61" s="45">
        <f ca="1">MIN(AN61,Inputs!$B$36-AO61)</f>
        <v>0</v>
      </c>
      <c r="AQ61" s="45">
        <f ca="1">MIN(AM61,Inputs!$B$36-AO61-AP61)</f>
        <v>0</v>
      </c>
      <c r="AR61" s="45">
        <f t="shared" ca="1" si="36"/>
        <v>0</v>
      </c>
      <c r="AS61" s="45">
        <f t="shared" ca="1" si="37"/>
        <v>0</v>
      </c>
      <c r="AT61" s="45">
        <f t="shared" ca="1" si="38"/>
        <v>0</v>
      </c>
      <c r="AU61" s="45">
        <f t="shared" ca="1" si="39"/>
        <v>0</v>
      </c>
      <c r="AV61" s="46">
        <f ca="1">AU61*Inputs!$B$35</f>
        <v>0</v>
      </c>
      <c r="AW61" s="46">
        <f ca="1">AR61*Inputs!$C$6+AT61*Inputs!$C$7+AS61*Inputs!$C$8</f>
        <v>0</v>
      </c>
      <c r="AX61" s="46">
        <f t="shared" ca="1" si="40"/>
        <v>47643725.386578068</v>
      </c>
      <c r="AY61" s="46">
        <f ca="1">IF(J61&gt;1,($CD$4)*Inputs!$B$55*((Z61+AA61+AB61)/(SUM(ILP_C_HighResilience!$C$9:$E$13))),0)</f>
        <v>601198.72430029535</v>
      </c>
      <c r="AZ61" s="46">
        <f t="shared" ca="1" si="41"/>
        <v>0</v>
      </c>
      <c r="BA61" s="41">
        <f t="shared" ca="1" si="42"/>
        <v>0</v>
      </c>
      <c r="BB61" s="41">
        <f t="shared" ca="1" si="43"/>
        <v>1</v>
      </c>
      <c r="BC61" s="41">
        <f t="shared" ca="1" si="44"/>
        <v>1</v>
      </c>
      <c r="BD61" s="41">
        <f t="shared" ca="1" si="45"/>
        <v>1</v>
      </c>
    </row>
    <row r="62" spans="1:56" ht="15" customHeight="1" x14ac:dyDescent="0.3">
      <c r="A62" s="41">
        <v>55</v>
      </c>
      <c r="B62" s="42">
        <f t="shared" ca="1" si="27"/>
        <v>0.11946201062262118</v>
      </c>
      <c r="C62" s="43">
        <f ca="1">IF(B62&lt;=Inputs!$C$40,Inputs!$D$40,IF(B62&lt;=Inputs!$C$41,Inputs!$D$41,Inputs!$D$42))</f>
        <v>0.9</v>
      </c>
      <c r="D62" s="42">
        <f t="shared" ca="1" si="48"/>
        <v>0.64418335054234666</v>
      </c>
      <c r="E62" s="42">
        <f t="shared" ca="1" si="48"/>
        <v>0.46265175904354305</v>
      </c>
      <c r="F62" s="42">
        <f t="shared" ca="1" si="48"/>
        <v>0.58415894869227591</v>
      </c>
      <c r="G62" s="42">
        <f t="shared" ca="1" si="48"/>
        <v>0.34651727240222596</v>
      </c>
      <c r="H62" s="42">
        <f t="shared" ca="1" si="48"/>
        <v>1.5657022312041136E-2</v>
      </c>
      <c r="I62" s="42">
        <f t="shared" ca="1" si="48"/>
        <v>0.98873269013624798</v>
      </c>
      <c r="J62" s="43">
        <f ca="1">IF(I62&lt;Inputs!$B$54,1+Inputs!$B$55,1)</f>
        <v>1</v>
      </c>
      <c r="K62" s="42">
        <f t="shared" ca="1" si="49"/>
        <v>0.18490043850053706</v>
      </c>
      <c r="L62" s="42">
        <f t="shared" ca="1" si="49"/>
        <v>0.82417589962758497</v>
      </c>
      <c r="M62" s="42">
        <f t="shared" ca="1" si="49"/>
        <v>0.67507276830643026</v>
      </c>
      <c r="N62" s="42">
        <f t="shared" ca="1" si="49"/>
        <v>0.59419126723759808</v>
      </c>
      <c r="O62" s="42">
        <f t="shared" ca="1" si="49"/>
        <v>0.66852606868572151</v>
      </c>
      <c r="P62" s="42">
        <f t="shared" ca="1" si="49"/>
        <v>0.50026000095088852</v>
      </c>
      <c r="Q62" s="42">
        <f t="shared" ca="1" si="49"/>
        <v>0.20437410998981853</v>
      </c>
      <c r="R62" s="42">
        <f t="shared" ca="1" si="49"/>
        <v>0.79251892919645262</v>
      </c>
      <c r="S62" s="42">
        <f t="shared" ca="1" si="49"/>
        <v>4.9434167197982992E-2</v>
      </c>
      <c r="T62" s="42">
        <f t="shared" ca="1" si="49"/>
        <v>0.88673201400639035</v>
      </c>
      <c r="U62" s="44">
        <f ca="1">(IF(D62&gt;=Inputs!$E$12,1,IF(K62&lt;=Inputs!$C$46,Inputs!$D$46,IF(K62&lt;=Inputs!$C$47,Inputs!$D$47,Inputs!$D$48))))*((Inputs!$B$28+(P62-0.5)*2*Inputs!$B$53)/Inputs!$B$28)</f>
        <v>1.0000026315885717</v>
      </c>
      <c r="V62" s="44">
        <f ca="1">(IF(E62&gt;=Inputs!$E$13,1,IF(L62&lt;=Inputs!$C$46,Inputs!$D$46,IF(L62&lt;=Inputs!$C$47,Inputs!$D$47,Inputs!$D$48))))*((Inputs!$B$29+(Q62-0.5)*2*Inputs!$B$53)/Inputs!$B$29)</f>
        <v>0.9970199003023168</v>
      </c>
      <c r="W62" s="44">
        <f ca="1">(IF(F62&gt;=Inputs!$E$14,1,IF(M62&lt;=Inputs!$C$46,Inputs!$D$46,IF(M62&lt;=Inputs!$C$47,Inputs!$D$47,Inputs!$D$48))))*((Inputs!$B$30+(R62-0.5)*2*Inputs!$B$53)/Inputs!$B$30)</f>
        <v>1.0029398887356427</v>
      </c>
      <c r="X62" s="44">
        <f ca="1">(IF(G62&gt;=Inputs!$E$15,1,IF(N62&lt;=Inputs!$C$46,Inputs!$D$46,IF(N62&lt;=Inputs!$C$47,Inputs!$D$47,Inputs!$D$48))))*((Inputs!$B$31+(S62-0.5)*2*Inputs!$B$53)/Inputs!$B$31)</f>
        <v>0.99542572758576631</v>
      </c>
      <c r="Y62" s="44">
        <f ca="1">(IF(H62&gt;=Inputs!$E$16,1,IF(O62&lt;=Inputs!$C$46,Inputs!$D$46,IF(O62&lt;=Inputs!$C$47,Inputs!$D$47,Inputs!$D$48))))*((Inputs!$B$32+(T62-0.5)*2*Inputs!$B$53)/Inputs!$B$32)</f>
        <v>0.30116719923744378</v>
      </c>
      <c r="Z62" s="45">
        <f ca="1">ILP_C_HighResilience!$C$9*U62+ILP_C_HighResilience!$C$10*V62+ILP_C_HighResilience!$C$11*W62+ILP_C_HighResilience!$C$12*X62+ILP_C_HighResilience!$C$13*Y62</f>
        <v>17956.355827143576</v>
      </c>
      <c r="AA62" s="45">
        <f ca="1">ILP_C_HighResilience!$D$9*U62+ILP_C_HighResilience!$D$10*V62+ILP_C_HighResilience!$D$11*W62+ILP_C_HighResilience!$D$12*X62+ILP_C_HighResilience!$D$13*Y62</f>
        <v>14973.862975922257</v>
      </c>
      <c r="AB62" s="45">
        <f ca="1">ILP_C_HighResilience!$E$9*U62+ILP_C_HighResilience!$E$10*V62+ILP_C_HighResilience!$E$11*W62+ILP_C_HighResilience!$E$12*X62+ILP_C_HighResilience!$E$13*Y62</f>
        <v>11995.79492011967</v>
      </c>
      <c r="AC62" s="45">
        <f ca="1">Inputs!$B$6*$C62</f>
        <v>16200</v>
      </c>
      <c r="AD62" s="45">
        <f ca="1">Inputs!$B$7*$C62</f>
        <v>13500</v>
      </c>
      <c r="AE62" s="45">
        <f ca="1">Inputs!$B$8*$C62</f>
        <v>10800</v>
      </c>
      <c r="AF62" s="45">
        <f t="shared" ca="1" si="28"/>
        <v>0</v>
      </c>
      <c r="AG62" s="45">
        <f t="shared" ca="1" si="29"/>
        <v>0</v>
      </c>
      <c r="AH62" s="45">
        <f t="shared" ca="1" si="30"/>
        <v>0</v>
      </c>
      <c r="AI62" s="45">
        <f t="shared" ca="1" si="31"/>
        <v>0</v>
      </c>
      <c r="AJ62" s="45">
        <f ca="1">U62*(Inputs!$B$12-ILP_C_HighResilience!$F$9)+V62*(Inputs!$B$13-ILP_C_HighResilience!$F$10)+W62*(Inputs!$B$14-ILP_C_HighResilience!$F$11)+X62*(Inputs!$B$15-ILP_C_HighResilience!$F$12)+Y62*(Inputs!$B$16-ILP_C_HighResilience!$F$13)</f>
        <v>14533.142259618289</v>
      </c>
      <c r="AK62" s="45">
        <f t="shared" ca="1" si="32"/>
        <v>0</v>
      </c>
      <c r="AL62" s="45">
        <f t="shared" ca="1" si="33"/>
        <v>0</v>
      </c>
      <c r="AM62" s="45">
        <f t="shared" ca="1" si="34"/>
        <v>0</v>
      </c>
      <c r="AN62" s="45">
        <f t="shared" ca="1" si="35"/>
        <v>0</v>
      </c>
      <c r="AO62" s="45">
        <f ca="1">MIN(AL62,Inputs!$B$36)</f>
        <v>0</v>
      </c>
      <c r="AP62" s="45">
        <f ca="1">MIN(AN62,Inputs!$B$36-AO62)</f>
        <v>0</v>
      </c>
      <c r="AQ62" s="45">
        <f ca="1">MIN(AM62,Inputs!$B$36-AO62-AP62)</f>
        <v>0</v>
      </c>
      <c r="AR62" s="45">
        <f t="shared" ca="1" si="36"/>
        <v>0</v>
      </c>
      <c r="AS62" s="45">
        <f t="shared" ca="1" si="37"/>
        <v>0</v>
      </c>
      <c r="AT62" s="45">
        <f t="shared" ca="1" si="38"/>
        <v>0</v>
      </c>
      <c r="AU62" s="45">
        <f t="shared" ca="1" si="39"/>
        <v>0</v>
      </c>
      <c r="AV62" s="46">
        <f ca="1">AU62*Inputs!$B$35</f>
        <v>0</v>
      </c>
      <c r="AW62" s="46">
        <f ca="1">AR62*Inputs!$C$6+AT62*Inputs!$C$7+AS62*Inputs!$C$8</f>
        <v>0</v>
      </c>
      <c r="AX62" s="46">
        <f t="shared" ca="1" si="40"/>
        <v>47554961.402428754</v>
      </c>
      <c r="AY62" s="46">
        <f ca="1">IF(J62&gt;1,($CD$4)*Inputs!$B$55*((Z62+AA62+AB62)/(SUM(ILP_C_HighResilience!$C$9:$E$13))),0)</f>
        <v>0</v>
      </c>
      <c r="AZ62" s="46">
        <f t="shared" ca="1" si="41"/>
        <v>0</v>
      </c>
      <c r="BA62" s="41">
        <f t="shared" ca="1" si="42"/>
        <v>0</v>
      </c>
      <c r="BB62" s="41">
        <f t="shared" ca="1" si="43"/>
        <v>1</v>
      </c>
      <c r="BC62" s="41">
        <f t="shared" ca="1" si="44"/>
        <v>1</v>
      </c>
      <c r="BD62" s="41">
        <f t="shared" ca="1" si="45"/>
        <v>1</v>
      </c>
    </row>
    <row r="63" spans="1:56" ht="15" customHeight="1" x14ac:dyDescent="0.3">
      <c r="A63" s="41">
        <v>56</v>
      </c>
      <c r="B63" s="42">
        <f t="shared" ca="1" si="27"/>
        <v>0.83075077545846698</v>
      </c>
      <c r="C63" s="43">
        <f ca="1">IF(B63&lt;=Inputs!$C$40,Inputs!$D$40,IF(B63&lt;=Inputs!$C$41,Inputs!$D$41,Inputs!$D$42))</f>
        <v>1.1499999999999999</v>
      </c>
      <c r="D63" s="42">
        <f t="shared" ca="1" si="48"/>
        <v>0.47914391027086645</v>
      </c>
      <c r="E63" s="42">
        <f t="shared" ca="1" si="48"/>
        <v>0.84489961150644466</v>
      </c>
      <c r="F63" s="42">
        <f t="shared" ca="1" si="48"/>
        <v>0.66067029163546409</v>
      </c>
      <c r="G63" s="42">
        <f t="shared" ca="1" si="48"/>
        <v>0.54959992208841502</v>
      </c>
      <c r="H63" s="42">
        <f t="shared" ca="1" si="48"/>
        <v>0.45324482971806312</v>
      </c>
      <c r="I63" s="42">
        <f t="shared" ca="1" si="48"/>
        <v>0.49336742505630782</v>
      </c>
      <c r="J63" s="43">
        <f ca="1">IF(I63&lt;Inputs!$B$54,1+Inputs!$B$55,1)</f>
        <v>1</v>
      </c>
      <c r="K63" s="42">
        <f t="shared" ca="1" si="49"/>
        <v>0.8878060543735361</v>
      </c>
      <c r="L63" s="42">
        <f t="shared" ca="1" si="49"/>
        <v>0.35016824856139339</v>
      </c>
      <c r="M63" s="42">
        <f t="shared" ca="1" si="49"/>
        <v>0.2462926802440506</v>
      </c>
      <c r="N63" s="42">
        <f t="shared" ca="1" si="49"/>
        <v>0.12605216196766589</v>
      </c>
      <c r="O63" s="42">
        <f t="shared" ca="1" si="49"/>
        <v>0.5707817464784638</v>
      </c>
      <c r="P63" s="42">
        <f t="shared" ca="1" si="49"/>
        <v>0.30024374124785203</v>
      </c>
      <c r="Q63" s="42">
        <f t="shared" ca="1" si="49"/>
        <v>0.70539306187669537</v>
      </c>
      <c r="R63" s="42">
        <f t="shared" ca="1" si="49"/>
        <v>2.9622362709324168E-2</v>
      </c>
      <c r="S63" s="42">
        <f t="shared" ca="1" si="49"/>
        <v>0.79139225874723029</v>
      </c>
      <c r="T63" s="42">
        <f t="shared" ca="1" si="49"/>
        <v>0.33937713100317568</v>
      </c>
      <c r="U63" s="44">
        <f ca="1">(IF(D63&gt;=Inputs!$E$12,1,IF(K63&lt;=Inputs!$C$46,Inputs!$D$46,IF(K63&lt;=Inputs!$C$47,Inputs!$D$47,Inputs!$D$48))))*((Inputs!$B$28+(P63-0.5)*2*Inputs!$B$53)/Inputs!$B$28)</f>
        <v>0.99797817551870294</v>
      </c>
      <c r="V63" s="44">
        <f ca="1">(IF(E63&gt;=Inputs!$E$13,1,IF(L63&lt;=Inputs!$C$46,Inputs!$D$46,IF(L63&lt;=Inputs!$C$47,Inputs!$D$47,Inputs!$D$48))))*((Inputs!$B$29+(Q63-0.5)*2*Inputs!$B$53)/Inputs!$B$29)</f>
        <v>1.0020704945753698</v>
      </c>
      <c r="W63" s="44">
        <f ca="1">(IF(F63&gt;=Inputs!$E$14,1,IF(M63&lt;=Inputs!$C$46,Inputs!$D$46,IF(M63&lt;=Inputs!$C$47,Inputs!$D$47,Inputs!$D$48))))*((Inputs!$B$30+(R63-0.5)*2*Inputs!$B$53)/Inputs!$B$30)</f>
        <v>0.9952725865598927</v>
      </c>
      <c r="X63" s="44">
        <f ca="1">(IF(G63&gt;=Inputs!$E$15,1,IF(N63&lt;=Inputs!$C$46,Inputs!$D$46,IF(N63&lt;=Inputs!$C$47,Inputs!$D$47,Inputs!$D$48))))*((Inputs!$B$31+(S63-0.5)*2*Inputs!$B$53)/Inputs!$B$31)</f>
        <v>1.002958297043119</v>
      </c>
      <c r="Y63" s="44">
        <f ca="1">(IF(H63&gt;=Inputs!$E$16,1,IF(O63&lt;=Inputs!$C$46,Inputs!$D$46,IF(O63&lt;=Inputs!$C$47,Inputs!$D$47,Inputs!$D$48))))*((Inputs!$B$32+(T63-0.5)*2*Inputs!$B$53)/Inputs!$B$32)</f>
        <v>0.99838407576461941</v>
      </c>
      <c r="Z63" s="45">
        <f ca="1">ILP_C_HighResilience!$C$9*U63+ILP_C_HighResilience!$C$10*V63+ILP_C_HighResilience!$C$11*W63+ILP_C_HighResilience!$C$12*X63+ILP_C_HighResilience!$C$13*Y63</f>
        <v>18014.196382916449</v>
      </c>
      <c r="AA63" s="45">
        <f ca="1">ILP_C_HighResilience!$D$9*U63+ILP_C_HighResilience!$D$10*V63+ILP_C_HighResilience!$D$11*W63+ILP_C_HighResilience!$D$12*X63+ILP_C_HighResilience!$D$13*Y63</f>
        <v>15005.384228923758</v>
      </c>
      <c r="AB63" s="45">
        <f ca="1">ILP_C_HighResilience!$E$9*U63+ILP_C_HighResilience!$E$10*V63+ILP_C_HighResilience!$E$11*W63+ILP_C_HighResilience!$E$12*X63+ILP_C_HighResilience!$E$13*Y63</f>
        <v>11985.407295291367</v>
      </c>
      <c r="AC63" s="45">
        <f ca="1">Inputs!$B$6*$C63</f>
        <v>20700</v>
      </c>
      <c r="AD63" s="45">
        <f ca="1">Inputs!$B$7*$C63</f>
        <v>17250</v>
      </c>
      <c r="AE63" s="45">
        <f ca="1">Inputs!$B$8*$C63</f>
        <v>13799.999999999998</v>
      </c>
      <c r="AF63" s="45">
        <f t="shared" ca="1" si="28"/>
        <v>2685.8036170835512</v>
      </c>
      <c r="AG63" s="45">
        <f t="shared" ca="1" si="29"/>
        <v>2244.6157710762418</v>
      </c>
      <c r="AH63" s="45">
        <f t="shared" ca="1" si="30"/>
        <v>1814.5927047086316</v>
      </c>
      <c r="AI63" s="45">
        <f t="shared" ca="1" si="31"/>
        <v>6745.0120928684246</v>
      </c>
      <c r="AJ63" s="45">
        <f ca="1">U63*(Inputs!$B$12-ILP_C_HighResilience!$F$9)+V63*(Inputs!$B$13-ILP_C_HighResilience!$F$10)+W63*(Inputs!$B$14-ILP_C_HighResilience!$F$11)+X63*(Inputs!$B$15-ILP_C_HighResilience!$F$12)+Y63*(Inputs!$B$16-ILP_C_HighResilience!$F$13)</f>
        <v>24941.454151488171</v>
      </c>
      <c r="AK63" s="45">
        <f t="shared" ca="1" si="32"/>
        <v>6745.0120928684246</v>
      </c>
      <c r="AL63" s="45">
        <f t="shared" ca="1" si="33"/>
        <v>0</v>
      </c>
      <c r="AM63" s="45">
        <f t="shared" ca="1" si="34"/>
        <v>0</v>
      </c>
      <c r="AN63" s="45">
        <f t="shared" ca="1" si="35"/>
        <v>0</v>
      </c>
      <c r="AO63" s="45">
        <f ca="1">MIN(AL63,Inputs!$B$36)</f>
        <v>0</v>
      </c>
      <c r="AP63" s="45">
        <f ca="1">MIN(AN63,Inputs!$B$36-AO63)</f>
        <v>0</v>
      </c>
      <c r="AQ63" s="45">
        <f ca="1">MIN(AM63,Inputs!$B$36-AO63-AP63)</f>
        <v>0</v>
      </c>
      <c r="AR63" s="45">
        <f t="shared" ca="1" si="36"/>
        <v>0</v>
      </c>
      <c r="AS63" s="45">
        <f t="shared" ca="1" si="37"/>
        <v>0</v>
      </c>
      <c r="AT63" s="45">
        <f t="shared" ca="1" si="38"/>
        <v>0</v>
      </c>
      <c r="AU63" s="45">
        <f t="shared" ca="1" si="39"/>
        <v>0</v>
      </c>
      <c r="AV63" s="46">
        <f ca="1">AU63*Inputs!$B$35</f>
        <v>0</v>
      </c>
      <c r="AW63" s="46">
        <f ca="1">AR63*Inputs!$C$6+AT63*Inputs!$C$7+AS63*Inputs!$C$8</f>
        <v>0</v>
      </c>
      <c r="AX63" s="46">
        <f t="shared" ca="1" si="40"/>
        <v>47636873.629305817</v>
      </c>
      <c r="AY63" s="46">
        <f ca="1">IF(J63&gt;1,($CD$4)*Inputs!$B$55*((Z63+AA63+AB63)/(SUM(ILP_C_HighResilience!$C$9:$E$13))),0)</f>
        <v>0</v>
      </c>
      <c r="AZ63" s="46">
        <f t="shared" ca="1" si="41"/>
        <v>0</v>
      </c>
      <c r="BA63" s="41">
        <f t="shared" ca="1" si="42"/>
        <v>0</v>
      </c>
      <c r="BB63" s="41">
        <f t="shared" ca="1" si="43"/>
        <v>1</v>
      </c>
      <c r="BC63" s="41">
        <f t="shared" ca="1" si="44"/>
        <v>1</v>
      </c>
      <c r="BD63" s="41">
        <f t="shared" ca="1" si="45"/>
        <v>1</v>
      </c>
    </row>
    <row r="64" spans="1:56" ht="15" customHeight="1" x14ac:dyDescent="0.3">
      <c r="A64" s="41">
        <v>57</v>
      </c>
      <c r="B64" s="42">
        <f t="shared" ca="1" si="27"/>
        <v>0.77169443825996531</v>
      </c>
      <c r="C64" s="43">
        <f ca="1">IF(B64&lt;=Inputs!$C$40,Inputs!$D$40,IF(B64&lt;=Inputs!$C$41,Inputs!$D$41,Inputs!$D$42))</f>
        <v>1.1499999999999999</v>
      </c>
      <c r="D64" s="42">
        <f t="shared" ca="1" si="48"/>
        <v>0.82084609056373026</v>
      </c>
      <c r="E64" s="42">
        <f t="shared" ca="1" si="48"/>
        <v>0.79942628770377799</v>
      </c>
      <c r="F64" s="42">
        <f t="shared" ca="1" si="48"/>
        <v>0.38866803694204322</v>
      </c>
      <c r="G64" s="42">
        <f t="shared" ca="1" si="48"/>
        <v>0.90791245083246419</v>
      </c>
      <c r="H64" s="42">
        <f t="shared" ca="1" si="48"/>
        <v>3.0286777997871828E-2</v>
      </c>
      <c r="I64" s="42">
        <f t="shared" ca="1" si="48"/>
        <v>0.18798008187798221</v>
      </c>
      <c r="J64" s="43">
        <f ca="1">IF(I64&lt;Inputs!$B$54,1+Inputs!$B$55,1)</f>
        <v>1</v>
      </c>
      <c r="K64" s="42">
        <f t="shared" ca="1" si="49"/>
        <v>1.7200750150931254E-2</v>
      </c>
      <c r="L64" s="42">
        <f t="shared" ca="1" si="49"/>
        <v>0.58858984852338037</v>
      </c>
      <c r="M64" s="42">
        <f t="shared" ca="1" si="49"/>
        <v>0.23861954462071766</v>
      </c>
      <c r="N64" s="42">
        <f t="shared" ca="1" si="49"/>
        <v>0.36911531468270098</v>
      </c>
      <c r="O64" s="42">
        <f t="shared" ca="1" si="49"/>
        <v>9.1175957675890373E-2</v>
      </c>
      <c r="P64" s="42">
        <f t="shared" ca="1" si="49"/>
        <v>0.31217310676616816</v>
      </c>
      <c r="Q64" s="42">
        <f t="shared" ca="1" si="49"/>
        <v>0.58776767959698883</v>
      </c>
      <c r="R64" s="42">
        <f t="shared" ca="1" si="49"/>
        <v>0.55090696243540938</v>
      </c>
      <c r="S64" s="42">
        <f t="shared" ca="1" si="49"/>
        <v>0.19315215562486454</v>
      </c>
      <c r="T64" s="42">
        <f t="shared" ca="1" si="49"/>
        <v>0.14656456253563299</v>
      </c>
      <c r="U64" s="44">
        <f ca="1">(IF(D64&gt;=Inputs!$E$12,1,IF(K64&lt;=Inputs!$C$46,Inputs!$D$46,IF(K64&lt;=Inputs!$C$47,Inputs!$D$47,Inputs!$D$48))))*((Inputs!$B$28+(P64-0.5)*2*Inputs!$B$53)/Inputs!$B$28)</f>
        <v>0.99809891808467777</v>
      </c>
      <c r="V64" s="44">
        <f ca="1">(IF(E64&gt;=Inputs!$E$13,1,IF(L64&lt;=Inputs!$C$46,Inputs!$D$46,IF(L64&lt;=Inputs!$C$47,Inputs!$D$47,Inputs!$D$48))))*((Inputs!$B$29+(Q64-0.5)*2*Inputs!$B$53)/Inputs!$B$29)</f>
        <v>1.0008847548346471</v>
      </c>
      <c r="W64" s="44">
        <f ca="1">(IF(F64&gt;=Inputs!$E$14,1,IF(M64&lt;=Inputs!$C$46,Inputs!$D$46,IF(M64&lt;=Inputs!$C$47,Inputs!$D$47,Inputs!$D$48))))*((Inputs!$B$30+(R64-0.5)*2*Inputs!$B$53)/Inputs!$B$30)</f>
        <v>1.0005116277631698</v>
      </c>
      <c r="X64" s="44">
        <f ca="1">(IF(G64&gt;=Inputs!$E$15,1,IF(N64&lt;=Inputs!$C$46,Inputs!$D$46,IF(N64&lt;=Inputs!$C$47,Inputs!$D$47,Inputs!$D$48))))*((Inputs!$B$31+(S64-0.5)*2*Inputs!$B$53)/Inputs!$B$31)</f>
        <v>0.99688479345812042</v>
      </c>
      <c r="Y64" s="44">
        <f ca="1">(IF(H64&gt;=Inputs!$E$16,1,IF(O64&lt;=Inputs!$C$46,Inputs!$D$46,IF(O64&lt;=Inputs!$C$47,Inputs!$D$47,Inputs!$D$48))))*((Inputs!$B$32+(T64-0.5)*2*Inputs!$B$53)/Inputs!$B$32)</f>
        <v>0.99644431149432222</v>
      </c>
      <c r="Z64" s="45">
        <f ca="1">ILP_C_HighResilience!$C$9*U64+ILP_C_HighResilience!$C$10*V64+ILP_C_HighResilience!$C$11*W64+ILP_C_HighResilience!$C$12*X64+ILP_C_HighResilience!$C$13*Y64</f>
        <v>17967.067840512875</v>
      </c>
      <c r="AA64" s="45">
        <f ca="1">ILP_C_HighResilience!$D$9*U64+ILP_C_HighResilience!$D$10*V64+ILP_C_HighResilience!$D$11*W64+ILP_C_HighResilience!$D$12*X64+ILP_C_HighResilience!$D$13*Y64</f>
        <v>14993.157204387084</v>
      </c>
      <c r="AB64" s="45">
        <f ca="1">ILP_C_HighResilience!$E$9*U64+ILP_C_HighResilience!$E$10*V64+ILP_C_HighResilience!$E$11*W64+ILP_C_HighResilience!$E$12*X64+ILP_C_HighResilience!$E$13*Y64</f>
        <v>11996.158495583772</v>
      </c>
      <c r="AC64" s="45">
        <f ca="1">Inputs!$B$6*$C64</f>
        <v>20700</v>
      </c>
      <c r="AD64" s="45">
        <f ca="1">Inputs!$B$7*$C64</f>
        <v>17250</v>
      </c>
      <c r="AE64" s="45">
        <f ca="1">Inputs!$B$8*$C64</f>
        <v>13799.999999999998</v>
      </c>
      <c r="AF64" s="45">
        <f t="shared" ca="1" si="28"/>
        <v>2732.9321594871253</v>
      </c>
      <c r="AG64" s="45">
        <f t="shared" ca="1" si="29"/>
        <v>2256.8427956129162</v>
      </c>
      <c r="AH64" s="45">
        <f t="shared" ca="1" si="30"/>
        <v>1803.8415044162266</v>
      </c>
      <c r="AI64" s="45">
        <f t="shared" ca="1" si="31"/>
        <v>6793.6164595162682</v>
      </c>
      <c r="AJ64" s="45">
        <f ca="1">U64*(Inputs!$B$12-ILP_C_HighResilience!$F$9)+V64*(Inputs!$B$13-ILP_C_HighResilience!$F$10)+W64*(Inputs!$B$14-ILP_C_HighResilience!$F$11)+X64*(Inputs!$B$15-ILP_C_HighResilience!$F$12)+Y64*(Inputs!$B$16-ILP_C_HighResilience!$F$13)</f>
        <v>24941.519071389659</v>
      </c>
      <c r="AK64" s="45">
        <f t="shared" ca="1" si="32"/>
        <v>6793.6164595162682</v>
      </c>
      <c r="AL64" s="45">
        <f t="shared" ca="1" si="33"/>
        <v>0</v>
      </c>
      <c r="AM64" s="45">
        <f t="shared" ca="1" si="34"/>
        <v>0</v>
      </c>
      <c r="AN64" s="45">
        <f t="shared" ca="1" si="35"/>
        <v>0</v>
      </c>
      <c r="AO64" s="45">
        <f ca="1">MIN(AL64,Inputs!$B$36)</f>
        <v>0</v>
      </c>
      <c r="AP64" s="45">
        <f ca="1">MIN(AN64,Inputs!$B$36-AO64)</f>
        <v>0</v>
      </c>
      <c r="AQ64" s="45">
        <f ca="1">MIN(AM64,Inputs!$B$36-AO64-AP64)</f>
        <v>0</v>
      </c>
      <c r="AR64" s="45">
        <f t="shared" ca="1" si="36"/>
        <v>0</v>
      </c>
      <c r="AS64" s="45">
        <f t="shared" ca="1" si="37"/>
        <v>0</v>
      </c>
      <c r="AT64" s="45">
        <f t="shared" ca="1" si="38"/>
        <v>0</v>
      </c>
      <c r="AU64" s="45">
        <f t="shared" ca="1" si="39"/>
        <v>0</v>
      </c>
      <c r="AV64" s="46">
        <f ca="1">AU64*Inputs!$B$35</f>
        <v>0</v>
      </c>
      <c r="AW64" s="46">
        <f ca="1">AR64*Inputs!$C$6+AT64*Inputs!$C$7+AS64*Inputs!$C$8</f>
        <v>0</v>
      </c>
      <c r="AX64" s="46">
        <f t="shared" ca="1" si="40"/>
        <v>47586786.018365167</v>
      </c>
      <c r="AY64" s="46">
        <f ca="1">IF(J64&gt;1,($CD$4)*Inputs!$B$55*((Z64+AA64+AB64)/(SUM(ILP_C_HighResilience!$C$9:$E$13))),0)</f>
        <v>0</v>
      </c>
      <c r="AZ64" s="46">
        <f t="shared" ca="1" si="41"/>
        <v>0</v>
      </c>
      <c r="BA64" s="41">
        <f t="shared" ca="1" si="42"/>
        <v>0</v>
      </c>
      <c r="BB64" s="41">
        <f t="shared" ca="1" si="43"/>
        <v>1</v>
      </c>
      <c r="BC64" s="41">
        <f t="shared" ca="1" si="44"/>
        <v>1</v>
      </c>
      <c r="BD64" s="41">
        <f t="shared" ca="1" si="45"/>
        <v>1</v>
      </c>
    </row>
    <row r="65" spans="1:56" ht="15" customHeight="1" x14ac:dyDescent="0.3">
      <c r="A65" s="41">
        <v>58</v>
      </c>
      <c r="B65" s="42">
        <f t="shared" ca="1" si="27"/>
        <v>0.44484412888133607</v>
      </c>
      <c r="C65" s="43">
        <f ca="1">IF(B65&lt;=Inputs!$C$40,Inputs!$D$40,IF(B65&lt;=Inputs!$C$41,Inputs!$D$41,Inputs!$D$42))</f>
        <v>1</v>
      </c>
      <c r="D65" s="42">
        <f t="shared" ca="1" si="48"/>
        <v>0.77949255789521932</v>
      </c>
      <c r="E65" s="42">
        <f t="shared" ca="1" si="48"/>
        <v>0.42642365146758765</v>
      </c>
      <c r="F65" s="42">
        <f t="shared" ca="1" si="48"/>
        <v>0.25989181484835233</v>
      </c>
      <c r="G65" s="42">
        <f t="shared" ca="1" si="48"/>
        <v>0.25896701597153848</v>
      </c>
      <c r="H65" s="42">
        <f t="shared" ca="1" si="48"/>
        <v>0.33685519921406748</v>
      </c>
      <c r="I65" s="42">
        <f t="shared" ca="1" si="48"/>
        <v>0.82464081896627817</v>
      </c>
      <c r="J65" s="43">
        <f ca="1">IF(I65&lt;Inputs!$B$54,1+Inputs!$B$55,1)</f>
        <v>1</v>
      </c>
      <c r="K65" s="42">
        <f t="shared" ca="1" si="49"/>
        <v>0.33699014358055779</v>
      </c>
      <c r="L65" s="42">
        <f t="shared" ca="1" si="49"/>
        <v>0.18255355549804875</v>
      </c>
      <c r="M65" s="42">
        <f t="shared" ca="1" si="49"/>
        <v>0.37227118404625614</v>
      </c>
      <c r="N65" s="42">
        <f t="shared" ca="1" si="49"/>
        <v>0.86644467088263666</v>
      </c>
      <c r="O65" s="42">
        <f t="shared" ca="1" si="49"/>
        <v>3.7254879784043626E-2</v>
      </c>
      <c r="P65" s="42">
        <f t="shared" ca="1" si="49"/>
        <v>0.51178405216123268</v>
      </c>
      <c r="Q65" s="42">
        <f t="shared" ca="1" si="49"/>
        <v>0.86746209845879485</v>
      </c>
      <c r="R65" s="42">
        <f t="shared" ca="1" si="49"/>
        <v>0.85041796308725259</v>
      </c>
      <c r="S65" s="42">
        <f t="shared" ca="1" si="49"/>
        <v>0.54428839622541203</v>
      </c>
      <c r="T65" s="42">
        <f t="shared" ca="1" si="49"/>
        <v>0.96714394535165515</v>
      </c>
      <c r="U65" s="44">
        <f ca="1">(IF(D65&gt;=Inputs!$E$12,1,IF(K65&lt;=Inputs!$C$46,Inputs!$D$46,IF(K65&lt;=Inputs!$C$47,Inputs!$D$47,Inputs!$D$48))))*((Inputs!$B$28+(P65-0.5)*2*Inputs!$B$53)/Inputs!$B$28)</f>
        <v>1.0001192717830085</v>
      </c>
      <c r="V65" s="44">
        <f ca="1">(IF(E65&gt;=Inputs!$E$13,1,IF(L65&lt;=Inputs!$C$46,Inputs!$D$46,IF(L65&lt;=Inputs!$C$47,Inputs!$D$47,Inputs!$D$48))))*((Inputs!$B$29+(Q65-0.5)*2*Inputs!$B$53)/Inputs!$B$29)</f>
        <v>1.0037042550247861</v>
      </c>
      <c r="W65" s="44">
        <f ca="1">(IF(F65&gt;=Inputs!$E$14,1,IF(M65&lt;=Inputs!$C$46,Inputs!$D$46,IF(M65&lt;=Inputs!$C$47,Inputs!$D$47,Inputs!$D$48))))*((Inputs!$B$30+(R65-0.5)*2*Inputs!$B$53)/Inputs!$B$30)</f>
        <v>1.0035217885737413</v>
      </c>
      <c r="X65" s="44">
        <f ca="1">(IF(G65&gt;=Inputs!$E$15,1,IF(N65&lt;=Inputs!$C$46,Inputs!$D$46,IF(N65&lt;=Inputs!$C$47,Inputs!$D$47,Inputs!$D$48))))*((Inputs!$B$31+(S65-0.5)*2*Inputs!$B$53)/Inputs!$B$31)</f>
        <v>1.0004496283880753</v>
      </c>
      <c r="Y65" s="44">
        <f ca="1">(IF(H65&gt;=Inputs!$E$16,1,IF(O65&lt;=Inputs!$C$46,Inputs!$D$46,IF(O65&lt;=Inputs!$C$47,Inputs!$D$47,Inputs!$D$48))))*((Inputs!$B$32+(T65-0.5)*2*Inputs!$B$53)/Inputs!$B$32)</f>
        <v>1.0046996372771797</v>
      </c>
      <c r="Z65" s="45">
        <f ca="1">ILP_C_HighResilience!$C$9*U65+ILP_C_HighResilience!$C$10*V65+ILP_C_HighResilience!$C$11*W65+ILP_C_HighResilience!$C$12*X65+ILP_C_HighResilience!$C$13*Y65</f>
        <v>18017.431399321031</v>
      </c>
      <c r="AA65" s="45">
        <f ca="1">ILP_C_HighResilience!$D$9*U65+ILP_C_HighResilience!$D$10*V65+ILP_C_HighResilience!$D$11*W65+ILP_C_HighResilience!$D$12*X65+ILP_C_HighResilience!$D$13*Y65</f>
        <v>15039.72824725461</v>
      </c>
      <c r="AB65" s="45">
        <f ca="1">ILP_C_HighResilience!$E$9*U65+ILP_C_HighResilience!$E$10*V65+ILP_C_HighResilience!$E$11*W65+ILP_C_HighResilience!$E$12*X65+ILP_C_HighResilience!$E$13*Y65</f>
        <v>12026.711798431457</v>
      </c>
      <c r="AC65" s="45">
        <f ca="1">Inputs!$B$6*$C65</f>
        <v>18000</v>
      </c>
      <c r="AD65" s="45">
        <f ca="1">Inputs!$B$7*$C65</f>
        <v>15000</v>
      </c>
      <c r="AE65" s="45">
        <f ca="1">Inputs!$B$8*$C65</f>
        <v>12000</v>
      </c>
      <c r="AF65" s="45">
        <f t="shared" ca="1" si="28"/>
        <v>0</v>
      </c>
      <c r="AG65" s="45">
        <f t="shared" ca="1" si="29"/>
        <v>0</v>
      </c>
      <c r="AH65" s="45">
        <f t="shared" ca="1" si="30"/>
        <v>0</v>
      </c>
      <c r="AI65" s="45">
        <f t="shared" ca="1" si="31"/>
        <v>0</v>
      </c>
      <c r="AJ65" s="45">
        <f ca="1">U65*(Inputs!$B$12-ILP_C_HighResilience!$F$9)+V65*(Inputs!$B$13-ILP_C_HighResilience!$F$10)+W65*(Inputs!$B$14-ILP_C_HighResilience!$F$11)+X65*(Inputs!$B$15-ILP_C_HighResilience!$F$12)+Y65*(Inputs!$B$16-ILP_C_HighResilience!$F$13)</f>
        <v>25091.569825141276</v>
      </c>
      <c r="AK65" s="45">
        <f t="shared" ca="1" si="32"/>
        <v>0</v>
      </c>
      <c r="AL65" s="45">
        <f t="shared" ca="1" si="33"/>
        <v>0</v>
      </c>
      <c r="AM65" s="45">
        <f t="shared" ca="1" si="34"/>
        <v>0</v>
      </c>
      <c r="AN65" s="45">
        <f t="shared" ca="1" si="35"/>
        <v>0</v>
      </c>
      <c r="AO65" s="45">
        <f ca="1">MIN(AL65,Inputs!$B$36)</f>
        <v>0</v>
      </c>
      <c r="AP65" s="45">
        <f ca="1">MIN(AN65,Inputs!$B$36-AO65)</f>
        <v>0</v>
      </c>
      <c r="AQ65" s="45">
        <f ca="1">MIN(AM65,Inputs!$B$36-AO65-AP65)</f>
        <v>0</v>
      </c>
      <c r="AR65" s="45">
        <f t="shared" ca="1" si="36"/>
        <v>0</v>
      </c>
      <c r="AS65" s="45">
        <f t="shared" ca="1" si="37"/>
        <v>0</v>
      </c>
      <c r="AT65" s="45">
        <f t="shared" ca="1" si="38"/>
        <v>0</v>
      </c>
      <c r="AU65" s="45">
        <f t="shared" ca="1" si="39"/>
        <v>0</v>
      </c>
      <c r="AV65" s="46">
        <f ca="1">AU65*Inputs!$B$35</f>
        <v>0</v>
      </c>
      <c r="AW65" s="46">
        <f ca="1">AR65*Inputs!$C$6+AT65*Inputs!$C$7+AS65*Inputs!$C$8</f>
        <v>0</v>
      </c>
      <c r="AX65" s="46">
        <f t="shared" ca="1" si="40"/>
        <v>47721588.432048321</v>
      </c>
      <c r="AY65" s="46">
        <f ca="1">IF(J65&gt;1,($CD$4)*Inputs!$B$55*((Z65+AA65+AB65)/(SUM(ILP_C_HighResilience!$C$9:$E$13))),0)</f>
        <v>0</v>
      </c>
      <c r="AZ65" s="46">
        <f t="shared" ca="1" si="41"/>
        <v>0</v>
      </c>
      <c r="BA65" s="41">
        <f t="shared" ca="1" si="42"/>
        <v>0</v>
      </c>
      <c r="BB65" s="41">
        <f t="shared" ca="1" si="43"/>
        <v>1</v>
      </c>
      <c r="BC65" s="41">
        <f t="shared" ca="1" si="44"/>
        <v>1</v>
      </c>
      <c r="BD65" s="41">
        <f t="shared" ca="1" si="45"/>
        <v>1</v>
      </c>
    </row>
    <row r="66" spans="1:56" ht="15" customHeight="1" x14ac:dyDescent="0.3">
      <c r="A66" s="41">
        <v>59</v>
      </c>
      <c r="B66" s="42">
        <f t="shared" ca="1" si="27"/>
        <v>3.9909614690639361E-2</v>
      </c>
      <c r="C66" s="43">
        <f ca="1">IF(B66&lt;=Inputs!$C$40,Inputs!$D$40,IF(B66&lt;=Inputs!$C$41,Inputs!$D$41,Inputs!$D$42))</f>
        <v>0.9</v>
      </c>
      <c r="D66" s="42">
        <f t="shared" ca="1" si="48"/>
        <v>0.80289262965360819</v>
      </c>
      <c r="E66" s="42">
        <f t="shared" ca="1" si="48"/>
        <v>0.97192324866781432</v>
      </c>
      <c r="F66" s="42">
        <f t="shared" ca="1" si="48"/>
        <v>0.16903323973227691</v>
      </c>
      <c r="G66" s="42">
        <f t="shared" ca="1" si="48"/>
        <v>0.79200492358175123</v>
      </c>
      <c r="H66" s="42">
        <f t="shared" ca="1" si="48"/>
        <v>0.28810402856569917</v>
      </c>
      <c r="I66" s="42">
        <f t="shared" ca="1" si="48"/>
        <v>0.36547678112423654</v>
      </c>
      <c r="J66" s="43">
        <f ca="1">IF(I66&lt;Inputs!$B$54,1+Inputs!$B$55,1)</f>
        <v>1</v>
      </c>
      <c r="K66" s="42">
        <f t="shared" ca="1" si="49"/>
        <v>0.6835076075034997</v>
      </c>
      <c r="L66" s="42">
        <f t="shared" ca="1" si="49"/>
        <v>0.86302070625984417</v>
      </c>
      <c r="M66" s="42">
        <f t="shared" ca="1" si="49"/>
        <v>0.4295452636896222</v>
      </c>
      <c r="N66" s="42">
        <f t="shared" ca="1" si="49"/>
        <v>0.38311151920684072</v>
      </c>
      <c r="O66" s="42">
        <f t="shared" ca="1" si="49"/>
        <v>0.92809753094672132</v>
      </c>
      <c r="P66" s="42">
        <f t="shared" ca="1" si="49"/>
        <v>0.95243899629647799</v>
      </c>
      <c r="Q66" s="42">
        <f t="shared" ca="1" si="49"/>
        <v>5.7377679511354529E-2</v>
      </c>
      <c r="R66" s="42">
        <f t="shared" ca="1" si="49"/>
        <v>0.87684244954420376</v>
      </c>
      <c r="S66" s="42">
        <f t="shared" ca="1" si="49"/>
        <v>0.64787621267806095</v>
      </c>
      <c r="T66" s="42">
        <f t="shared" ca="1" si="49"/>
        <v>0.8941001895119991</v>
      </c>
      <c r="U66" s="44">
        <f ca="1">(IF(D66&gt;=Inputs!$E$12,1,IF(K66&lt;=Inputs!$C$46,Inputs!$D$46,IF(K66&lt;=Inputs!$C$47,Inputs!$D$47,Inputs!$D$48))))*((Inputs!$B$28+(P66-0.5)*2*Inputs!$B$53)/Inputs!$B$28)</f>
        <v>1.0045793420677782</v>
      </c>
      <c r="V66" s="44">
        <f ca="1">(IF(E66&gt;=Inputs!$E$13,1,IF(L66&lt;=Inputs!$C$46,Inputs!$D$46,IF(L66&lt;=Inputs!$C$47,Inputs!$D$47,Inputs!$D$48))))*((Inputs!$B$29+(Q66-0.5)*2*Inputs!$B$53)/Inputs!$B$29)</f>
        <v>0.99553808144668698</v>
      </c>
      <c r="W66" s="44">
        <f ca="1">(IF(F66&gt;=Inputs!$E$14,1,IF(M66&lt;=Inputs!$C$46,Inputs!$D$46,IF(M66&lt;=Inputs!$C$47,Inputs!$D$47,Inputs!$D$48))))*((Inputs!$B$30+(R66-0.5)*2*Inputs!$B$53)/Inputs!$B$30)</f>
        <v>1.0037873613019517</v>
      </c>
      <c r="X66" s="44">
        <f ca="1">(IF(G66&gt;=Inputs!$E$15,1,IF(N66&lt;=Inputs!$C$46,Inputs!$D$46,IF(N66&lt;=Inputs!$C$47,Inputs!$D$47,Inputs!$D$48))))*((Inputs!$B$31+(S66-0.5)*2*Inputs!$B$53)/Inputs!$B$31)</f>
        <v>1.0015012813469855</v>
      </c>
      <c r="Y66" s="44">
        <f ca="1">(IF(H66&gt;=Inputs!$E$16,1,IF(O66&lt;=Inputs!$C$46,Inputs!$D$46,IF(O66&lt;=Inputs!$C$47,Inputs!$D$47,Inputs!$D$48))))*((Inputs!$B$32+(T66-0.5)*2*Inputs!$B$53)/Inputs!$B$32)</f>
        <v>1.0039647906389537</v>
      </c>
      <c r="Z66" s="45">
        <f ca="1">ILP_C_HighResilience!$C$9*U66+ILP_C_HighResilience!$C$10*V66+ILP_C_HighResilience!$C$11*W66+ILP_C_HighResilience!$C$12*X66+ILP_C_HighResilience!$C$13*Y66</f>
        <v>18027.717581794372</v>
      </c>
      <c r="AA66" s="45">
        <f ca="1">ILP_C_HighResilience!$D$9*U66+ILP_C_HighResilience!$D$10*V66+ILP_C_HighResilience!$D$11*W66+ILP_C_HighResilience!$D$12*X66+ILP_C_HighResilience!$D$13*Y66</f>
        <v>14996.753051005744</v>
      </c>
      <c r="AB66" s="45">
        <f ca="1">ILP_C_HighResilience!$E$9*U66+ILP_C_HighResilience!$E$10*V66+ILP_C_HighResilience!$E$11*W66+ILP_C_HighResilience!$E$12*X66+ILP_C_HighResilience!$E$13*Y66</f>
        <v>12013.876931280012</v>
      </c>
      <c r="AC66" s="45">
        <f ca="1">Inputs!$B$6*$C66</f>
        <v>16200</v>
      </c>
      <c r="AD66" s="45">
        <f ca="1">Inputs!$B$7*$C66</f>
        <v>13500</v>
      </c>
      <c r="AE66" s="45">
        <f ca="1">Inputs!$B$8*$C66</f>
        <v>10800</v>
      </c>
      <c r="AF66" s="45">
        <f t="shared" ca="1" si="28"/>
        <v>0</v>
      </c>
      <c r="AG66" s="45">
        <f t="shared" ca="1" si="29"/>
        <v>0</v>
      </c>
      <c r="AH66" s="45">
        <f t="shared" ca="1" si="30"/>
        <v>0</v>
      </c>
      <c r="AI66" s="45">
        <f t="shared" ca="1" si="31"/>
        <v>0</v>
      </c>
      <c r="AJ66" s="45">
        <f ca="1">U66*(Inputs!$B$12-ILP_C_HighResilience!$F$9)+V66*(Inputs!$B$13-ILP_C_HighResilience!$F$10)+W66*(Inputs!$B$14-ILP_C_HighResilience!$F$11)+X66*(Inputs!$B$15-ILP_C_HighResilience!$F$12)+Y66*(Inputs!$B$16-ILP_C_HighResilience!$F$13)</f>
        <v>25099.177981931447</v>
      </c>
      <c r="AK66" s="45">
        <f t="shared" ca="1" si="32"/>
        <v>0</v>
      </c>
      <c r="AL66" s="45">
        <f t="shared" ca="1" si="33"/>
        <v>0</v>
      </c>
      <c r="AM66" s="45">
        <f t="shared" ca="1" si="34"/>
        <v>0</v>
      </c>
      <c r="AN66" s="45">
        <f t="shared" ca="1" si="35"/>
        <v>0</v>
      </c>
      <c r="AO66" s="45">
        <f ca="1">MIN(AL66,Inputs!$B$36)</f>
        <v>0</v>
      </c>
      <c r="AP66" s="45">
        <f ca="1">MIN(AN66,Inputs!$B$36-AO66)</f>
        <v>0</v>
      </c>
      <c r="AQ66" s="45">
        <f ca="1">MIN(AM66,Inputs!$B$36-AO66-AP66)</f>
        <v>0</v>
      </c>
      <c r="AR66" s="45">
        <f t="shared" ca="1" si="36"/>
        <v>0</v>
      </c>
      <c r="AS66" s="45">
        <f t="shared" ca="1" si="37"/>
        <v>0</v>
      </c>
      <c r="AT66" s="45">
        <f t="shared" ca="1" si="38"/>
        <v>0</v>
      </c>
      <c r="AU66" s="45">
        <f t="shared" ca="1" si="39"/>
        <v>0</v>
      </c>
      <c r="AV66" s="46">
        <f ca="1">AU66*Inputs!$B$35</f>
        <v>0</v>
      </c>
      <c r="AW66" s="46">
        <f ca="1">AR66*Inputs!$C$6+AT66*Inputs!$C$7+AS66*Inputs!$C$8</f>
        <v>0</v>
      </c>
      <c r="AX66" s="46">
        <f t="shared" ca="1" si="40"/>
        <v>47673039.312058084</v>
      </c>
      <c r="AY66" s="46">
        <f ca="1">IF(J66&gt;1,($CD$4)*Inputs!$B$55*((Z66+AA66+AB66)/(SUM(ILP_C_HighResilience!$C$9:$E$13))),0)</f>
        <v>0</v>
      </c>
      <c r="AZ66" s="46">
        <f t="shared" ca="1" si="41"/>
        <v>0</v>
      </c>
      <c r="BA66" s="41">
        <f t="shared" ca="1" si="42"/>
        <v>0</v>
      </c>
      <c r="BB66" s="41">
        <f t="shared" ca="1" si="43"/>
        <v>1</v>
      </c>
      <c r="BC66" s="41">
        <f t="shared" ca="1" si="44"/>
        <v>1</v>
      </c>
      <c r="BD66" s="41">
        <f t="shared" ca="1" si="45"/>
        <v>1</v>
      </c>
    </row>
    <row r="67" spans="1:56" ht="15" customHeight="1" x14ac:dyDescent="0.3">
      <c r="A67" s="41">
        <v>60</v>
      </c>
      <c r="B67" s="42">
        <f t="shared" ca="1" si="27"/>
        <v>0.58989809687003125</v>
      </c>
      <c r="C67" s="43">
        <f ca="1">IF(B67&lt;=Inputs!$C$40,Inputs!$D$40,IF(B67&lt;=Inputs!$C$41,Inputs!$D$41,Inputs!$D$42))</f>
        <v>1</v>
      </c>
      <c r="D67" s="42">
        <f t="shared" ca="1" si="48"/>
        <v>0.81728784448390868</v>
      </c>
      <c r="E67" s="42">
        <f t="shared" ca="1" si="48"/>
        <v>0.32941543558941033</v>
      </c>
      <c r="F67" s="42">
        <f t="shared" ca="1" si="48"/>
        <v>0.78827470284691947</v>
      </c>
      <c r="G67" s="42">
        <f t="shared" ca="1" si="48"/>
        <v>0.90453245836141249</v>
      </c>
      <c r="H67" s="42">
        <f t="shared" ca="1" si="48"/>
        <v>0.99338542742604352</v>
      </c>
      <c r="I67" s="42">
        <f t="shared" ca="1" si="48"/>
        <v>0.28934550222284794</v>
      </c>
      <c r="J67" s="43">
        <f ca="1">IF(I67&lt;Inputs!$B$54,1+Inputs!$B$55,1)</f>
        <v>1</v>
      </c>
      <c r="K67" s="42">
        <f t="shared" ca="1" si="49"/>
        <v>0.99439344006951114</v>
      </c>
      <c r="L67" s="42">
        <f t="shared" ca="1" si="49"/>
        <v>0.34075053428556468</v>
      </c>
      <c r="M67" s="42">
        <f t="shared" ca="1" si="49"/>
        <v>0.87158790042243894</v>
      </c>
      <c r="N67" s="42">
        <f t="shared" ca="1" si="49"/>
        <v>3.5307107769856239E-2</v>
      </c>
      <c r="O67" s="42">
        <f t="shared" ca="1" si="49"/>
        <v>0.93987545560651042</v>
      </c>
      <c r="P67" s="42">
        <f t="shared" ca="1" si="49"/>
        <v>0.53066279567352792</v>
      </c>
      <c r="Q67" s="42">
        <f t="shared" ca="1" si="49"/>
        <v>0.49620109380499267</v>
      </c>
      <c r="R67" s="42">
        <f t="shared" ca="1" si="49"/>
        <v>0.63161318230782082</v>
      </c>
      <c r="S67" s="42">
        <f t="shared" ca="1" si="49"/>
        <v>0.50481976130301842</v>
      </c>
      <c r="T67" s="42">
        <f t="shared" ca="1" si="49"/>
        <v>0.9397287709765848</v>
      </c>
      <c r="U67" s="44">
        <f ca="1">(IF(D67&gt;=Inputs!$E$12,1,IF(K67&lt;=Inputs!$C$46,Inputs!$D$46,IF(K67&lt;=Inputs!$C$47,Inputs!$D$47,Inputs!$D$48))))*((Inputs!$B$28+(P67-0.5)*2*Inputs!$B$53)/Inputs!$B$28)</f>
        <v>1.0003103521829304</v>
      </c>
      <c r="V67" s="44">
        <f ca="1">(IF(E67&gt;=Inputs!$E$13,1,IF(L67&lt;=Inputs!$C$46,Inputs!$D$46,IF(L67&lt;=Inputs!$C$47,Inputs!$D$47,Inputs!$D$48))))*((Inputs!$B$29+(Q67-0.5)*2*Inputs!$B$53)/Inputs!$B$29)</f>
        <v>0.99996170457464706</v>
      </c>
      <c r="W67" s="44">
        <f ca="1">(IF(F67&gt;=Inputs!$E$14,1,IF(M67&lt;=Inputs!$C$46,Inputs!$D$46,IF(M67&lt;=Inputs!$C$47,Inputs!$D$47,Inputs!$D$48))))*((Inputs!$B$30+(R67-0.5)*2*Inputs!$B$53)/Inputs!$B$30)</f>
        <v>1.0013227455508324</v>
      </c>
      <c r="X67" s="44">
        <f ca="1">(IF(G67&gt;=Inputs!$E$15,1,IF(N67&lt;=Inputs!$C$46,Inputs!$D$46,IF(N67&lt;=Inputs!$C$47,Inputs!$D$47,Inputs!$D$48))))*((Inputs!$B$31+(S67-0.5)*2*Inputs!$B$53)/Inputs!$B$31)</f>
        <v>1.0000489315868326</v>
      </c>
      <c r="Y67" s="44">
        <f ca="1">(IF(H67&gt;=Inputs!$E$16,1,IF(O67&lt;=Inputs!$C$46,Inputs!$D$46,IF(O67&lt;=Inputs!$C$47,Inputs!$D$47,Inputs!$D$48))))*((Inputs!$B$32+(T67-0.5)*2*Inputs!$B$53)/Inputs!$B$32)</f>
        <v>1.0044238306939295</v>
      </c>
      <c r="Z67" s="45">
        <f ca="1">ILP_C_HighResilience!$C$9*U67+ILP_C_HighResilience!$C$10*V67+ILP_C_HighResilience!$C$11*W67+ILP_C_HighResilience!$C$12*X67+ILP_C_HighResilience!$C$13*Y67</f>
        <v>18002.448979611021</v>
      </c>
      <c r="AA67" s="45">
        <f ca="1">ILP_C_HighResilience!$D$9*U67+ILP_C_HighResilience!$D$10*V67+ILP_C_HighResilience!$D$11*W67+ILP_C_HighResilience!$D$12*X67+ILP_C_HighResilience!$D$13*Y67</f>
        <v>15005.789916891696</v>
      </c>
      <c r="AB67" s="45">
        <f ca="1">ILP_C_HighResilience!$E$9*U67+ILP_C_HighResilience!$E$10*V67+ILP_C_HighResilience!$E$11*W67+ILP_C_HighResilience!$E$12*X67+ILP_C_HighResilience!$E$13*Y67</f>
        <v>12005.177314738177</v>
      </c>
      <c r="AC67" s="45">
        <f ca="1">Inputs!$B$6*$C67</f>
        <v>18000</v>
      </c>
      <c r="AD67" s="45">
        <f ca="1">Inputs!$B$7*$C67</f>
        <v>15000</v>
      </c>
      <c r="AE67" s="45">
        <f ca="1">Inputs!$B$8*$C67</f>
        <v>12000</v>
      </c>
      <c r="AF67" s="45">
        <f t="shared" ca="1" si="28"/>
        <v>0</v>
      </c>
      <c r="AG67" s="45">
        <f t="shared" ca="1" si="29"/>
        <v>0</v>
      </c>
      <c r="AH67" s="45">
        <f t="shared" ca="1" si="30"/>
        <v>0</v>
      </c>
      <c r="AI67" s="45">
        <f t="shared" ca="1" si="31"/>
        <v>0</v>
      </c>
      <c r="AJ67" s="45">
        <f ca="1">U67*(Inputs!$B$12-ILP_C_HighResilience!$F$9)+V67*(Inputs!$B$13-ILP_C_HighResilience!$F$10)+W67*(Inputs!$B$14-ILP_C_HighResilience!$F$11)+X67*(Inputs!$B$15-ILP_C_HighResilience!$F$12)+Y67*(Inputs!$B$16-ILP_C_HighResilience!$F$13)</f>
        <v>25075.153619342804</v>
      </c>
      <c r="AK67" s="45">
        <f t="shared" ca="1" si="32"/>
        <v>0</v>
      </c>
      <c r="AL67" s="45">
        <f t="shared" ca="1" si="33"/>
        <v>0</v>
      </c>
      <c r="AM67" s="45">
        <f t="shared" ca="1" si="34"/>
        <v>0</v>
      </c>
      <c r="AN67" s="45">
        <f t="shared" ca="1" si="35"/>
        <v>0</v>
      </c>
      <c r="AO67" s="45">
        <f ca="1">MIN(AL67,Inputs!$B$36)</f>
        <v>0</v>
      </c>
      <c r="AP67" s="45">
        <f ca="1">MIN(AN67,Inputs!$B$36-AO67)</f>
        <v>0</v>
      </c>
      <c r="AQ67" s="45">
        <f ca="1">MIN(AM67,Inputs!$B$36-AO67-AP67)</f>
        <v>0</v>
      </c>
      <c r="AR67" s="45">
        <f t="shared" ca="1" si="36"/>
        <v>0</v>
      </c>
      <c r="AS67" s="45">
        <f t="shared" ca="1" si="37"/>
        <v>0</v>
      </c>
      <c r="AT67" s="45">
        <f t="shared" ca="1" si="38"/>
        <v>0</v>
      </c>
      <c r="AU67" s="45">
        <f t="shared" ca="1" si="39"/>
        <v>0</v>
      </c>
      <c r="AV67" s="46">
        <f ca="1">AU67*Inputs!$B$35</f>
        <v>0</v>
      </c>
      <c r="AW67" s="46">
        <f ca="1">AR67*Inputs!$C$6+AT67*Inputs!$C$7+AS67*Inputs!$C$8</f>
        <v>0</v>
      </c>
      <c r="AX67" s="46">
        <f t="shared" ca="1" si="40"/>
        <v>47646737.815245479</v>
      </c>
      <c r="AY67" s="46">
        <f ca="1">IF(J67&gt;1,($CD$4)*Inputs!$B$55*((Z67+AA67+AB67)/(SUM(ILP_C_HighResilience!$C$9:$E$13))),0)</f>
        <v>0</v>
      </c>
      <c r="AZ67" s="46">
        <f t="shared" ca="1" si="41"/>
        <v>0</v>
      </c>
      <c r="BA67" s="41">
        <f t="shared" ca="1" si="42"/>
        <v>0</v>
      </c>
      <c r="BB67" s="41">
        <f t="shared" ca="1" si="43"/>
        <v>1</v>
      </c>
      <c r="BC67" s="41">
        <f t="shared" ca="1" si="44"/>
        <v>1</v>
      </c>
      <c r="BD67" s="41">
        <f t="shared" ca="1" si="45"/>
        <v>1</v>
      </c>
    </row>
    <row r="68" spans="1:56" ht="15" customHeight="1" x14ac:dyDescent="0.3">
      <c r="A68" s="41">
        <v>61</v>
      </c>
      <c r="B68" s="42">
        <f t="shared" ca="1" si="27"/>
        <v>0.77487803411738165</v>
      </c>
      <c r="C68" s="43">
        <f ca="1">IF(B68&lt;=Inputs!$C$40,Inputs!$D$40,IF(B68&lt;=Inputs!$C$41,Inputs!$D$41,Inputs!$D$42))</f>
        <v>1.1499999999999999</v>
      </c>
      <c r="D68" s="42">
        <f t="shared" ref="D68:I77" ca="1" si="50">RAND()</f>
        <v>0.49149276987452717</v>
      </c>
      <c r="E68" s="42">
        <f t="shared" ca="1" si="50"/>
        <v>0.60917595736463248</v>
      </c>
      <c r="F68" s="42">
        <f t="shared" ca="1" si="50"/>
        <v>0.30227418887339608</v>
      </c>
      <c r="G68" s="42">
        <f t="shared" ca="1" si="50"/>
        <v>0.54690652317487409</v>
      </c>
      <c r="H68" s="42">
        <f t="shared" ca="1" si="50"/>
        <v>0.11295391823845613</v>
      </c>
      <c r="I68" s="42">
        <f t="shared" ca="1" si="50"/>
        <v>0.41733945893139424</v>
      </c>
      <c r="J68" s="43">
        <f ca="1">IF(I68&lt;Inputs!$B$54,1+Inputs!$B$55,1)</f>
        <v>1</v>
      </c>
      <c r="K68" s="42">
        <f t="shared" ref="K68:T77" ca="1" si="51">RAND()</f>
        <v>0.11029634609439454</v>
      </c>
      <c r="L68" s="42">
        <f t="shared" ca="1" si="51"/>
        <v>0.28787616463753996</v>
      </c>
      <c r="M68" s="42">
        <f t="shared" ca="1" si="51"/>
        <v>0.95536745205626716</v>
      </c>
      <c r="N68" s="42">
        <f t="shared" ca="1" si="51"/>
        <v>0.15834163648688437</v>
      </c>
      <c r="O68" s="42">
        <f t="shared" ca="1" si="51"/>
        <v>0.50637586718461414</v>
      </c>
      <c r="P68" s="42">
        <f t="shared" ca="1" si="51"/>
        <v>0.6502142692663142</v>
      </c>
      <c r="Q68" s="42">
        <f t="shared" ca="1" si="51"/>
        <v>0.99685927023848919</v>
      </c>
      <c r="R68" s="42">
        <f t="shared" ca="1" si="51"/>
        <v>0.46756290256798383</v>
      </c>
      <c r="S68" s="42">
        <f t="shared" ca="1" si="51"/>
        <v>0.10430842697317322</v>
      </c>
      <c r="T68" s="42">
        <f t="shared" ca="1" si="51"/>
        <v>0.28992022281193386</v>
      </c>
      <c r="U68" s="44">
        <f ca="1">(IF(D68&gt;=Inputs!$E$12,1,IF(K68&lt;=Inputs!$C$46,Inputs!$D$46,IF(K68&lt;=Inputs!$C$47,Inputs!$D$47,Inputs!$D$48))))*((Inputs!$B$28+(P68-0.5)*2*Inputs!$B$53)/Inputs!$B$28)</f>
        <v>1.0015203873407521</v>
      </c>
      <c r="V68" s="44">
        <f ca="1">(IF(E68&gt;=Inputs!$E$13,1,IF(L68&lt;=Inputs!$C$46,Inputs!$D$46,IF(L68&lt;=Inputs!$C$47,Inputs!$D$47,Inputs!$D$48))))*((Inputs!$B$29+(Q68-0.5)*2*Inputs!$B$53)/Inputs!$B$29)</f>
        <v>1.0050086619983718</v>
      </c>
      <c r="W68" s="44">
        <f ca="1">(IF(F68&gt;=Inputs!$E$14,1,IF(M68&lt;=Inputs!$C$46,Inputs!$D$46,IF(M68&lt;=Inputs!$C$47,Inputs!$D$47,Inputs!$D$48))))*((Inputs!$B$30+(R68-0.5)*2*Inputs!$B$53)/Inputs!$B$30)</f>
        <v>0.9996739990207838</v>
      </c>
      <c r="X68" s="44">
        <f ca="1">(IF(G68&gt;=Inputs!$E$15,1,IF(N68&lt;=Inputs!$C$46,Inputs!$D$46,IF(N68&lt;=Inputs!$C$47,Inputs!$D$47,Inputs!$D$48))))*((Inputs!$B$31+(S68-0.5)*2*Inputs!$B$53)/Inputs!$B$31)</f>
        <v>0.99598282666977844</v>
      </c>
      <c r="Y68" s="44">
        <f ca="1">(IF(H68&gt;=Inputs!$E$16,1,IF(O68&lt;=Inputs!$C$46,Inputs!$D$46,IF(O68&lt;=Inputs!$C$47,Inputs!$D$47,Inputs!$D$48))))*((Inputs!$B$32+(T68-0.5)*2*Inputs!$B$53)/Inputs!$B$32)</f>
        <v>0.99788652135625688</v>
      </c>
      <c r="Z68" s="45">
        <f ca="1">ILP_C_HighResilience!$C$9*U68+ILP_C_HighResilience!$C$10*V68+ILP_C_HighResilience!$C$11*W68+ILP_C_HighResilience!$C$12*X68+ILP_C_HighResilience!$C$13*Y68</f>
        <v>18000.054324069959</v>
      </c>
      <c r="AA68" s="45">
        <f ca="1">ILP_C_HighResilience!$D$9*U68+ILP_C_HighResilience!$D$10*V68+ILP_C_HighResilience!$D$11*W68+ILP_C_HighResilience!$D$12*X68+ILP_C_HighResilience!$D$13*Y68</f>
        <v>15010.064746915639</v>
      </c>
      <c r="AB68" s="45">
        <f ca="1">ILP_C_HighResilience!$E$9*U68+ILP_C_HighResilience!$E$10*V68+ILP_C_HighResilience!$E$11*W68+ILP_C_HighResilience!$E$12*X68+ILP_C_HighResilience!$E$13*Y68</f>
        <v>12027.82568703315</v>
      </c>
      <c r="AC68" s="45">
        <f ca="1">Inputs!$B$6*$C68</f>
        <v>20700</v>
      </c>
      <c r="AD68" s="45">
        <f ca="1">Inputs!$B$7*$C68</f>
        <v>17250</v>
      </c>
      <c r="AE68" s="45">
        <f ca="1">Inputs!$B$8*$C68</f>
        <v>13799.999999999998</v>
      </c>
      <c r="AF68" s="45">
        <f t="shared" ca="1" si="28"/>
        <v>2699.945675930041</v>
      </c>
      <c r="AG68" s="45">
        <f t="shared" ca="1" si="29"/>
        <v>2239.9352530843607</v>
      </c>
      <c r="AH68" s="45">
        <f t="shared" ca="1" si="30"/>
        <v>1772.1743129668484</v>
      </c>
      <c r="AI68" s="45">
        <f t="shared" ca="1" si="31"/>
        <v>6712.0552419812502</v>
      </c>
      <c r="AJ68" s="45">
        <f ca="1">U68*(Inputs!$B$12-ILP_C_HighResilience!$F$9)+V68*(Inputs!$B$13-ILP_C_HighResilience!$F$10)+W68*(Inputs!$B$14-ILP_C_HighResilience!$F$11)+X68*(Inputs!$B$15-ILP_C_HighResilience!$F$12)+Y68*(Inputs!$B$16-ILP_C_HighResilience!$F$13)</f>
        <v>24972.356435061873</v>
      </c>
      <c r="AK68" s="45">
        <f t="shared" ca="1" si="32"/>
        <v>6712.0552419812502</v>
      </c>
      <c r="AL68" s="45">
        <f t="shared" ca="1" si="33"/>
        <v>0</v>
      </c>
      <c r="AM68" s="45">
        <f t="shared" ca="1" si="34"/>
        <v>0</v>
      </c>
      <c r="AN68" s="45">
        <f t="shared" ca="1" si="35"/>
        <v>0</v>
      </c>
      <c r="AO68" s="45">
        <f ca="1">MIN(AL68,Inputs!$B$36)</f>
        <v>0</v>
      </c>
      <c r="AP68" s="45">
        <f ca="1">MIN(AN68,Inputs!$B$36-AO68)</f>
        <v>0</v>
      </c>
      <c r="AQ68" s="45">
        <f ca="1">MIN(AM68,Inputs!$B$36-AO68-AP68)</f>
        <v>0</v>
      </c>
      <c r="AR68" s="45">
        <f t="shared" ca="1" si="36"/>
        <v>0</v>
      </c>
      <c r="AS68" s="45">
        <f t="shared" ca="1" si="37"/>
        <v>0</v>
      </c>
      <c r="AT68" s="45">
        <f t="shared" ca="1" si="38"/>
        <v>0</v>
      </c>
      <c r="AU68" s="45">
        <f t="shared" ca="1" si="39"/>
        <v>0</v>
      </c>
      <c r="AV68" s="46">
        <f ca="1">AU68*Inputs!$B$35</f>
        <v>0</v>
      </c>
      <c r="AW68" s="46">
        <f ca="1">AR68*Inputs!$C$6+AT68*Inputs!$C$7+AS68*Inputs!$C$8</f>
        <v>0</v>
      </c>
      <c r="AX68" s="46">
        <f t="shared" ca="1" si="40"/>
        <v>47673548.249649212</v>
      </c>
      <c r="AY68" s="46">
        <f ca="1">IF(J68&gt;1,($CD$4)*Inputs!$B$55*((Z68+AA68+AB68)/(SUM(ILP_C_HighResilience!$C$9:$E$13))),0)</f>
        <v>0</v>
      </c>
      <c r="AZ68" s="46">
        <f t="shared" ca="1" si="41"/>
        <v>0</v>
      </c>
      <c r="BA68" s="41">
        <f t="shared" ca="1" si="42"/>
        <v>0</v>
      </c>
      <c r="BB68" s="41">
        <f t="shared" ca="1" si="43"/>
        <v>1</v>
      </c>
      <c r="BC68" s="41">
        <f t="shared" ca="1" si="44"/>
        <v>1</v>
      </c>
      <c r="BD68" s="41">
        <f t="shared" ca="1" si="45"/>
        <v>1</v>
      </c>
    </row>
    <row r="69" spans="1:56" ht="15" customHeight="1" x14ac:dyDescent="0.3">
      <c r="A69" s="41">
        <v>62</v>
      </c>
      <c r="B69" s="42">
        <f t="shared" ca="1" si="27"/>
        <v>0.93089829982302785</v>
      </c>
      <c r="C69" s="43">
        <f ca="1">IF(B69&lt;=Inputs!$C$40,Inputs!$D$40,IF(B69&lt;=Inputs!$C$41,Inputs!$D$41,Inputs!$D$42))</f>
        <v>1.1499999999999999</v>
      </c>
      <c r="D69" s="42">
        <f t="shared" ca="1" si="50"/>
        <v>0.60165517768461796</v>
      </c>
      <c r="E69" s="42">
        <f t="shared" ca="1" si="50"/>
        <v>0.25911728688370406</v>
      </c>
      <c r="F69" s="42">
        <f t="shared" ca="1" si="50"/>
        <v>0.2937688306481232</v>
      </c>
      <c r="G69" s="42">
        <f t="shared" ca="1" si="50"/>
        <v>0.72835419257279688</v>
      </c>
      <c r="H69" s="42">
        <f t="shared" ca="1" si="50"/>
        <v>0.76584550771892779</v>
      </c>
      <c r="I69" s="42">
        <f t="shared" ca="1" si="50"/>
        <v>0.2198562428190205</v>
      </c>
      <c r="J69" s="43">
        <f ca="1">IF(I69&lt;Inputs!$B$54,1+Inputs!$B$55,1)</f>
        <v>1</v>
      </c>
      <c r="K69" s="42">
        <f t="shared" ca="1" si="51"/>
        <v>0.26193056682850224</v>
      </c>
      <c r="L69" s="42">
        <f t="shared" ca="1" si="51"/>
        <v>0.45243314298243598</v>
      </c>
      <c r="M69" s="42">
        <f t="shared" ca="1" si="51"/>
        <v>0.97561388270313854</v>
      </c>
      <c r="N69" s="42">
        <f t="shared" ca="1" si="51"/>
        <v>4.0944693309289959E-2</v>
      </c>
      <c r="O69" s="42">
        <f t="shared" ca="1" si="51"/>
        <v>0.48532414631035259</v>
      </c>
      <c r="P69" s="42">
        <f t="shared" ca="1" si="51"/>
        <v>0.22246969471197475</v>
      </c>
      <c r="Q69" s="42">
        <f t="shared" ca="1" si="51"/>
        <v>0.1224985537458485</v>
      </c>
      <c r="R69" s="42">
        <f t="shared" ca="1" si="51"/>
        <v>0.84173183181025979</v>
      </c>
      <c r="S69" s="42">
        <f t="shared" ca="1" si="51"/>
        <v>0.14686244085440392</v>
      </c>
      <c r="T69" s="42">
        <f t="shared" ca="1" si="51"/>
        <v>0.42736525797411407</v>
      </c>
      <c r="U69" s="44">
        <f ca="1">(IF(D69&gt;=Inputs!$E$12,1,IF(K69&lt;=Inputs!$C$46,Inputs!$D$46,IF(K69&lt;=Inputs!$C$47,Inputs!$D$47,Inputs!$D$48))))*((Inputs!$B$28+(P69-0.5)*2*Inputs!$B$53)/Inputs!$B$28)</f>
        <v>0.99719098881287427</v>
      </c>
      <c r="V69" s="44">
        <f ca="1">(IF(E69&gt;=Inputs!$E$13,1,IF(L69&lt;=Inputs!$C$46,Inputs!$D$46,IF(L69&lt;=Inputs!$C$47,Inputs!$D$47,Inputs!$D$48))))*((Inputs!$B$29+(Q69-0.5)*2*Inputs!$B$53)/Inputs!$B$29)</f>
        <v>0.99619454187243806</v>
      </c>
      <c r="W69" s="44">
        <f ca="1">(IF(F69&gt;=Inputs!$E$14,1,IF(M69&lt;=Inputs!$C$46,Inputs!$D$46,IF(M69&lt;=Inputs!$C$47,Inputs!$D$47,Inputs!$D$48))))*((Inputs!$B$30+(R69-0.5)*2*Inputs!$B$53)/Inputs!$B$30)</f>
        <v>1.0034344907719623</v>
      </c>
      <c r="X69" s="44">
        <f ca="1">(IF(G69&gt;=Inputs!$E$15,1,IF(N69&lt;=Inputs!$C$46,Inputs!$D$46,IF(N69&lt;=Inputs!$C$47,Inputs!$D$47,Inputs!$D$48))))*((Inputs!$B$31+(S69-0.5)*2*Inputs!$B$53)/Inputs!$B$31)</f>
        <v>0.99641484711527306</v>
      </c>
      <c r="Y69" s="44">
        <f ca="1">(IF(H69&gt;=Inputs!$E$16,1,IF(O69&lt;=Inputs!$C$46,Inputs!$D$46,IF(O69&lt;=Inputs!$C$47,Inputs!$D$47,Inputs!$D$48))))*((Inputs!$B$32+(T69-0.5)*2*Inputs!$B$53)/Inputs!$B$32)</f>
        <v>0.99926926818887429</v>
      </c>
      <c r="Z69" s="45">
        <f ca="1">ILP_C_HighResilience!$C$9*U69+ILP_C_HighResilience!$C$10*V69+ILP_C_HighResilience!$C$11*W69+ILP_C_HighResilience!$C$12*X69+ILP_C_HighResilience!$C$13*Y69</f>
        <v>17940.262369423435</v>
      </c>
      <c r="AA69" s="45">
        <f ca="1">ILP_C_HighResilience!$D$9*U69+ILP_C_HighResilience!$D$10*V69+ILP_C_HighResilience!$D$11*W69+ILP_C_HighResilience!$D$12*X69+ILP_C_HighResilience!$D$13*Y69</f>
        <v>14975.646914488385</v>
      </c>
      <c r="AB69" s="45">
        <f ca="1">ILP_C_HighResilience!$E$9*U69+ILP_C_HighResilience!$E$10*V69+ILP_C_HighResilience!$E$11*W69+ILP_C_HighResilience!$E$12*X69+ILP_C_HighResilience!$E$13*Y69</f>
        <v>11980.200178978765</v>
      </c>
      <c r="AC69" s="45">
        <f ca="1">Inputs!$B$6*$C69</f>
        <v>20700</v>
      </c>
      <c r="AD69" s="45">
        <f ca="1">Inputs!$B$7*$C69</f>
        <v>17250</v>
      </c>
      <c r="AE69" s="45">
        <f ca="1">Inputs!$B$8*$C69</f>
        <v>13799.999999999998</v>
      </c>
      <c r="AF69" s="45">
        <f t="shared" ca="1" si="28"/>
        <v>2759.7376305765647</v>
      </c>
      <c r="AG69" s="45">
        <f t="shared" ca="1" si="29"/>
        <v>2274.3530855116151</v>
      </c>
      <c r="AH69" s="45">
        <f t="shared" ca="1" si="30"/>
        <v>1819.7998210212336</v>
      </c>
      <c r="AI69" s="45">
        <f t="shared" ca="1" si="31"/>
        <v>6853.8905371094133</v>
      </c>
      <c r="AJ69" s="45">
        <f ca="1">U69*(Inputs!$B$12-ILP_C_HighResilience!$F$9)+V69*(Inputs!$B$13-ILP_C_HighResilience!$F$10)+W69*(Inputs!$B$14-ILP_C_HighResilience!$F$11)+X69*(Inputs!$B$15-ILP_C_HighResilience!$F$12)+Y69*(Inputs!$B$16-ILP_C_HighResilience!$F$13)</f>
        <v>24996.335512581434</v>
      </c>
      <c r="AK69" s="45">
        <f t="shared" ca="1" si="32"/>
        <v>6853.8905371094133</v>
      </c>
      <c r="AL69" s="45">
        <f t="shared" ca="1" si="33"/>
        <v>0</v>
      </c>
      <c r="AM69" s="45">
        <f t="shared" ca="1" si="34"/>
        <v>0</v>
      </c>
      <c r="AN69" s="45">
        <f t="shared" ca="1" si="35"/>
        <v>0</v>
      </c>
      <c r="AO69" s="45">
        <f ca="1">MIN(AL69,Inputs!$B$36)</f>
        <v>0</v>
      </c>
      <c r="AP69" s="45">
        <f ca="1">MIN(AN69,Inputs!$B$36-AO69)</f>
        <v>0</v>
      </c>
      <c r="AQ69" s="45">
        <f ca="1">MIN(AM69,Inputs!$B$36-AO69-AP69)</f>
        <v>0</v>
      </c>
      <c r="AR69" s="45">
        <f t="shared" ca="1" si="36"/>
        <v>0</v>
      </c>
      <c r="AS69" s="45">
        <f t="shared" ca="1" si="37"/>
        <v>0</v>
      </c>
      <c r="AT69" s="45">
        <f t="shared" ca="1" si="38"/>
        <v>0</v>
      </c>
      <c r="AU69" s="45">
        <f t="shared" ca="1" si="39"/>
        <v>0</v>
      </c>
      <c r="AV69" s="46">
        <f ca="1">AU69*Inputs!$B$35</f>
        <v>0</v>
      </c>
      <c r="AW69" s="46">
        <f ca="1">AR69*Inputs!$C$6+AT69*Inputs!$C$7+AS69*Inputs!$C$8</f>
        <v>0</v>
      </c>
      <c r="AX69" s="46">
        <f t="shared" ca="1" si="40"/>
        <v>47523022.403970972</v>
      </c>
      <c r="AY69" s="46">
        <f ca="1">IF(J69&gt;1,($CD$4)*Inputs!$B$55*((Z69+AA69+AB69)/(SUM(ILP_C_HighResilience!$C$9:$E$13))),0)</f>
        <v>0</v>
      </c>
      <c r="AZ69" s="46">
        <f t="shared" ca="1" si="41"/>
        <v>0</v>
      </c>
      <c r="BA69" s="41">
        <f t="shared" ca="1" si="42"/>
        <v>0</v>
      </c>
      <c r="BB69" s="41">
        <f t="shared" ca="1" si="43"/>
        <v>1</v>
      </c>
      <c r="BC69" s="41">
        <f t="shared" ca="1" si="44"/>
        <v>1</v>
      </c>
      <c r="BD69" s="41">
        <f t="shared" ca="1" si="45"/>
        <v>1</v>
      </c>
    </row>
    <row r="70" spans="1:56" ht="15" customHeight="1" x14ac:dyDescent="0.3">
      <c r="A70" s="41">
        <v>63</v>
      </c>
      <c r="B70" s="42">
        <f t="shared" ca="1" si="27"/>
        <v>0.54520631337741754</v>
      </c>
      <c r="C70" s="43">
        <f ca="1">IF(B70&lt;=Inputs!$C$40,Inputs!$D$40,IF(B70&lt;=Inputs!$C$41,Inputs!$D$41,Inputs!$D$42))</f>
        <v>1</v>
      </c>
      <c r="D70" s="42">
        <f t="shared" ca="1" si="50"/>
        <v>0.21848941147798384</v>
      </c>
      <c r="E70" s="42">
        <f t="shared" ca="1" si="50"/>
        <v>0.65574224051418017</v>
      </c>
      <c r="F70" s="42">
        <f t="shared" ca="1" si="50"/>
        <v>0.80924025610972983</v>
      </c>
      <c r="G70" s="42">
        <f t="shared" ca="1" si="50"/>
        <v>0.68386684476551851</v>
      </c>
      <c r="H70" s="42">
        <f t="shared" ca="1" si="50"/>
        <v>0.69565376794010536</v>
      </c>
      <c r="I70" s="42">
        <f t="shared" ca="1" si="50"/>
        <v>0.88170228723383781</v>
      </c>
      <c r="J70" s="43">
        <f ca="1">IF(I70&lt;Inputs!$B$54,1+Inputs!$B$55,1)</f>
        <v>1</v>
      </c>
      <c r="K70" s="42">
        <f t="shared" ca="1" si="51"/>
        <v>0.70692539547886624</v>
      </c>
      <c r="L70" s="42">
        <f t="shared" ca="1" si="51"/>
        <v>0.31270680017874208</v>
      </c>
      <c r="M70" s="42">
        <f t="shared" ca="1" si="51"/>
        <v>0.86047554557380102</v>
      </c>
      <c r="N70" s="42">
        <f t="shared" ca="1" si="51"/>
        <v>9.8396348425715208E-2</v>
      </c>
      <c r="O70" s="42">
        <f t="shared" ca="1" si="51"/>
        <v>0.13881429236867726</v>
      </c>
      <c r="P70" s="42">
        <f t="shared" ca="1" si="51"/>
        <v>0.56690501959805017</v>
      </c>
      <c r="Q70" s="42">
        <f t="shared" ca="1" si="51"/>
        <v>0.16727294739492882</v>
      </c>
      <c r="R70" s="42">
        <f t="shared" ca="1" si="51"/>
        <v>0.74946645542755619</v>
      </c>
      <c r="S70" s="42">
        <f t="shared" ca="1" si="51"/>
        <v>0.26242264895771261</v>
      </c>
      <c r="T70" s="42">
        <f t="shared" ca="1" si="51"/>
        <v>0.15845822030225332</v>
      </c>
      <c r="U70" s="44">
        <f ca="1">(IF(D70&gt;=Inputs!$E$12,1,IF(K70&lt;=Inputs!$C$46,Inputs!$D$46,IF(K70&lt;=Inputs!$C$47,Inputs!$D$47,Inputs!$D$48))))*((Inputs!$B$28+(P70-0.5)*2*Inputs!$B$53)/Inputs!$B$28)</f>
        <v>1.0006771763117213</v>
      </c>
      <c r="V70" s="44">
        <f ca="1">(IF(E70&gt;=Inputs!$E$13,1,IF(L70&lt;=Inputs!$C$46,Inputs!$D$46,IF(L70&lt;=Inputs!$C$47,Inputs!$D$47,Inputs!$D$48))))*((Inputs!$B$29+(Q70-0.5)*2*Inputs!$B$53)/Inputs!$B$29)</f>
        <v>0.99664589664712622</v>
      </c>
      <c r="W70" s="44">
        <f ca="1">(IF(F70&gt;=Inputs!$E$14,1,IF(M70&lt;=Inputs!$C$46,Inputs!$D$46,IF(M70&lt;=Inputs!$C$47,Inputs!$D$47,Inputs!$D$48))))*((Inputs!$B$30+(R70-0.5)*2*Inputs!$B$53)/Inputs!$B$30)</f>
        <v>1.002507200557061</v>
      </c>
      <c r="X70" s="44">
        <f ca="1">(IF(G70&gt;=Inputs!$E$15,1,IF(N70&lt;=Inputs!$C$46,Inputs!$D$46,IF(N70&lt;=Inputs!$C$47,Inputs!$D$47,Inputs!$D$48))))*((Inputs!$B$31+(S70-0.5)*2*Inputs!$B$53)/Inputs!$B$31)</f>
        <v>0.99758804719754024</v>
      </c>
      <c r="Y70" s="44">
        <f ca="1">(IF(H70&gt;=Inputs!$E$16,1,IF(O70&lt;=Inputs!$C$46,Inputs!$D$46,IF(O70&lt;=Inputs!$C$47,Inputs!$D$47,Inputs!$D$48))))*((Inputs!$B$32+(T70-0.5)*2*Inputs!$B$53)/Inputs!$B$32)</f>
        <v>0.99656396599901653</v>
      </c>
      <c r="Z70" s="45">
        <f ca="1">ILP_C_HighResilience!$C$9*U70+ILP_C_HighResilience!$C$10*V70+ILP_C_HighResilience!$C$11*W70+ILP_C_HighResilience!$C$12*X70+ILP_C_HighResilience!$C$13*Y70</f>
        <v>17975.434837196335</v>
      </c>
      <c r="AA70" s="45">
        <f ca="1">ILP_C_HighResilience!$D$9*U70+ILP_C_HighResilience!$D$10*V70+ILP_C_HighResilience!$D$11*W70+ILP_C_HighResilience!$D$12*X70+ILP_C_HighResilience!$D$13*Y70</f>
        <v>14979.71369637532</v>
      </c>
      <c r="AB70" s="45">
        <f ca="1">ILP_C_HighResilience!$E$9*U70+ILP_C_HighResilience!$E$10*V70+ILP_C_HighResilience!$E$11*W70+ILP_C_HighResilience!$E$12*X70+ILP_C_HighResilience!$E$13*Y70</f>
        <v>11996.169019141302</v>
      </c>
      <c r="AC70" s="45">
        <f ca="1">Inputs!$B$6*$C70</f>
        <v>18000</v>
      </c>
      <c r="AD70" s="45">
        <f ca="1">Inputs!$B$7*$C70</f>
        <v>15000</v>
      </c>
      <c r="AE70" s="45">
        <f ca="1">Inputs!$B$8*$C70</f>
        <v>12000</v>
      </c>
      <c r="AF70" s="45">
        <f t="shared" ca="1" si="28"/>
        <v>24.565162803664862</v>
      </c>
      <c r="AG70" s="45">
        <f t="shared" ca="1" si="29"/>
        <v>20.286303624679931</v>
      </c>
      <c r="AH70" s="45">
        <f t="shared" ca="1" si="30"/>
        <v>3.8309808586982399</v>
      </c>
      <c r="AI70" s="45">
        <f t="shared" ca="1" si="31"/>
        <v>48.682447287043033</v>
      </c>
      <c r="AJ70" s="45">
        <f ca="1">U70*(Inputs!$B$12-ILP_C_HighResilience!$F$9)+V70*(Inputs!$B$13-ILP_C_HighResilience!$F$10)+W70*(Inputs!$B$14-ILP_C_HighResilience!$F$11)+X70*(Inputs!$B$15-ILP_C_HighResilience!$F$12)+Y70*(Inputs!$B$16-ILP_C_HighResilience!$F$13)</f>
        <v>24964.669484931874</v>
      </c>
      <c r="AK70" s="45">
        <f t="shared" ca="1" si="32"/>
        <v>48.682447287043033</v>
      </c>
      <c r="AL70" s="45">
        <f t="shared" ca="1" si="33"/>
        <v>0</v>
      </c>
      <c r="AM70" s="45">
        <f t="shared" ca="1" si="34"/>
        <v>0</v>
      </c>
      <c r="AN70" s="45">
        <f t="shared" ca="1" si="35"/>
        <v>0</v>
      </c>
      <c r="AO70" s="45">
        <f ca="1">MIN(AL70,Inputs!$B$36)</f>
        <v>0</v>
      </c>
      <c r="AP70" s="45">
        <f ca="1">MIN(AN70,Inputs!$B$36-AO70)</f>
        <v>0</v>
      </c>
      <c r="AQ70" s="45">
        <f ca="1">MIN(AM70,Inputs!$B$36-AO70-AP70)</f>
        <v>0</v>
      </c>
      <c r="AR70" s="45">
        <f t="shared" ca="1" si="36"/>
        <v>0</v>
      </c>
      <c r="AS70" s="45">
        <f t="shared" ca="1" si="37"/>
        <v>0</v>
      </c>
      <c r="AT70" s="45">
        <f t="shared" ca="1" si="38"/>
        <v>0</v>
      </c>
      <c r="AU70" s="45">
        <f t="shared" ca="1" si="39"/>
        <v>0</v>
      </c>
      <c r="AV70" s="46">
        <f ca="1">AU70*Inputs!$B$35</f>
        <v>0</v>
      </c>
      <c r="AW70" s="46">
        <f ca="1">AR70*Inputs!$C$6+AT70*Inputs!$C$7+AS70*Inputs!$C$8</f>
        <v>0</v>
      </c>
      <c r="AX70" s="46">
        <f t="shared" ca="1" si="40"/>
        <v>47581362.262501083</v>
      </c>
      <c r="AY70" s="46">
        <f ca="1">IF(J70&gt;1,($CD$4)*Inputs!$B$55*((Z70+AA70+AB70)/(SUM(ILP_C_HighResilience!$C$9:$E$13))),0)</f>
        <v>0</v>
      </c>
      <c r="AZ70" s="46">
        <f t="shared" ca="1" si="41"/>
        <v>0</v>
      </c>
      <c r="BA70" s="41">
        <f t="shared" ca="1" si="42"/>
        <v>0</v>
      </c>
      <c r="BB70" s="41">
        <f t="shared" ca="1" si="43"/>
        <v>1</v>
      </c>
      <c r="BC70" s="41">
        <f t="shared" ca="1" si="44"/>
        <v>1</v>
      </c>
      <c r="BD70" s="41">
        <f t="shared" ca="1" si="45"/>
        <v>1</v>
      </c>
    </row>
    <row r="71" spans="1:56" ht="15" customHeight="1" x14ac:dyDescent="0.3">
      <c r="A71" s="41">
        <v>64</v>
      </c>
      <c r="B71" s="42">
        <f t="shared" ca="1" si="27"/>
        <v>0.36039400561209012</v>
      </c>
      <c r="C71" s="43">
        <f ca="1">IF(B71&lt;=Inputs!$C$40,Inputs!$D$40,IF(B71&lt;=Inputs!$C$41,Inputs!$D$41,Inputs!$D$42))</f>
        <v>1</v>
      </c>
      <c r="D71" s="42">
        <f t="shared" ca="1" si="50"/>
        <v>0.94912058718505876</v>
      </c>
      <c r="E71" s="42">
        <f t="shared" ca="1" si="50"/>
        <v>0.84296939910919966</v>
      </c>
      <c r="F71" s="42">
        <f t="shared" ca="1" si="50"/>
        <v>0.69722394042770253</v>
      </c>
      <c r="G71" s="42">
        <f t="shared" ca="1" si="50"/>
        <v>0.73883933075540342</v>
      </c>
      <c r="H71" s="42">
        <f t="shared" ca="1" si="50"/>
        <v>0.558949110431611</v>
      </c>
      <c r="I71" s="42">
        <f t="shared" ca="1" si="50"/>
        <v>0.8035915537791003</v>
      </c>
      <c r="J71" s="43">
        <f ca="1">IF(I71&lt;Inputs!$B$54,1+Inputs!$B$55,1)</f>
        <v>1</v>
      </c>
      <c r="K71" s="42">
        <f t="shared" ca="1" si="51"/>
        <v>1.1383944327924889E-2</v>
      </c>
      <c r="L71" s="42">
        <f t="shared" ca="1" si="51"/>
        <v>4.8214408344130266E-2</v>
      </c>
      <c r="M71" s="42">
        <f t="shared" ca="1" si="51"/>
        <v>0.41108328954149709</v>
      </c>
      <c r="N71" s="42">
        <f t="shared" ca="1" si="51"/>
        <v>0.91180402166898789</v>
      </c>
      <c r="O71" s="42">
        <f t="shared" ca="1" si="51"/>
        <v>0.96371146595378676</v>
      </c>
      <c r="P71" s="42">
        <f t="shared" ca="1" si="51"/>
        <v>0.91027937434420114</v>
      </c>
      <c r="Q71" s="42">
        <f t="shared" ca="1" si="51"/>
        <v>0.9863053476239968</v>
      </c>
      <c r="R71" s="42">
        <f t="shared" ca="1" si="51"/>
        <v>0.33654960487357166</v>
      </c>
      <c r="S71" s="42">
        <f t="shared" ca="1" si="51"/>
        <v>0.91824499235183521</v>
      </c>
      <c r="T71" s="42">
        <f t="shared" ca="1" si="51"/>
        <v>0.33056705636658212</v>
      </c>
      <c r="U71" s="44">
        <f ca="1">(IF(D71&gt;=Inputs!$E$12,1,IF(K71&lt;=Inputs!$C$46,Inputs!$D$46,IF(K71&lt;=Inputs!$C$47,Inputs!$D$47,Inputs!$D$48))))*((Inputs!$B$28+(P71-0.5)*2*Inputs!$B$53)/Inputs!$B$28)</f>
        <v>1.0041526252463988</v>
      </c>
      <c r="V71" s="44">
        <f ca="1">(IF(E71&gt;=Inputs!$E$13,1,IF(L71&lt;=Inputs!$C$46,Inputs!$D$46,IF(L71&lt;=Inputs!$C$47,Inputs!$D$47,Inputs!$D$48))))*((Inputs!$B$29+(Q71-0.5)*2*Inputs!$B$53)/Inputs!$B$29)</f>
        <v>1.0049022716494354</v>
      </c>
      <c r="W71" s="44">
        <f ca="1">(IF(F71&gt;=Inputs!$E$14,1,IF(M71&lt;=Inputs!$C$46,Inputs!$D$46,IF(M71&lt;=Inputs!$C$47,Inputs!$D$47,Inputs!$D$48))))*((Inputs!$B$30+(R71-0.5)*2*Inputs!$B$53)/Inputs!$B$30)</f>
        <v>0.99835728246104094</v>
      </c>
      <c r="X71" s="44">
        <f ca="1">(IF(G71&gt;=Inputs!$E$15,1,IF(N71&lt;=Inputs!$C$46,Inputs!$D$46,IF(N71&lt;=Inputs!$C$47,Inputs!$D$47,Inputs!$D$48))))*((Inputs!$B$31+(S71-0.5)*2*Inputs!$B$53)/Inputs!$B$31)</f>
        <v>1.0042461420543334</v>
      </c>
      <c r="Y71" s="44">
        <f ca="1">(IF(H71&gt;=Inputs!$E$16,1,IF(O71&lt;=Inputs!$C$46,Inputs!$D$46,IF(O71&lt;=Inputs!$C$47,Inputs!$D$47,Inputs!$D$48))))*((Inputs!$B$32+(T71-0.5)*2*Inputs!$B$53)/Inputs!$B$32)</f>
        <v>0.99829544322300379</v>
      </c>
      <c r="Z71" s="45">
        <f ca="1">ILP_C_HighResilience!$C$9*U71+ILP_C_HighResilience!$C$10*V71+ILP_C_HighResilience!$C$11*W71+ILP_C_HighResilience!$C$12*X71+ILP_C_HighResilience!$C$13*Y71</f>
        <v>18078.119302503241</v>
      </c>
      <c r="AA71" s="45">
        <f ca="1">ILP_C_HighResilience!$D$9*U71+ILP_C_HighResilience!$D$10*V71+ILP_C_HighResilience!$D$11*W71+ILP_C_HighResilience!$D$12*X71+ILP_C_HighResilience!$D$13*Y71</f>
        <v>15041.835703366993</v>
      </c>
      <c r="AB71" s="45">
        <f ca="1">ILP_C_HighResilience!$E$9*U71+ILP_C_HighResilience!$E$10*V71+ILP_C_HighResilience!$E$11*W71+ILP_C_HighResilience!$E$12*X71+ILP_C_HighResilience!$E$13*Y71</f>
        <v>12036.169948542045</v>
      </c>
      <c r="AC71" s="45">
        <f ca="1">Inputs!$B$6*$C71</f>
        <v>18000</v>
      </c>
      <c r="AD71" s="45">
        <f ca="1">Inputs!$B$7*$C71</f>
        <v>15000</v>
      </c>
      <c r="AE71" s="45">
        <f ca="1">Inputs!$B$8*$C71</f>
        <v>12000</v>
      </c>
      <c r="AF71" s="45">
        <f t="shared" ca="1" si="28"/>
        <v>0</v>
      </c>
      <c r="AG71" s="45">
        <f t="shared" ca="1" si="29"/>
        <v>0</v>
      </c>
      <c r="AH71" s="45">
        <f t="shared" ca="1" si="30"/>
        <v>0</v>
      </c>
      <c r="AI71" s="45">
        <f t="shared" ca="1" si="31"/>
        <v>0</v>
      </c>
      <c r="AJ71" s="45">
        <f ca="1">U71*(Inputs!$B$12-ILP_C_HighResilience!$F$9)+V71*(Inputs!$B$13-ILP_C_HighResilience!$F$10)+W71*(Inputs!$B$14-ILP_C_HighResilience!$F$11)+X71*(Inputs!$B$15-ILP_C_HighResilience!$F$12)+Y71*(Inputs!$B$16-ILP_C_HighResilience!$F$13)</f>
        <v>24982.97887761279</v>
      </c>
      <c r="AK71" s="45">
        <f t="shared" ca="1" si="32"/>
        <v>0</v>
      </c>
      <c r="AL71" s="45">
        <f t="shared" ca="1" si="33"/>
        <v>0</v>
      </c>
      <c r="AM71" s="45">
        <f t="shared" ca="1" si="34"/>
        <v>0</v>
      </c>
      <c r="AN71" s="45">
        <f t="shared" ca="1" si="35"/>
        <v>0</v>
      </c>
      <c r="AO71" s="45">
        <f ca="1">MIN(AL71,Inputs!$B$36)</f>
        <v>0</v>
      </c>
      <c r="AP71" s="45">
        <f ca="1">MIN(AN71,Inputs!$B$36-AO71)</f>
        <v>0</v>
      </c>
      <c r="AQ71" s="45">
        <f ca="1">MIN(AM71,Inputs!$B$36-AO71-AP71)</f>
        <v>0</v>
      </c>
      <c r="AR71" s="45">
        <f t="shared" ca="1" si="36"/>
        <v>0</v>
      </c>
      <c r="AS71" s="45">
        <f t="shared" ca="1" si="37"/>
        <v>0</v>
      </c>
      <c r="AT71" s="45">
        <f t="shared" ca="1" si="38"/>
        <v>0</v>
      </c>
      <c r="AU71" s="45">
        <f t="shared" ca="1" si="39"/>
        <v>0</v>
      </c>
      <c r="AV71" s="46">
        <f ca="1">AU71*Inputs!$B$35</f>
        <v>0</v>
      </c>
      <c r="AW71" s="46">
        <f ca="1">AR71*Inputs!$C$6+AT71*Inputs!$C$7+AS71*Inputs!$C$8</f>
        <v>0</v>
      </c>
      <c r="AX71" s="46">
        <f t="shared" ca="1" si="40"/>
        <v>47797269.32762748</v>
      </c>
      <c r="AY71" s="46">
        <f ca="1">IF(J71&gt;1,($CD$4)*Inputs!$B$55*((Z71+AA71+AB71)/(SUM(ILP_C_HighResilience!$C$9:$E$13))),0)</f>
        <v>0</v>
      </c>
      <c r="AZ71" s="46">
        <f t="shared" ca="1" si="41"/>
        <v>0</v>
      </c>
      <c r="BA71" s="41">
        <f t="shared" ca="1" si="42"/>
        <v>0</v>
      </c>
      <c r="BB71" s="41">
        <f t="shared" ca="1" si="43"/>
        <v>1</v>
      </c>
      <c r="BC71" s="41">
        <f t="shared" ca="1" si="44"/>
        <v>1</v>
      </c>
      <c r="BD71" s="41">
        <f t="shared" ca="1" si="45"/>
        <v>1</v>
      </c>
    </row>
    <row r="72" spans="1:56" ht="15" customHeight="1" x14ac:dyDescent="0.3">
      <c r="A72" s="41">
        <v>65</v>
      </c>
      <c r="B72" s="42">
        <f t="shared" ref="B72:B103" ca="1" si="52">RAND()</f>
        <v>0.62552587848489549</v>
      </c>
      <c r="C72" s="43">
        <f ca="1">IF(B72&lt;=Inputs!$C$40,Inputs!$D$40,IF(B72&lt;=Inputs!$C$41,Inputs!$D$41,Inputs!$D$42))</f>
        <v>1</v>
      </c>
      <c r="D72" s="42">
        <f t="shared" ca="1" si="50"/>
        <v>0.6312827207868924</v>
      </c>
      <c r="E72" s="42">
        <f t="shared" ca="1" si="50"/>
        <v>0.62344321381094847</v>
      </c>
      <c r="F72" s="42">
        <f t="shared" ca="1" si="50"/>
        <v>0.27313702103959614</v>
      </c>
      <c r="G72" s="42">
        <f t="shared" ca="1" si="50"/>
        <v>3.006534331471411E-2</v>
      </c>
      <c r="H72" s="42">
        <f t="shared" ca="1" si="50"/>
        <v>0.11112858665024972</v>
      </c>
      <c r="I72" s="42">
        <f t="shared" ca="1" si="50"/>
        <v>7.7999916619768794E-2</v>
      </c>
      <c r="J72" s="43">
        <f ca="1">IF(I72&lt;Inputs!$B$54,1+Inputs!$B$55,1)</f>
        <v>1.25</v>
      </c>
      <c r="K72" s="42">
        <f t="shared" ca="1" si="51"/>
        <v>0.81318159636797127</v>
      </c>
      <c r="L72" s="42">
        <f t="shared" ca="1" si="51"/>
        <v>0.77931772129670362</v>
      </c>
      <c r="M72" s="42">
        <f t="shared" ca="1" si="51"/>
        <v>0.73920570226552595</v>
      </c>
      <c r="N72" s="42">
        <f t="shared" ca="1" si="51"/>
        <v>2.906674797299702E-2</v>
      </c>
      <c r="O72" s="42">
        <f t="shared" ca="1" si="51"/>
        <v>0.25485228290470141</v>
      </c>
      <c r="P72" s="42">
        <f t="shared" ca="1" si="51"/>
        <v>0.80989548796574229</v>
      </c>
      <c r="Q72" s="42">
        <f t="shared" ca="1" si="51"/>
        <v>1.3194586044902867E-2</v>
      </c>
      <c r="R72" s="42">
        <f t="shared" ca="1" si="51"/>
        <v>0.50797945718518711</v>
      </c>
      <c r="S72" s="42">
        <f t="shared" ca="1" si="51"/>
        <v>3.8595137311751126E-2</v>
      </c>
      <c r="T72" s="42">
        <f t="shared" ca="1" si="51"/>
        <v>5.9206332459861954E-2</v>
      </c>
      <c r="U72" s="44">
        <f ca="1">(IF(D72&gt;=Inputs!$E$12,1,IF(K72&lt;=Inputs!$C$46,Inputs!$D$46,IF(K72&lt;=Inputs!$C$47,Inputs!$D$47,Inputs!$D$48))))*((Inputs!$B$28+(P72-0.5)*2*Inputs!$B$53)/Inputs!$B$28)</f>
        <v>1.0031365940077503</v>
      </c>
      <c r="V72" s="44">
        <f ca="1">(IF(E72&gt;=Inputs!$E$13,1,IF(L72&lt;=Inputs!$C$46,Inputs!$D$46,IF(L72&lt;=Inputs!$C$47,Inputs!$D$47,Inputs!$D$48))))*((Inputs!$B$29+(Q72-0.5)*2*Inputs!$B$53)/Inputs!$B$29)</f>
        <v>0.99509268735932366</v>
      </c>
      <c r="W72" s="44">
        <f ca="1">(IF(F72&gt;=Inputs!$E$14,1,IF(M72&lt;=Inputs!$C$46,Inputs!$D$46,IF(M72&lt;=Inputs!$C$47,Inputs!$D$47,Inputs!$D$48))))*((Inputs!$B$30+(R72-0.5)*2*Inputs!$B$53)/Inputs!$B$30)</f>
        <v>1.0000801955495999</v>
      </c>
      <c r="X72" s="44">
        <f ca="1">(IF(G72&gt;=Inputs!$E$15,1,IF(N72&lt;=Inputs!$C$46,Inputs!$D$46,IF(N72&lt;=Inputs!$C$47,Inputs!$D$47,Inputs!$D$48))))*((Inputs!$B$31+(S72-0.5)*2*Inputs!$B$53)/Inputs!$B$31)</f>
        <v>0.59718941200392939</v>
      </c>
      <c r="Y72" s="44">
        <f ca="1">(IF(H72&gt;=Inputs!$E$16,1,IF(O72&lt;=Inputs!$C$46,Inputs!$D$46,IF(O72&lt;=Inputs!$C$47,Inputs!$D$47,Inputs!$D$48))))*((Inputs!$B$32+(T72-0.5)*2*Inputs!$B$53)/Inputs!$B$32)</f>
        <v>0.99556545606096436</v>
      </c>
      <c r="Z72" s="45">
        <f ca="1">ILP_C_HighResilience!$C$9*U72+ILP_C_HighResilience!$C$10*V72+ILP_C_HighResilience!$C$11*W72+ILP_C_HighResilience!$C$12*X72+ILP_C_HighResilience!$C$13*Y72</f>
        <v>15104.680917777659</v>
      </c>
      <c r="AA72" s="45">
        <f ca="1">ILP_C_HighResilience!$D$9*U72+ILP_C_HighResilience!$D$10*V72+ILP_C_HighResilience!$D$11*W72+ILP_C_HighResilience!$D$12*X72+ILP_C_HighResilience!$D$13*Y72</f>
        <v>13109.922464121344</v>
      </c>
      <c r="AB72" s="45">
        <f ca="1">ILP_C_HighResilience!$E$9*U72+ILP_C_HighResilience!$E$10*V72+ILP_C_HighResilience!$E$11*W72+ILP_C_HighResilience!$E$12*X72+ILP_C_HighResilience!$E$13*Y72</f>
        <v>11994.246624074416</v>
      </c>
      <c r="AC72" s="45">
        <f ca="1">Inputs!$B$6*$C72</f>
        <v>18000</v>
      </c>
      <c r="AD72" s="45">
        <f ca="1">Inputs!$B$7*$C72</f>
        <v>15000</v>
      </c>
      <c r="AE72" s="45">
        <f ca="1">Inputs!$B$8*$C72</f>
        <v>12000</v>
      </c>
      <c r="AF72" s="45">
        <f t="shared" ref="AF72:AF103" ca="1" si="53">MAX(0,AC72-Z72)</f>
        <v>2895.3190822223405</v>
      </c>
      <c r="AG72" s="45">
        <f t="shared" ref="AG72:AG103" ca="1" si="54">MAX(0,AD72-AA72)</f>
        <v>1890.0775358786559</v>
      </c>
      <c r="AH72" s="45">
        <f t="shared" ref="AH72:AH103" ca="1" si="55">MAX(0,AE72-AB72)</f>
        <v>5.7533759255838959</v>
      </c>
      <c r="AI72" s="45">
        <f t="shared" ref="AI72:AI103" ca="1" si="56">SUM(AF72:AH72)</f>
        <v>4791.1499940265803</v>
      </c>
      <c r="AJ72" s="45">
        <f ca="1">U72*(Inputs!$B$12-ILP_C_HighResilience!$F$9)+V72*(Inputs!$B$13-ILP_C_HighResilience!$F$10)+W72*(Inputs!$B$14-ILP_C_HighResilience!$F$11)+X72*(Inputs!$B$15-ILP_C_HighResilience!$F$12)+Y72*(Inputs!$B$16-ILP_C_HighResilience!$F$13)</f>
        <v>24873.430448287534</v>
      </c>
      <c r="AK72" s="45">
        <f t="shared" ref="AK72:AK103" ca="1" si="57">MIN(AI72,MAX(0,AJ72))</f>
        <v>4791.1499940265803</v>
      </c>
      <c r="AL72" s="45">
        <f t="shared" ref="AL72:AL103" ca="1" si="58">AF72*(1-(IF(AI72&gt;0,AK72/AI72,0)))</f>
        <v>0</v>
      </c>
      <c r="AM72" s="45">
        <f t="shared" ref="AM72:AM103" ca="1" si="59">AG72*(1-(IF(AI72&gt;0,AK72/AI72,0)))</f>
        <v>0</v>
      </c>
      <c r="AN72" s="45">
        <f t="shared" ref="AN72:AN103" ca="1" si="60">AH72*(1-(IF(AI72&gt;0,AK72/AI72,0)))</f>
        <v>0</v>
      </c>
      <c r="AO72" s="45">
        <f ca="1">MIN(AL72,Inputs!$B$36)</f>
        <v>0</v>
      </c>
      <c r="AP72" s="45">
        <f ca="1">MIN(AN72,Inputs!$B$36-AO72)</f>
        <v>0</v>
      </c>
      <c r="AQ72" s="45">
        <f ca="1">MIN(AM72,Inputs!$B$36-AO72-AP72)</f>
        <v>0</v>
      </c>
      <c r="AR72" s="45">
        <f t="shared" ref="AR72:AR103" ca="1" si="61">AL72-AO72</f>
        <v>0</v>
      </c>
      <c r="AS72" s="45">
        <f t="shared" ref="AS72:AS103" ca="1" si="62">AN72-AP72</f>
        <v>0</v>
      </c>
      <c r="AT72" s="45">
        <f t="shared" ref="AT72:AT103" ca="1" si="63">AM72-AQ72</f>
        <v>0</v>
      </c>
      <c r="AU72" s="45">
        <f t="shared" ref="AU72:AU103" ca="1" si="64">AO72+AP72+AQ72</f>
        <v>0</v>
      </c>
      <c r="AV72" s="46">
        <f ca="1">AU72*Inputs!$B$35</f>
        <v>0</v>
      </c>
      <c r="AW72" s="46">
        <f ca="1">AR72*Inputs!$C$6+AT72*Inputs!$C$7+AS72*Inputs!$C$8</f>
        <v>0</v>
      </c>
      <c r="AX72" s="46">
        <f t="shared" ref="AX72:AX103" ca="1" si="65">Z72*$CA$4+AA72*$CB$4+AB72*$CC$4</f>
        <v>42628064.493705459</v>
      </c>
      <c r="AY72" s="46">
        <f ca="1">IF(J72&gt;1,($CD$4)*Inputs!$B$55*((Z72+AA72+AB72)/(SUM(ILP_C_HighResilience!$C$9:$E$13))),0)</f>
        <v>537051.73892978439</v>
      </c>
      <c r="AZ72" s="46">
        <f t="shared" ref="AZ72:AZ103" ca="1" si="66">AV72+AW72</f>
        <v>0</v>
      </c>
      <c r="BA72" s="41">
        <f t="shared" ref="BA72:BA103" ca="1" si="67">IF(AR72+AT72+AS72&gt;0,1,0)</f>
        <v>0</v>
      </c>
      <c r="BB72" s="41">
        <f t="shared" ref="BB72:BB103" ca="1" si="68">IF(AR72=0,1,0)</f>
        <v>1</v>
      </c>
      <c r="BC72" s="41">
        <f t="shared" ref="BC72:BC103" ca="1" si="69">IF(AT72=0,1,0)</f>
        <v>1</v>
      </c>
      <c r="BD72" s="41">
        <f t="shared" ref="BD72:BD103" ca="1" si="70">IF(AS72=0,1,0)</f>
        <v>1</v>
      </c>
    </row>
    <row r="73" spans="1:56" ht="15" customHeight="1" x14ac:dyDescent="0.3">
      <c r="A73" s="41">
        <v>66</v>
      </c>
      <c r="B73" s="42">
        <f t="shared" ca="1" si="52"/>
        <v>0.98152909656566445</v>
      </c>
      <c r="C73" s="43">
        <f ca="1">IF(B73&lt;=Inputs!$C$40,Inputs!$D$40,IF(B73&lt;=Inputs!$C$41,Inputs!$D$41,Inputs!$D$42))</f>
        <v>1.1499999999999999</v>
      </c>
      <c r="D73" s="42">
        <f t="shared" ca="1" si="50"/>
        <v>0.71908152848499962</v>
      </c>
      <c r="E73" s="42">
        <f t="shared" ca="1" si="50"/>
        <v>0.93172325342709761</v>
      </c>
      <c r="F73" s="42">
        <f t="shared" ca="1" si="50"/>
        <v>0.44711432764619619</v>
      </c>
      <c r="G73" s="42">
        <f t="shared" ca="1" si="50"/>
        <v>1.4774413648176776E-2</v>
      </c>
      <c r="H73" s="42">
        <f t="shared" ca="1" si="50"/>
        <v>3.0894267080851301E-2</v>
      </c>
      <c r="I73" s="42">
        <f t="shared" ca="1" si="50"/>
        <v>3.366796771607472E-2</v>
      </c>
      <c r="J73" s="43">
        <f ca="1">IF(I73&lt;Inputs!$B$54,1+Inputs!$B$55,1)</f>
        <v>1.25</v>
      </c>
      <c r="K73" s="42">
        <f t="shared" ca="1" si="51"/>
        <v>0.26285021893245653</v>
      </c>
      <c r="L73" s="42">
        <f t="shared" ca="1" si="51"/>
        <v>0.84250272507981894</v>
      </c>
      <c r="M73" s="42">
        <f t="shared" ca="1" si="51"/>
        <v>0.70584916832853495</v>
      </c>
      <c r="N73" s="42">
        <f t="shared" ca="1" si="51"/>
        <v>0.24916250884818292</v>
      </c>
      <c r="O73" s="42">
        <f t="shared" ca="1" si="51"/>
        <v>0.49530888147092278</v>
      </c>
      <c r="P73" s="42">
        <f t="shared" ca="1" si="51"/>
        <v>0.59791577045060296</v>
      </c>
      <c r="Q73" s="42">
        <f t="shared" ca="1" si="51"/>
        <v>0.6655688425358649</v>
      </c>
      <c r="R73" s="42">
        <f t="shared" ca="1" si="51"/>
        <v>0.53670323972386513</v>
      </c>
      <c r="S73" s="42">
        <f t="shared" ca="1" si="51"/>
        <v>0.8638021784953136</v>
      </c>
      <c r="T73" s="42">
        <f t="shared" ca="1" si="51"/>
        <v>0.19011692803547853</v>
      </c>
      <c r="U73" s="44">
        <f ca="1">(IF(D73&gt;=Inputs!$E$12,1,IF(K73&lt;=Inputs!$C$46,Inputs!$D$46,IF(K73&lt;=Inputs!$C$47,Inputs!$D$47,Inputs!$D$48))))*((Inputs!$B$28+(P73-0.5)*2*Inputs!$B$53)/Inputs!$B$28)</f>
        <v>1.0009910503082045</v>
      </c>
      <c r="V73" s="44">
        <f ca="1">(IF(E73&gt;=Inputs!$E$13,1,IF(L73&lt;=Inputs!$C$46,Inputs!$D$46,IF(L73&lt;=Inputs!$C$47,Inputs!$D$47,Inputs!$D$48))))*((Inputs!$B$29+(Q73-0.5)*2*Inputs!$B$53)/Inputs!$B$29)</f>
        <v>1.0016690407513695</v>
      </c>
      <c r="W73" s="44">
        <f ca="1">(IF(F73&gt;=Inputs!$E$14,1,IF(M73&lt;=Inputs!$C$46,Inputs!$D$46,IF(M73&lt;=Inputs!$C$47,Inputs!$D$47,Inputs!$D$48))))*((Inputs!$B$30+(R73-0.5)*2*Inputs!$B$53)/Inputs!$B$30)</f>
        <v>1.0003688767811445</v>
      </c>
      <c r="X73" s="44">
        <f ca="1">(IF(G73&gt;=Inputs!$E$15,1,IF(N73&lt;=Inputs!$C$46,Inputs!$D$46,IF(N73&lt;=Inputs!$C$47,Inputs!$D$47,Inputs!$D$48))))*((Inputs!$B$31+(S73-0.5)*2*Inputs!$B$53)/Inputs!$B$31)</f>
        <v>0.60221605387915922</v>
      </c>
      <c r="Y73" s="44">
        <f ca="1">(IF(H73&gt;=Inputs!$E$16,1,IF(O73&lt;=Inputs!$C$46,Inputs!$D$46,IF(O73&lt;=Inputs!$C$47,Inputs!$D$47,Inputs!$D$48))))*((Inputs!$B$32+(T73-0.5)*2*Inputs!$B$53)/Inputs!$B$32)</f>
        <v>0.99688246406474323</v>
      </c>
      <c r="Z73" s="45">
        <f ca="1">ILP_C_HighResilience!$C$9*U73+ILP_C_HighResilience!$C$10*V73+ILP_C_HighResilience!$C$11*W73+ILP_C_HighResilience!$C$12*X73+ILP_C_HighResilience!$C$13*Y73</f>
        <v>15149.099696853949</v>
      </c>
      <c r="AA73" s="45">
        <f ca="1">ILP_C_HighResilience!$D$9*U73+ILP_C_HighResilience!$D$10*V73+ILP_C_HighResilience!$D$11*W73+ILP_C_HighResilience!$D$12*X73+ILP_C_HighResilience!$D$13*Y73</f>
        <v>13173.868093731344</v>
      </c>
      <c r="AB73" s="45">
        <f ca="1">ILP_C_HighResilience!$E$9*U73+ILP_C_HighResilience!$E$10*V73+ILP_C_HighResilience!$E$11*W73+ILP_C_HighResilience!$E$12*X73+ILP_C_HighResilience!$E$13*Y73</f>
        <v>12012.988057407947</v>
      </c>
      <c r="AC73" s="45">
        <f ca="1">Inputs!$B$6*$C73</f>
        <v>20700</v>
      </c>
      <c r="AD73" s="45">
        <f ca="1">Inputs!$B$7*$C73</f>
        <v>17250</v>
      </c>
      <c r="AE73" s="45">
        <f ca="1">Inputs!$B$8*$C73</f>
        <v>13799.999999999998</v>
      </c>
      <c r="AF73" s="45">
        <f t="shared" ca="1" si="53"/>
        <v>5550.9003031460506</v>
      </c>
      <c r="AG73" s="45">
        <f t="shared" ca="1" si="54"/>
        <v>4076.1319062686562</v>
      </c>
      <c r="AH73" s="45">
        <f t="shared" ca="1" si="55"/>
        <v>1787.0119425920511</v>
      </c>
      <c r="AI73" s="45">
        <f t="shared" ca="1" si="56"/>
        <v>11414.044152006758</v>
      </c>
      <c r="AJ73" s="45">
        <f ca="1">U73*(Inputs!$B$12-ILP_C_HighResilience!$F$9)+V73*(Inputs!$B$13-ILP_C_HighResilience!$F$10)+W73*(Inputs!$B$14-ILP_C_HighResilience!$F$11)+X73*(Inputs!$B$15-ILP_C_HighResilience!$F$12)+Y73*(Inputs!$B$16-ILP_C_HighResilience!$F$13)</f>
        <v>24887.892533133141</v>
      </c>
      <c r="AK73" s="45">
        <f t="shared" ca="1" si="57"/>
        <v>11414.044152006758</v>
      </c>
      <c r="AL73" s="45">
        <f t="shared" ca="1" si="58"/>
        <v>0</v>
      </c>
      <c r="AM73" s="45">
        <f t="shared" ca="1" si="59"/>
        <v>0</v>
      </c>
      <c r="AN73" s="45">
        <f t="shared" ca="1" si="60"/>
        <v>0</v>
      </c>
      <c r="AO73" s="45">
        <f ca="1">MIN(AL73,Inputs!$B$36)</f>
        <v>0</v>
      </c>
      <c r="AP73" s="45">
        <f ca="1">MIN(AN73,Inputs!$B$36-AO73)</f>
        <v>0</v>
      </c>
      <c r="AQ73" s="45">
        <f ca="1">MIN(AM73,Inputs!$B$36-AO73-AP73)</f>
        <v>0</v>
      </c>
      <c r="AR73" s="45">
        <f t="shared" ca="1" si="61"/>
        <v>0</v>
      </c>
      <c r="AS73" s="45">
        <f t="shared" ca="1" si="62"/>
        <v>0</v>
      </c>
      <c r="AT73" s="45">
        <f t="shared" ca="1" si="63"/>
        <v>0</v>
      </c>
      <c r="AU73" s="45">
        <f t="shared" ca="1" si="64"/>
        <v>0</v>
      </c>
      <c r="AV73" s="46">
        <f ca="1">AU73*Inputs!$B$35</f>
        <v>0</v>
      </c>
      <c r="AW73" s="46">
        <f ca="1">AR73*Inputs!$C$6+AT73*Inputs!$C$7+AS73*Inputs!$C$8</f>
        <v>0</v>
      </c>
      <c r="AX73" s="46">
        <f t="shared" ca="1" si="65"/>
        <v>42762017.461549439</v>
      </c>
      <c r="AY73" s="46">
        <f ca="1">IF(J73&gt;1,($CD$4)*Inputs!$B$55*((Z73+AA73+AB73)/(SUM(ILP_C_HighResilience!$C$9:$E$13))),0)</f>
        <v>538749.43517015781</v>
      </c>
      <c r="AZ73" s="46">
        <f t="shared" ca="1" si="66"/>
        <v>0</v>
      </c>
      <c r="BA73" s="41">
        <f t="shared" ca="1" si="67"/>
        <v>0</v>
      </c>
      <c r="BB73" s="41">
        <f t="shared" ca="1" si="68"/>
        <v>1</v>
      </c>
      <c r="BC73" s="41">
        <f t="shared" ca="1" si="69"/>
        <v>1</v>
      </c>
      <c r="BD73" s="41">
        <f t="shared" ca="1" si="70"/>
        <v>1</v>
      </c>
    </row>
    <row r="74" spans="1:56" ht="15" customHeight="1" x14ac:dyDescent="0.3">
      <c r="A74" s="41">
        <v>67</v>
      </c>
      <c r="B74" s="42">
        <f t="shared" ca="1" si="52"/>
        <v>7.7251281466790944E-2</v>
      </c>
      <c r="C74" s="43">
        <f ca="1">IF(B74&lt;=Inputs!$C$40,Inputs!$D$40,IF(B74&lt;=Inputs!$C$41,Inputs!$D$41,Inputs!$D$42))</f>
        <v>0.9</v>
      </c>
      <c r="D74" s="42">
        <f t="shared" ca="1" si="50"/>
        <v>0.35647226785692609</v>
      </c>
      <c r="E74" s="42">
        <f t="shared" ca="1" si="50"/>
        <v>0.72537048314694563</v>
      </c>
      <c r="F74" s="42">
        <f t="shared" ca="1" si="50"/>
        <v>0.25739636031589597</v>
      </c>
      <c r="G74" s="42">
        <f t="shared" ca="1" si="50"/>
        <v>0.95622231898839605</v>
      </c>
      <c r="H74" s="42">
        <f t="shared" ca="1" si="50"/>
        <v>4.3709897252766305E-2</v>
      </c>
      <c r="I74" s="42">
        <f t="shared" ca="1" si="50"/>
        <v>0.3400057339399245</v>
      </c>
      <c r="J74" s="43">
        <f ca="1">IF(I74&lt;Inputs!$B$54,1+Inputs!$B$55,1)</f>
        <v>1</v>
      </c>
      <c r="K74" s="42">
        <f t="shared" ca="1" si="51"/>
        <v>0.76013596331525191</v>
      </c>
      <c r="L74" s="42">
        <f t="shared" ca="1" si="51"/>
        <v>0.27654597518796242</v>
      </c>
      <c r="M74" s="42">
        <f t="shared" ca="1" si="51"/>
        <v>0.1457804487045038</v>
      </c>
      <c r="N74" s="42">
        <f t="shared" ca="1" si="51"/>
        <v>2.9148089528126975E-2</v>
      </c>
      <c r="O74" s="42">
        <f t="shared" ca="1" si="51"/>
        <v>0.53256720419190162</v>
      </c>
      <c r="P74" s="42">
        <f t="shared" ca="1" si="51"/>
        <v>0.70261063912218569</v>
      </c>
      <c r="Q74" s="42">
        <f t="shared" ca="1" si="51"/>
        <v>8.1098912678309376E-2</v>
      </c>
      <c r="R74" s="42">
        <f t="shared" ca="1" si="51"/>
        <v>0.50667659780297647</v>
      </c>
      <c r="S74" s="42">
        <f t="shared" ca="1" si="51"/>
        <v>0.13011506000893991</v>
      </c>
      <c r="T74" s="42">
        <f t="shared" ca="1" si="51"/>
        <v>0.9221118731274951</v>
      </c>
      <c r="U74" s="44">
        <f ca="1">(IF(D74&gt;=Inputs!$E$12,1,IF(K74&lt;=Inputs!$C$46,Inputs!$D$46,IF(K74&lt;=Inputs!$C$47,Inputs!$D$47,Inputs!$D$48))))*((Inputs!$B$28+(P74-0.5)*2*Inputs!$B$53)/Inputs!$B$28)</f>
        <v>1.0020507149708722</v>
      </c>
      <c r="V74" s="44">
        <f ca="1">(IF(E74&gt;=Inputs!$E$13,1,IF(L74&lt;=Inputs!$C$46,Inputs!$D$46,IF(L74&lt;=Inputs!$C$47,Inputs!$D$47,Inputs!$D$48))))*((Inputs!$B$29+(Q74-0.5)*2*Inputs!$B$53)/Inputs!$B$29)</f>
        <v>0.99577720678103132</v>
      </c>
      <c r="W74" s="44">
        <f ca="1">(IF(F74&gt;=Inputs!$E$14,1,IF(M74&lt;=Inputs!$C$46,Inputs!$D$46,IF(M74&lt;=Inputs!$C$47,Inputs!$D$47,Inputs!$D$48))))*((Inputs!$B$30+(R74-0.5)*2*Inputs!$B$53)/Inputs!$B$30)</f>
        <v>1.0000671014854572</v>
      </c>
      <c r="X74" s="44">
        <f ca="1">(IF(G74&gt;=Inputs!$E$15,1,IF(N74&lt;=Inputs!$C$46,Inputs!$D$46,IF(N74&lt;=Inputs!$C$47,Inputs!$D$47,Inputs!$D$48))))*((Inputs!$B$31+(S74-0.5)*2*Inputs!$B$53)/Inputs!$B$31)</f>
        <v>0.99624482294425321</v>
      </c>
      <c r="Y74" s="44">
        <f ca="1">(IF(H74&gt;=Inputs!$E$16,1,IF(O74&lt;=Inputs!$C$46,Inputs!$D$46,IF(O74&lt;=Inputs!$C$47,Inputs!$D$47,Inputs!$D$48))))*((Inputs!$B$32+(T74-0.5)*2*Inputs!$B$53)/Inputs!$B$32)</f>
        <v>1.0042465983212021</v>
      </c>
      <c r="Z74" s="45">
        <f ca="1">ILP_C_HighResilience!$C$9*U74+ILP_C_HighResilience!$C$10*V74+ILP_C_HighResilience!$C$11*W74+ILP_C_HighResilience!$C$12*X74+ILP_C_HighResilience!$C$13*Y74</f>
        <v>17972.525817400616</v>
      </c>
      <c r="AA74" s="45">
        <f ca="1">ILP_C_HighResilience!$D$9*U74+ILP_C_HighResilience!$D$10*V74+ILP_C_HighResilience!$D$11*W74+ILP_C_HighResilience!$D$12*X74+ILP_C_HighResilience!$D$13*Y74</f>
        <v>14957.608227194938</v>
      </c>
      <c r="AB74" s="45">
        <f ca="1">ILP_C_HighResilience!$E$9*U74+ILP_C_HighResilience!$E$10*V74+ILP_C_HighResilience!$E$11*W74+ILP_C_HighResilience!$E$12*X74+ILP_C_HighResilience!$E$13*Y74</f>
        <v>11991.931494062901</v>
      </c>
      <c r="AC74" s="45">
        <f ca="1">Inputs!$B$6*$C74</f>
        <v>16200</v>
      </c>
      <c r="AD74" s="45">
        <f ca="1">Inputs!$B$7*$C74</f>
        <v>13500</v>
      </c>
      <c r="AE74" s="45">
        <f ca="1">Inputs!$B$8*$C74</f>
        <v>10800</v>
      </c>
      <c r="AF74" s="45">
        <f t="shared" ca="1" si="53"/>
        <v>0</v>
      </c>
      <c r="AG74" s="45">
        <f t="shared" ca="1" si="54"/>
        <v>0</v>
      </c>
      <c r="AH74" s="45">
        <f t="shared" ca="1" si="55"/>
        <v>0</v>
      </c>
      <c r="AI74" s="45">
        <f t="shared" ca="1" si="56"/>
        <v>0</v>
      </c>
      <c r="AJ74" s="45">
        <f ca="1">U74*(Inputs!$B$12-ILP_C_HighResilience!$F$9)+V74*(Inputs!$B$13-ILP_C_HighResilience!$F$10)+W74*(Inputs!$B$14-ILP_C_HighResilience!$F$11)+X74*(Inputs!$B$15-ILP_C_HighResilience!$F$12)+Y74*(Inputs!$B$16-ILP_C_HighResilience!$F$13)</f>
        <v>25071.13596526995</v>
      </c>
      <c r="AK74" s="45">
        <f t="shared" ca="1" si="57"/>
        <v>0</v>
      </c>
      <c r="AL74" s="45">
        <f t="shared" ca="1" si="58"/>
        <v>0</v>
      </c>
      <c r="AM74" s="45">
        <f t="shared" ca="1" si="59"/>
        <v>0</v>
      </c>
      <c r="AN74" s="45">
        <f t="shared" ca="1" si="60"/>
        <v>0</v>
      </c>
      <c r="AO74" s="45">
        <f ca="1">MIN(AL74,Inputs!$B$36)</f>
        <v>0</v>
      </c>
      <c r="AP74" s="45">
        <f ca="1">MIN(AN74,Inputs!$B$36-AO74)</f>
        <v>0</v>
      </c>
      <c r="AQ74" s="45">
        <f ca="1">MIN(AM74,Inputs!$B$36-AO74-AP74)</f>
        <v>0</v>
      </c>
      <c r="AR74" s="45">
        <f t="shared" ca="1" si="61"/>
        <v>0</v>
      </c>
      <c r="AS74" s="45">
        <f t="shared" ca="1" si="62"/>
        <v>0</v>
      </c>
      <c r="AT74" s="45">
        <f t="shared" ca="1" si="63"/>
        <v>0</v>
      </c>
      <c r="AU74" s="45">
        <f t="shared" ca="1" si="64"/>
        <v>0</v>
      </c>
      <c r="AV74" s="46">
        <f ca="1">AU74*Inputs!$B$35</f>
        <v>0</v>
      </c>
      <c r="AW74" s="46">
        <f ca="1">AR74*Inputs!$C$6+AT74*Inputs!$C$7+AS74*Inputs!$C$8</f>
        <v>0</v>
      </c>
      <c r="AX74" s="46">
        <f t="shared" ca="1" si="65"/>
        <v>47550452.625534087</v>
      </c>
      <c r="AY74" s="46">
        <f ca="1">IF(J74&gt;1,($CD$4)*Inputs!$B$55*((Z74+AA74+AB74)/(SUM(ILP_C_HighResilience!$C$9:$E$13))),0)</f>
        <v>0</v>
      </c>
      <c r="AZ74" s="46">
        <f t="shared" ca="1" si="66"/>
        <v>0</v>
      </c>
      <c r="BA74" s="41">
        <f t="shared" ca="1" si="67"/>
        <v>0</v>
      </c>
      <c r="BB74" s="41">
        <f t="shared" ca="1" si="68"/>
        <v>1</v>
      </c>
      <c r="BC74" s="41">
        <f t="shared" ca="1" si="69"/>
        <v>1</v>
      </c>
      <c r="BD74" s="41">
        <f t="shared" ca="1" si="70"/>
        <v>1</v>
      </c>
    </row>
    <row r="75" spans="1:56" ht="15" customHeight="1" x14ac:dyDescent="0.3">
      <c r="A75" s="41">
        <v>68</v>
      </c>
      <c r="B75" s="42">
        <f t="shared" ca="1" si="52"/>
        <v>0.80497119052815302</v>
      </c>
      <c r="C75" s="43">
        <f ca="1">IF(B75&lt;=Inputs!$C$40,Inputs!$D$40,IF(B75&lt;=Inputs!$C$41,Inputs!$D$41,Inputs!$D$42))</f>
        <v>1.1499999999999999</v>
      </c>
      <c r="D75" s="42">
        <f t="shared" ca="1" si="50"/>
        <v>0.55137577399938698</v>
      </c>
      <c r="E75" s="42">
        <f t="shared" ca="1" si="50"/>
        <v>0.90161701211503675</v>
      </c>
      <c r="F75" s="42">
        <f t="shared" ca="1" si="50"/>
        <v>0.85065206825028616</v>
      </c>
      <c r="G75" s="42">
        <f t="shared" ca="1" si="50"/>
        <v>0.70022853901121263</v>
      </c>
      <c r="H75" s="42">
        <f t="shared" ca="1" si="50"/>
        <v>0.68307235604217376</v>
      </c>
      <c r="I75" s="42">
        <f t="shared" ca="1" si="50"/>
        <v>1.658165910877818E-2</v>
      </c>
      <c r="J75" s="43">
        <f ca="1">IF(I75&lt;Inputs!$B$54,1+Inputs!$B$55,1)</f>
        <v>1.25</v>
      </c>
      <c r="K75" s="42">
        <f t="shared" ca="1" si="51"/>
        <v>4.9980769480205356E-2</v>
      </c>
      <c r="L75" s="42">
        <f t="shared" ca="1" si="51"/>
        <v>0.49724243355126352</v>
      </c>
      <c r="M75" s="42">
        <f t="shared" ca="1" si="51"/>
        <v>0.16599289754454338</v>
      </c>
      <c r="N75" s="42">
        <f t="shared" ca="1" si="51"/>
        <v>0.73624982583482912</v>
      </c>
      <c r="O75" s="42">
        <f t="shared" ca="1" si="51"/>
        <v>0.59169380882980338</v>
      </c>
      <c r="P75" s="42">
        <f t="shared" ca="1" si="51"/>
        <v>0.92286409985147244</v>
      </c>
      <c r="Q75" s="42">
        <f t="shared" ca="1" si="51"/>
        <v>0.90970346901886179</v>
      </c>
      <c r="R75" s="42">
        <f t="shared" ca="1" si="51"/>
        <v>0.85524175196124808</v>
      </c>
      <c r="S75" s="42">
        <f t="shared" ca="1" si="51"/>
        <v>1.0894410314246095E-3</v>
      </c>
      <c r="T75" s="42">
        <f t="shared" ca="1" si="51"/>
        <v>0.25088835000270038</v>
      </c>
      <c r="U75" s="44">
        <f ca="1">(IF(D75&gt;=Inputs!$E$12,1,IF(K75&lt;=Inputs!$C$46,Inputs!$D$46,IF(K75&lt;=Inputs!$C$47,Inputs!$D$47,Inputs!$D$48))))*((Inputs!$B$28+(P75-0.5)*2*Inputs!$B$53)/Inputs!$B$28)</f>
        <v>1.0042800010106425</v>
      </c>
      <c r="V75" s="44">
        <f ca="1">(IF(E75&gt;=Inputs!$E$13,1,IF(L75&lt;=Inputs!$C$46,Inputs!$D$46,IF(L75&lt;=Inputs!$C$47,Inputs!$D$47,Inputs!$D$48))))*((Inputs!$B$29+(Q75-0.5)*2*Inputs!$B$53)/Inputs!$B$29)</f>
        <v>1.0041300752925288</v>
      </c>
      <c r="W75" s="44">
        <f ca="1">(IF(F75&gt;=Inputs!$E$14,1,IF(M75&lt;=Inputs!$C$46,Inputs!$D$46,IF(M75&lt;=Inputs!$C$47,Inputs!$D$47,Inputs!$D$48))))*((Inputs!$B$30+(R75-0.5)*2*Inputs!$B$53)/Inputs!$B$30)</f>
        <v>1.0035702688639321</v>
      </c>
      <c r="X75" s="44">
        <f ca="1">(IF(G75&gt;=Inputs!$E$15,1,IF(N75&lt;=Inputs!$C$46,Inputs!$D$46,IF(N75&lt;=Inputs!$C$47,Inputs!$D$47,Inputs!$D$48))))*((Inputs!$B$31+(S75-0.5)*2*Inputs!$B$53)/Inputs!$B$31)</f>
        <v>0.99493491818306012</v>
      </c>
      <c r="Y75" s="44">
        <f ca="1">(IF(H75&gt;=Inputs!$E$16,1,IF(O75&lt;=Inputs!$C$46,Inputs!$D$46,IF(O75&lt;=Inputs!$C$47,Inputs!$D$47,Inputs!$D$48))))*((Inputs!$B$32+(T75-0.5)*2*Inputs!$B$53)/Inputs!$B$32)</f>
        <v>0.99749384657950402</v>
      </c>
      <c r="Z75" s="45">
        <f ca="1">ILP_C_HighResilience!$C$9*U75+ILP_C_HighResilience!$C$10*V75+ILP_C_HighResilience!$C$11*W75+ILP_C_HighResilience!$C$12*X75+ILP_C_HighResilience!$C$13*Y75</f>
        <v>18009.215689247761</v>
      </c>
      <c r="AA75" s="45">
        <f ca="1">ILP_C_HighResilience!$D$9*U75+ILP_C_HighResilience!$D$10*V75+ILP_C_HighResilience!$D$11*W75+ILP_C_HighResilience!$D$12*X75+ILP_C_HighResilience!$D$13*Y75</f>
        <v>15017.017551384935</v>
      </c>
      <c r="AB75" s="45">
        <f ca="1">ILP_C_HighResilience!$E$9*U75+ILP_C_HighResilience!$E$10*V75+ILP_C_HighResilience!$E$11*W75+ILP_C_HighResilience!$E$12*X75+ILP_C_HighResilience!$E$13*Y75</f>
        <v>12048.650390637218</v>
      </c>
      <c r="AC75" s="45">
        <f ca="1">Inputs!$B$6*$C75</f>
        <v>20700</v>
      </c>
      <c r="AD75" s="45">
        <f ca="1">Inputs!$B$7*$C75</f>
        <v>17250</v>
      </c>
      <c r="AE75" s="45">
        <f ca="1">Inputs!$B$8*$C75</f>
        <v>13799.999999999998</v>
      </c>
      <c r="AF75" s="45">
        <f t="shared" ca="1" si="53"/>
        <v>2690.7843107522385</v>
      </c>
      <c r="AG75" s="45">
        <f t="shared" ca="1" si="54"/>
        <v>2232.9824486150646</v>
      </c>
      <c r="AH75" s="45">
        <f t="shared" ca="1" si="55"/>
        <v>1751.34960936278</v>
      </c>
      <c r="AI75" s="45">
        <f t="shared" ca="1" si="56"/>
        <v>6675.1163687300832</v>
      </c>
      <c r="AJ75" s="45">
        <f ca="1">U75*(Inputs!$B$12-ILP_C_HighResilience!$F$9)+V75*(Inputs!$B$13-ILP_C_HighResilience!$F$10)+W75*(Inputs!$B$14-ILP_C_HighResilience!$F$11)+X75*(Inputs!$B$15-ILP_C_HighResilience!$F$12)+Y75*(Inputs!$B$16-ILP_C_HighResilience!$F$13)</f>
        <v>24999.457651116169</v>
      </c>
      <c r="AK75" s="45">
        <f t="shared" ca="1" si="57"/>
        <v>6675.1163687300832</v>
      </c>
      <c r="AL75" s="45">
        <f t="shared" ca="1" si="58"/>
        <v>0</v>
      </c>
      <c r="AM75" s="45">
        <f t="shared" ca="1" si="59"/>
        <v>0</v>
      </c>
      <c r="AN75" s="45">
        <f t="shared" ca="1" si="60"/>
        <v>0</v>
      </c>
      <c r="AO75" s="45">
        <f ca="1">MIN(AL75,Inputs!$B$36)</f>
        <v>0</v>
      </c>
      <c r="AP75" s="45">
        <f ca="1">MIN(AN75,Inputs!$B$36-AO75)</f>
        <v>0</v>
      </c>
      <c r="AQ75" s="45">
        <f ca="1">MIN(AM75,Inputs!$B$36-AO75-AP75)</f>
        <v>0</v>
      </c>
      <c r="AR75" s="45">
        <f t="shared" ca="1" si="61"/>
        <v>0</v>
      </c>
      <c r="AS75" s="45">
        <f t="shared" ca="1" si="62"/>
        <v>0</v>
      </c>
      <c r="AT75" s="45">
        <f t="shared" ca="1" si="63"/>
        <v>0</v>
      </c>
      <c r="AU75" s="45">
        <f t="shared" ca="1" si="64"/>
        <v>0</v>
      </c>
      <c r="AV75" s="46">
        <f ca="1">AU75*Inputs!$B$35</f>
        <v>0</v>
      </c>
      <c r="AW75" s="46">
        <f ca="1">AR75*Inputs!$C$6+AT75*Inputs!$C$7+AS75*Inputs!$C$8</f>
        <v>0</v>
      </c>
      <c r="AX75" s="46">
        <f t="shared" ca="1" si="65"/>
        <v>47713193.617450058</v>
      </c>
      <c r="AY75" s="46">
        <f ca="1">IF(J75&gt;1,($CD$4)*Inputs!$B$55*((Z75+AA75+AB75)/(SUM(ILP_C_HighResilience!$C$9:$E$13))),0)</f>
        <v>602045.18738125823</v>
      </c>
      <c r="AZ75" s="46">
        <f t="shared" ca="1" si="66"/>
        <v>0</v>
      </c>
      <c r="BA75" s="41">
        <f t="shared" ca="1" si="67"/>
        <v>0</v>
      </c>
      <c r="BB75" s="41">
        <f t="shared" ca="1" si="68"/>
        <v>1</v>
      </c>
      <c r="BC75" s="41">
        <f t="shared" ca="1" si="69"/>
        <v>1</v>
      </c>
      <c r="BD75" s="41">
        <f t="shared" ca="1" si="70"/>
        <v>1</v>
      </c>
    </row>
    <row r="76" spans="1:56" ht="15" customHeight="1" x14ac:dyDescent="0.3">
      <c r="A76" s="41">
        <v>69</v>
      </c>
      <c r="B76" s="42">
        <f t="shared" ca="1" si="52"/>
        <v>1.9512998915017232E-2</v>
      </c>
      <c r="C76" s="43">
        <f ca="1">IF(B76&lt;=Inputs!$C$40,Inputs!$D$40,IF(B76&lt;=Inputs!$C$41,Inputs!$D$41,Inputs!$D$42))</f>
        <v>0.9</v>
      </c>
      <c r="D76" s="42">
        <f t="shared" ca="1" si="50"/>
        <v>0.89575227645344857</v>
      </c>
      <c r="E76" s="42">
        <f t="shared" ca="1" si="50"/>
        <v>0.84580647856740721</v>
      </c>
      <c r="F76" s="42">
        <f t="shared" ca="1" si="50"/>
        <v>0.89806390006454806</v>
      </c>
      <c r="G76" s="42">
        <f t="shared" ca="1" si="50"/>
        <v>0.81108212433549642</v>
      </c>
      <c r="H76" s="42">
        <f t="shared" ca="1" si="50"/>
        <v>0.82943315892831393</v>
      </c>
      <c r="I76" s="42">
        <f t="shared" ca="1" si="50"/>
        <v>0.97305597443030933</v>
      </c>
      <c r="J76" s="43">
        <f ca="1">IF(I76&lt;Inputs!$B$54,1+Inputs!$B$55,1)</f>
        <v>1</v>
      </c>
      <c r="K76" s="42">
        <f t="shared" ca="1" si="51"/>
        <v>0.17107265761729296</v>
      </c>
      <c r="L76" s="42">
        <f t="shared" ca="1" si="51"/>
        <v>0.44117298633614155</v>
      </c>
      <c r="M76" s="42">
        <f t="shared" ca="1" si="51"/>
        <v>3.6157379539315859E-2</v>
      </c>
      <c r="N76" s="42">
        <f t="shared" ca="1" si="51"/>
        <v>0.32273088584642473</v>
      </c>
      <c r="O76" s="42">
        <f t="shared" ca="1" si="51"/>
        <v>0.10728008439886305</v>
      </c>
      <c r="P76" s="42">
        <f t="shared" ca="1" si="51"/>
        <v>0.93633224317655328</v>
      </c>
      <c r="Q76" s="42">
        <f t="shared" ca="1" si="51"/>
        <v>0.18357890642984154</v>
      </c>
      <c r="R76" s="42">
        <f t="shared" ca="1" si="51"/>
        <v>0.31302305231654171</v>
      </c>
      <c r="S76" s="42">
        <f t="shared" ca="1" si="51"/>
        <v>0.7676460095675206</v>
      </c>
      <c r="T76" s="42">
        <f t="shared" ca="1" si="51"/>
        <v>0.64602791600587506</v>
      </c>
      <c r="U76" s="44">
        <f ca="1">(IF(D76&gt;=Inputs!$E$12,1,IF(K76&lt;=Inputs!$C$46,Inputs!$D$46,IF(K76&lt;=Inputs!$C$47,Inputs!$D$47,Inputs!$D$48))))*((Inputs!$B$28+(P76-0.5)*2*Inputs!$B$53)/Inputs!$B$28)</f>
        <v>1.0044163182507748</v>
      </c>
      <c r="V76" s="44">
        <f ca="1">(IF(E76&gt;=Inputs!$E$13,1,IF(L76&lt;=Inputs!$C$46,Inputs!$D$46,IF(L76&lt;=Inputs!$C$47,Inputs!$D$47,Inputs!$D$48))))*((Inputs!$B$29+(Q76-0.5)*2*Inputs!$B$53)/Inputs!$B$29)</f>
        <v>0.99681027123417176</v>
      </c>
      <c r="W76" s="44">
        <f ca="1">(IF(F76&gt;=Inputs!$E$14,1,IF(M76&lt;=Inputs!$C$46,Inputs!$D$46,IF(M76&lt;=Inputs!$C$47,Inputs!$D$47,Inputs!$D$48))))*((Inputs!$B$30+(R76-0.5)*2*Inputs!$B$53)/Inputs!$B$30)</f>
        <v>0.9981208346966487</v>
      </c>
      <c r="X76" s="44">
        <f ca="1">(IF(G76&gt;=Inputs!$E$15,1,IF(N76&lt;=Inputs!$C$46,Inputs!$D$46,IF(N76&lt;=Inputs!$C$47,Inputs!$D$47,Inputs!$D$48))))*((Inputs!$B$31+(S76-0.5)*2*Inputs!$B$53)/Inputs!$B$31)</f>
        <v>1.0027172183712438</v>
      </c>
      <c r="Y76" s="44">
        <f ca="1">(IF(H76&gt;=Inputs!$E$16,1,IF(O76&lt;=Inputs!$C$46,Inputs!$D$46,IF(O76&lt;=Inputs!$C$47,Inputs!$D$47,Inputs!$D$48))))*((Inputs!$B$32+(T76-0.5)*2*Inputs!$B$53)/Inputs!$B$32)</f>
        <v>1.0014690937223931</v>
      </c>
      <c r="Z76" s="45">
        <f ca="1">ILP_C_HighResilience!$C$9*U76+ILP_C_HighResilience!$C$10*V76+ILP_C_HighResilience!$C$11*W76+ILP_C_HighResilience!$C$12*X76+ILP_C_HighResilience!$C$13*Y76</f>
        <v>18039.878440121553</v>
      </c>
      <c r="AA76" s="45">
        <f ca="1">ILP_C_HighResilience!$D$9*U76+ILP_C_HighResilience!$D$10*V76+ILP_C_HighResilience!$D$11*W76+ILP_C_HighResilience!$D$12*X76+ILP_C_HighResilience!$D$13*Y76</f>
        <v>14985.184432251499</v>
      </c>
      <c r="AB76" s="45">
        <f ca="1">ILP_C_HighResilience!$E$9*U76+ILP_C_HighResilience!$E$10*V76+ILP_C_HighResilience!$E$11*W76+ILP_C_HighResilience!$E$12*X76+ILP_C_HighResilience!$E$13*Y76</f>
        <v>12002.048641292487</v>
      </c>
      <c r="AC76" s="45">
        <f ca="1">Inputs!$B$6*$C76</f>
        <v>16200</v>
      </c>
      <c r="AD76" s="45">
        <f ca="1">Inputs!$B$7*$C76</f>
        <v>13500</v>
      </c>
      <c r="AE76" s="45">
        <f ca="1">Inputs!$B$8*$C76</f>
        <v>10800</v>
      </c>
      <c r="AF76" s="45">
        <f t="shared" ca="1" si="53"/>
        <v>0</v>
      </c>
      <c r="AG76" s="45">
        <f t="shared" ca="1" si="54"/>
        <v>0</v>
      </c>
      <c r="AH76" s="45">
        <f t="shared" ca="1" si="55"/>
        <v>0</v>
      </c>
      <c r="AI76" s="45">
        <f t="shared" ca="1" si="56"/>
        <v>0</v>
      </c>
      <c r="AJ76" s="45">
        <f ca="1">U76*(Inputs!$B$12-ILP_C_HighResilience!$F$9)+V76*(Inputs!$B$13-ILP_C_HighResilience!$F$10)+W76*(Inputs!$B$14-ILP_C_HighResilience!$F$11)+X76*(Inputs!$B$15-ILP_C_HighResilience!$F$12)+Y76*(Inputs!$B$16-ILP_C_HighResilience!$F$13)</f>
        <v>25029.107252972521</v>
      </c>
      <c r="AK76" s="45">
        <f t="shared" ca="1" si="57"/>
        <v>0</v>
      </c>
      <c r="AL76" s="45">
        <f t="shared" ca="1" si="58"/>
        <v>0</v>
      </c>
      <c r="AM76" s="45">
        <f t="shared" ca="1" si="59"/>
        <v>0</v>
      </c>
      <c r="AN76" s="45">
        <f t="shared" ca="1" si="60"/>
        <v>0</v>
      </c>
      <c r="AO76" s="45">
        <f ca="1">MIN(AL76,Inputs!$B$36)</f>
        <v>0</v>
      </c>
      <c r="AP76" s="45">
        <f ca="1">MIN(AN76,Inputs!$B$36-AO76)</f>
        <v>0</v>
      </c>
      <c r="AQ76" s="45">
        <f ca="1">MIN(AM76,Inputs!$B$36-AO76-AP76)</f>
        <v>0</v>
      </c>
      <c r="AR76" s="45">
        <f t="shared" ca="1" si="61"/>
        <v>0</v>
      </c>
      <c r="AS76" s="45">
        <f t="shared" ca="1" si="62"/>
        <v>0</v>
      </c>
      <c r="AT76" s="45">
        <f t="shared" ca="1" si="63"/>
        <v>0</v>
      </c>
      <c r="AU76" s="45">
        <f t="shared" ca="1" si="64"/>
        <v>0</v>
      </c>
      <c r="AV76" s="46">
        <f ca="1">AU76*Inputs!$B$35</f>
        <v>0</v>
      </c>
      <c r="AW76" s="46">
        <f ca="1">AR76*Inputs!$C$6+AT76*Inputs!$C$7+AS76*Inputs!$C$8</f>
        <v>0</v>
      </c>
      <c r="AX76" s="46">
        <f t="shared" ca="1" si="65"/>
        <v>47660565.561334126</v>
      </c>
      <c r="AY76" s="46">
        <f ca="1">IF(J76&gt;1,($CD$4)*Inputs!$B$55*((Z76+AA76+AB76)/(SUM(ILP_C_HighResilience!$C$9:$E$13))),0)</f>
        <v>0</v>
      </c>
      <c r="AZ76" s="46">
        <f t="shared" ca="1" si="66"/>
        <v>0</v>
      </c>
      <c r="BA76" s="41">
        <f t="shared" ca="1" si="67"/>
        <v>0</v>
      </c>
      <c r="BB76" s="41">
        <f t="shared" ca="1" si="68"/>
        <v>1</v>
      </c>
      <c r="BC76" s="41">
        <f t="shared" ca="1" si="69"/>
        <v>1</v>
      </c>
      <c r="BD76" s="41">
        <f t="shared" ca="1" si="70"/>
        <v>1</v>
      </c>
    </row>
    <row r="77" spans="1:56" ht="15" customHeight="1" x14ac:dyDescent="0.3">
      <c r="A77" s="41">
        <v>70</v>
      </c>
      <c r="B77" s="42">
        <f t="shared" ca="1" si="52"/>
        <v>0.13776665659773524</v>
      </c>
      <c r="C77" s="43">
        <f ca="1">IF(B77&lt;=Inputs!$C$40,Inputs!$D$40,IF(B77&lt;=Inputs!$C$41,Inputs!$D$41,Inputs!$D$42))</f>
        <v>0.9</v>
      </c>
      <c r="D77" s="42">
        <f t="shared" ca="1" si="50"/>
        <v>0.28636189714066218</v>
      </c>
      <c r="E77" s="42">
        <f t="shared" ca="1" si="50"/>
        <v>0.72811488480284958</v>
      </c>
      <c r="F77" s="42">
        <f t="shared" ca="1" si="50"/>
        <v>0.28362991338309318</v>
      </c>
      <c r="G77" s="42">
        <f t="shared" ca="1" si="50"/>
        <v>0.40292761184079617</v>
      </c>
      <c r="H77" s="42">
        <f t="shared" ca="1" si="50"/>
        <v>0.67457842179063787</v>
      </c>
      <c r="I77" s="42">
        <f t="shared" ca="1" si="50"/>
        <v>0.20041263572705215</v>
      </c>
      <c r="J77" s="43">
        <f ca="1">IF(I77&lt;Inputs!$B$54,1+Inputs!$B$55,1)</f>
        <v>1</v>
      </c>
      <c r="K77" s="42">
        <f t="shared" ca="1" si="51"/>
        <v>1.5976187965204613E-2</v>
      </c>
      <c r="L77" s="42">
        <f t="shared" ca="1" si="51"/>
        <v>0.29285992454312126</v>
      </c>
      <c r="M77" s="42">
        <f t="shared" ca="1" si="51"/>
        <v>0.77046295876384885</v>
      </c>
      <c r="N77" s="42">
        <f t="shared" ca="1" si="51"/>
        <v>0.35825764886598577</v>
      </c>
      <c r="O77" s="42">
        <f t="shared" ca="1" si="51"/>
        <v>0.79092400956994668</v>
      </c>
      <c r="P77" s="42">
        <f t="shared" ca="1" si="51"/>
        <v>0.66669971601803601</v>
      </c>
      <c r="Q77" s="42">
        <f t="shared" ca="1" si="51"/>
        <v>0.13390487667615592</v>
      </c>
      <c r="R77" s="42">
        <f t="shared" ca="1" si="51"/>
        <v>0.29249024023654691</v>
      </c>
      <c r="S77" s="42">
        <f t="shared" ca="1" si="51"/>
        <v>0.31119517438842992</v>
      </c>
      <c r="T77" s="42">
        <f t="shared" ca="1" si="51"/>
        <v>0.43069048283503375</v>
      </c>
      <c r="U77" s="44">
        <f ca="1">(IF(D77&gt;=Inputs!$E$12,1,IF(K77&lt;=Inputs!$C$46,Inputs!$D$46,IF(K77&lt;=Inputs!$C$47,Inputs!$D$47,Inputs!$D$48))))*((Inputs!$B$28+(P77-0.5)*2*Inputs!$B$53)/Inputs!$B$28)</f>
        <v>1.0016872440892515</v>
      </c>
      <c r="V77" s="44">
        <f ca="1">(IF(E77&gt;=Inputs!$E$13,1,IF(L77&lt;=Inputs!$C$46,Inputs!$D$46,IF(L77&lt;=Inputs!$C$47,Inputs!$D$47,Inputs!$D$48))))*((Inputs!$B$29+(Q77-0.5)*2*Inputs!$B$53)/Inputs!$B$29)</f>
        <v>0.9963095249664935</v>
      </c>
      <c r="W77" s="44">
        <f ca="1">(IF(F77&gt;=Inputs!$E$14,1,IF(M77&lt;=Inputs!$C$46,Inputs!$D$46,IF(M77&lt;=Inputs!$C$47,Inputs!$D$47,Inputs!$D$48))))*((Inputs!$B$30+(R77-0.5)*2*Inputs!$B$53)/Inputs!$B$30)</f>
        <v>0.99791447477624662</v>
      </c>
      <c r="X77" s="44">
        <f ca="1">(IF(G77&gt;=Inputs!$E$15,1,IF(N77&lt;=Inputs!$C$46,Inputs!$D$46,IF(N77&lt;=Inputs!$C$47,Inputs!$D$47,Inputs!$D$48))))*((Inputs!$B$31+(S77-0.5)*2*Inputs!$B$53)/Inputs!$B$31)</f>
        <v>0.99808319973998405</v>
      </c>
      <c r="Y77" s="44">
        <f ca="1">(IF(H77&gt;=Inputs!$E$16,1,IF(O77&lt;=Inputs!$C$46,Inputs!$D$46,IF(O77&lt;=Inputs!$C$47,Inputs!$D$47,Inputs!$D$48))))*((Inputs!$B$32+(T77-0.5)*2*Inputs!$B$53)/Inputs!$B$32)</f>
        <v>0.99930272115528207</v>
      </c>
      <c r="Z77" s="45">
        <f ca="1">ILP_C_HighResilience!$C$9*U77+ILP_C_HighResilience!$C$10*V77+ILP_C_HighResilience!$C$11*W77+ILP_C_HighResilience!$C$12*X77+ILP_C_HighResilience!$C$13*Y77</f>
        <v>17985.061485449874</v>
      </c>
      <c r="AA77" s="45">
        <f ca="1">ILP_C_HighResilience!$D$9*U77+ILP_C_HighResilience!$D$10*V77+ILP_C_HighResilience!$D$11*W77+ILP_C_HighResilience!$D$12*X77+ILP_C_HighResilience!$D$13*Y77</f>
        <v>14959.866932117648</v>
      </c>
      <c r="AB77" s="45">
        <f ca="1">ILP_C_HighResilience!$E$9*U77+ILP_C_HighResilience!$E$10*V77+ILP_C_HighResilience!$E$11*W77+ILP_C_HighResilience!$E$12*X77+ILP_C_HighResilience!$E$13*Y77</f>
        <v>11986.200965233162</v>
      </c>
      <c r="AC77" s="45">
        <f ca="1">Inputs!$B$6*$C77</f>
        <v>16200</v>
      </c>
      <c r="AD77" s="45">
        <f ca="1">Inputs!$B$7*$C77</f>
        <v>13500</v>
      </c>
      <c r="AE77" s="45">
        <f ca="1">Inputs!$B$8*$C77</f>
        <v>10800</v>
      </c>
      <c r="AF77" s="45">
        <f t="shared" ca="1" si="53"/>
        <v>0</v>
      </c>
      <c r="AG77" s="45">
        <f t="shared" ca="1" si="54"/>
        <v>0</v>
      </c>
      <c r="AH77" s="45">
        <f t="shared" ca="1" si="55"/>
        <v>0</v>
      </c>
      <c r="AI77" s="45">
        <f t="shared" ca="1" si="56"/>
        <v>0</v>
      </c>
      <c r="AJ77" s="45">
        <f ca="1">U77*(Inputs!$B$12-ILP_C_HighResilience!$F$9)+V77*(Inputs!$B$13-ILP_C_HighResilience!$F$10)+W77*(Inputs!$B$14-ILP_C_HighResilience!$F$11)+X77*(Inputs!$B$15-ILP_C_HighResilience!$F$12)+Y77*(Inputs!$B$16-ILP_C_HighResilience!$F$13)</f>
        <v>24983.627258458495</v>
      </c>
      <c r="AK77" s="45">
        <f t="shared" ca="1" si="57"/>
        <v>0</v>
      </c>
      <c r="AL77" s="45">
        <f t="shared" ca="1" si="58"/>
        <v>0</v>
      </c>
      <c r="AM77" s="45">
        <f t="shared" ca="1" si="59"/>
        <v>0</v>
      </c>
      <c r="AN77" s="45">
        <f t="shared" ca="1" si="60"/>
        <v>0</v>
      </c>
      <c r="AO77" s="45">
        <f ca="1">MIN(AL77,Inputs!$B$36)</f>
        <v>0</v>
      </c>
      <c r="AP77" s="45">
        <f ca="1">MIN(AN77,Inputs!$B$36-AO77)</f>
        <v>0</v>
      </c>
      <c r="AQ77" s="45">
        <f ca="1">MIN(AM77,Inputs!$B$36-AO77-AP77)</f>
        <v>0</v>
      </c>
      <c r="AR77" s="45">
        <f t="shared" ca="1" si="61"/>
        <v>0</v>
      </c>
      <c r="AS77" s="45">
        <f t="shared" ca="1" si="62"/>
        <v>0</v>
      </c>
      <c r="AT77" s="45">
        <f t="shared" ca="1" si="63"/>
        <v>0</v>
      </c>
      <c r="AU77" s="45">
        <f t="shared" ca="1" si="64"/>
        <v>0</v>
      </c>
      <c r="AV77" s="46">
        <f ca="1">AU77*Inputs!$B$35</f>
        <v>0</v>
      </c>
      <c r="AW77" s="46">
        <f ca="1">AR77*Inputs!$C$6+AT77*Inputs!$C$7+AS77*Inputs!$C$8</f>
        <v>0</v>
      </c>
      <c r="AX77" s="46">
        <f t="shared" ca="1" si="65"/>
        <v>47559586.402940288</v>
      </c>
      <c r="AY77" s="46">
        <f ca="1">IF(J77&gt;1,($CD$4)*Inputs!$B$55*((Z77+AA77+AB77)/(SUM(ILP_C_HighResilience!$C$9:$E$13))),0)</f>
        <v>0</v>
      </c>
      <c r="AZ77" s="46">
        <f t="shared" ca="1" si="66"/>
        <v>0</v>
      </c>
      <c r="BA77" s="41">
        <f t="shared" ca="1" si="67"/>
        <v>0</v>
      </c>
      <c r="BB77" s="41">
        <f t="shared" ca="1" si="68"/>
        <v>1</v>
      </c>
      <c r="BC77" s="41">
        <f t="shared" ca="1" si="69"/>
        <v>1</v>
      </c>
      <c r="BD77" s="41">
        <f t="shared" ca="1" si="70"/>
        <v>1</v>
      </c>
    </row>
    <row r="78" spans="1:56" ht="15" customHeight="1" x14ac:dyDescent="0.3">
      <c r="A78" s="41">
        <v>71</v>
      </c>
      <c r="B78" s="42">
        <f t="shared" ca="1" si="52"/>
        <v>0.55273152947469806</v>
      </c>
      <c r="C78" s="43">
        <f ca="1">IF(B78&lt;=Inputs!$C$40,Inputs!$D$40,IF(B78&lt;=Inputs!$C$41,Inputs!$D$41,Inputs!$D$42))</f>
        <v>1</v>
      </c>
      <c r="D78" s="42">
        <f t="shared" ref="D78:I87" ca="1" si="71">RAND()</f>
        <v>0.33929993145249882</v>
      </c>
      <c r="E78" s="42">
        <f t="shared" ca="1" si="71"/>
        <v>0.51903456097869949</v>
      </c>
      <c r="F78" s="42">
        <f t="shared" ca="1" si="71"/>
        <v>0.70521751186957915</v>
      </c>
      <c r="G78" s="42">
        <f t="shared" ca="1" si="71"/>
        <v>0.87796019468678399</v>
      </c>
      <c r="H78" s="42">
        <f t="shared" ca="1" si="71"/>
        <v>0.13452069782757869</v>
      </c>
      <c r="I78" s="42">
        <f t="shared" ca="1" si="71"/>
        <v>3.496630968191905E-2</v>
      </c>
      <c r="J78" s="43">
        <f ca="1">IF(I78&lt;Inputs!$B$54,1+Inputs!$B$55,1)</f>
        <v>1.25</v>
      </c>
      <c r="K78" s="42">
        <f t="shared" ref="K78:T87" ca="1" si="72">RAND()</f>
        <v>0.99420548366979045</v>
      </c>
      <c r="L78" s="42">
        <f t="shared" ca="1" si="72"/>
        <v>0.18958645389789108</v>
      </c>
      <c r="M78" s="42">
        <f t="shared" ca="1" si="72"/>
        <v>0.91363259614114856</v>
      </c>
      <c r="N78" s="42">
        <f t="shared" ca="1" si="72"/>
        <v>0.74192489270165074</v>
      </c>
      <c r="O78" s="42">
        <f t="shared" ca="1" si="72"/>
        <v>0.61023255141246258</v>
      </c>
      <c r="P78" s="42">
        <f t="shared" ca="1" si="72"/>
        <v>0.67450416255319257</v>
      </c>
      <c r="Q78" s="42">
        <f t="shared" ca="1" si="72"/>
        <v>0.94477881758081161</v>
      </c>
      <c r="R78" s="42">
        <f t="shared" ca="1" si="72"/>
        <v>0.72005039914118785</v>
      </c>
      <c r="S78" s="42">
        <f t="shared" ca="1" si="72"/>
        <v>0.91289051336239202</v>
      </c>
      <c r="T78" s="42">
        <f t="shared" ca="1" si="72"/>
        <v>0.15459722261134112</v>
      </c>
      <c r="U78" s="44">
        <f ca="1">(IF(D78&gt;=Inputs!$E$12,1,IF(K78&lt;=Inputs!$C$46,Inputs!$D$46,IF(K78&lt;=Inputs!$C$47,Inputs!$D$47,Inputs!$D$48))))*((Inputs!$B$28+(P78-0.5)*2*Inputs!$B$53)/Inputs!$B$28)</f>
        <v>1.001766236463089</v>
      </c>
      <c r="V78" s="44">
        <f ca="1">(IF(E78&gt;=Inputs!$E$13,1,IF(L78&lt;=Inputs!$C$46,Inputs!$D$46,IF(L78&lt;=Inputs!$C$47,Inputs!$D$47,Inputs!$D$48))))*((Inputs!$B$29+(Q78-0.5)*2*Inputs!$B$53)/Inputs!$B$29)</f>
        <v>1.0044836574352904</v>
      </c>
      <c r="W78" s="44">
        <f ca="1">(IF(F78&gt;=Inputs!$E$14,1,IF(M78&lt;=Inputs!$C$46,Inputs!$D$46,IF(M78&lt;=Inputs!$C$47,Inputs!$D$47,Inputs!$D$48))))*((Inputs!$B$30+(R78-0.5)*2*Inputs!$B$53)/Inputs!$B$30)</f>
        <v>1.0022115618004139</v>
      </c>
      <c r="X78" s="44">
        <f ca="1">(IF(G78&gt;=Inputs!$E$15,1,IF(N78&lt;=Inputs!$C$46,Inputs!$D$46,IF(N78&lt;=Inputs!$C$47,Inputs!$D$47,Inputs!$D$48))))*((Inputs!$B$31+(S78-0.5)*2*Inputs!$B$53)/Inputs!$B$31)</f>
        <v>1.0041917818615471</v>
      </c>
      <c r="Y78" s="44">
        <f ca="1">(IF(H78&gt;=Inputs!$E$16,1,IF(O78&lt;=Inputs!$C$46,Inputs!$D$46,IF(O78&lt;=Inputs!$C$47,Inputs!$D$47,Inputs!$D$48))))*((Inputs!$B$32+(T78-0.5)*2*Inputs!$B$53)/Inputs!$B$32)</f>
        <v>0.99652512296389684</v>
      </c>
      <c r="Z78" s="45">
        <f ca="1">ILP_C_HighResilience!$C$9*U78+ILP_C_HighResilience!$C$10*V78+ILP_C_HighResilience!$C$11*W78+ILP_C_HighResilience!$C$12*X78+ILP_C_HighResilience!$C$13*Y78</f>
        <v>18059.038898704424</v>
      </c>
      <c r="AA78" s="45">
        <f ca="1">ILP_C_HighResilience!$D$9*U78+ILP_C_HighResilience!$D$10*V78+ILP_C_HighResilience!$D$11*W78+ILP_C_HighResilience!$D$12*X78+ILP_C_HighResilience!$D$13*Y78</f>
        <v>15055.954617497904</v>
      </c>
      <c r="AB78" s="45">
        <f ca="1">ILP_C_HighResilience!$E$9*U78+ILP_C_HighResilience!$E$10*V78+ILP_C_HighResilience!$E$11*W78+ILP_C_HighResilience!$E$12*X78+ILP_C_HighResilience!$E$13*Y78</f>
        <v>12034.143926068158</v>
      </c>
      <c r="AC78" s="45">
        <f ca="1">Inputs!$B$6*$C78</f>
        <v>18000</v>
      </c>
      <c r="AD78" s="45">
        <f ca="1">Inputs!$B$7*$C78</f>
        <v>15000</v>
      </c>
      <c r="AE78" s="45">
        <f ca="1">Inputs!$B$8*$C78</f>
        <v>12000</v>
      </c>
      <c r="AF78" s="45">
        <f t="shared" ca="1" si="53"/>
        <v>0</v>
      </c>
      <c r="AG78" s="45">
        <f t="shared" ca="1" si="54"/>
        <v>0</v>
      </c>
      <c r="AH78" s="45">
        <f t="shared" ca="1" si="55"/>
        <v>0</v>
      </c>
      <c r="AI78" s="45">
        <f t="shared" ca="1" si="56"/>
        <v>0</v>
      </c>
      <c r="AJ78" s="45">
        <f ca="1">U78*(Inputs!$B$12-ILP_C_HighResilience!$F$9)+V78*(Inputs!$B$13-ILP_C_HighResilience!$F$10)+W78*(Inputs!$B$14-ILP_C_HighResilience!$F$11)+X78*(Inputs!$B$15-ILP_C_HighResilience!$F$12)+Y78*(Inputs!$B$16-ILP_C_HighResilience!$F$13)</f>
        <v>24968.822075435404</v>
      </c>
      <c r="AK78" s="45">
        <f t="shared" ca="1" si="57"/>
        <v>0</v>
      </c>
      <c r="AL78" s="45">
        <f t="shared" ca="1" si="58"/>
        <v>0</v>
      </c>
      <c r="AM78" s="45">
        <f t="shared" ca="1" si="59"/>
        <v>0</v>
      </c>
      <c r="AN78" s="45">
        <f t="shared" ca="1" si="60"/>
        <v>0</v>
      </c>
      <c r="AO78" s="45">
        <f ca="1">MIN(AL78,Inputs!$B$36)</f>
        <v>0</v>
      </c>
      <c r="AP78" s="45">
        <f ca="1">MIN(AN78,Inputs!$B$36-AO78)</f>
        <v>0</v>
      </c>
      <c r="AQ78" s="45">
        <f ca="1">MIN(AM78,Inputs!$B$36-AO78-AP78)</f>
        <v>0</v>
      </c>
      <c r="AR78" s="45">
        <f t="shared" ca="1" si="61"/>
        <v>0</v>
      </c>
      <c r="AS78" s="45">
        <f t="shared" ca="1" si="62"/>
        <v>0</v>
      </c>
      <c r="AT78" s="45">
        <f t="shared" ca="1" si="63"/>
        <v>0</v>
      </c>
      <c r="AU78" s="45">
        <f t="shared" ca="1" si="64"/>
        <v>0</v>
      </c>
      <c r="AV78" s="46">
        <f ca="1">AU78*Inputs!$B$35</f>
        <v>0</v>
      </c>
      <c r="AW78" s="46">
        <f ca="1">AR78*Inputs!$C$6+AT78*Inputs!$C$7+AS78*Inputs!$C$8</f>
        <v>0</v>
      </c>
      <c r="AX78" s="46">
        <f t="shared" ca="1" si="65"/>
        <v>47790055.525948778</v>
      </c>
      <c r="AY78" s="46">
        <f ca="1">IF(J78&gt;1,($CD$4)*Inputs!$B$55*((Z78+AA78+AB78)/(SUM(ILP_C_HighResilience!$C$9:$E$13))),0)</f>
        <v>603036.96253309923</v>
      </c>
      <c r="AZ78" s="46">
        <f t="shared" ca="1" si="66"/>
        <v>0</v>
      </c>
      <c r="BA78" s="41">
        <f t="shared" ca="1" si="67"/>
        <v>0</v>
      </c>
      <c r="BB78" s="41">
        <f t="shared" ca="1" si="68"/>
        <v>1</v>
      </c>
      <c r="BC78" s="41">
        <f t="shared" ca="1" si="69"/>
        <v>1</v>
      </c>
      <c r="BD78" s="41">
        <f t="shared" ca="1" si="70"/>
        <v>1</v>
      </c>
    </row>
    <row r="79" spans="1:56" ht="15" customHeight="1" x14ac:dyDescent="0.3">
      <c r="A79" s="41">
        <v>72</v>
      </c>
      <c r="B79" s="42">
        <f t="shared" ca="1" si="52"/>
        <v>0.65922618899339236</v>
      </c>
      <c r="C79" s="43">
        <f ca="1">IF(B79&lt;=Inputs!$C$40,Inputs!$D$40,IF(B79&lt;=Inputs!$C$41,Inputs!$D$41,Inputs!$D$42))</f>
        <v>1</v>
      </c>
      <c r="D79" s="42">
        <f t="shared" ca="1" si="71"/>
        <v>0.34815638292113038</v>
      </c>
      <c r="E79" s="42">
        <f t="shared" ca="1" si="71"/>
        <v>2.9273106522287762E-2</v>
      </c>
      <c r="F79" s="42">
        <f t="shared" ca="1" si="71"/>
        <v>0.49058739798354556</v>
      </c>
      <c r="G79" s="42">
        <f t="shared" ca="1" si="71"/>
        <v>3.6709098425767417E-2</v>
      </c>
      <c r="H79" s="42">
        <f t="shared" ca="1" si="71"/>
        <v>8.3209695465863542E-2</v>
      </c>
      <c r="I79" s="42">
        <f t="shared" ca="1" si="71"/>
        <v>0.24129843078795843</v>
      </c>
      <c r="J79" s="43">
        <f ca="1">IF(I79&lt;Inputs!$B$54,1+Inputs!$B$55,1)</f>
        <v>1</v>
      </c>
      <c r="K79" s="42">
        <f t="shared" ca="1" si="72"/>
        <v>0.53775661823784504</v>
      </c>
      <c r="L79" s="42">
        <f t="shared" ca="1" si="72"/>
        <v>0.45483295500390131</v>
      </c>
      <c r="M79" s="42">
        <f t="shared" ca="1" si="72"/>
        <v>0.24485118679479456</v>
      </c>
      <c r="N79" s="42">
        <f t="shared" ca="1" si="72"/>
        <v>0.38762888020231789</v>
      </c>
      <c r="O79" s="42">
        <f t="shared" ca="1" si="72"/>
        <v>0.10054270051434389</v>
      </c>
      <c r="P79" s="42">
        <f t="shared" ca="1" si="72"/>
        <v>0.30558843362510857</v>
      </c>
      <c r="Q79" s="42">
        <f t="shared" ca="1" si="72"/>
        <v>0.56731960779381474</v>
      </c>
      <c r="R79" s="42">
        <f t="shared" ca="1" si="72"/>
        <v>0.65880831330325651</v>
      </c>
      <c r="S79" s="42">
        <f t="shared" ca="1" si="72"/>
        <v>0.87697364112301912</v>
      </c>
      <c r="T79" s="42">
        <f t="shared" ca="1" si="72"/>
        <v>0.10570339763294345</v>
      </c>
      <c r="U79" s="44">
        <f ca="1">(IF(D79&gt;=Inputs!$E$12,1,IF(K79&lt;=Inputs!$C$46,Inputs!$D$46,IF(K79&lt;=Inputs!$C$47,Inputs!$D$47,Inputs!$D$48))))*((Inputs!$B$28+(P79-0.5)*2*Inputs!$B$53)/Inputs!$B$28)</f>
        <v>0.99803227159539576</v>
      </c>
      <c r="V79" s="44">
        <f ca="1">(IF(E79&gt;=Inputs!$E$13,1,IF(L79&lt;=Inputs!$C$46,Inputs!$D$46,IF(L79&lt;=Inputs!$C$47,Inputs!$D$47,Inputs!$D$48))))*((Inputs!$B$29+(Q79-0.5)*2*Inputs!$B$53)/Inputs!$B$29)</f>
        <v>0.30020358752356996</v>
      </c>
      <c r="W79" s="44">
        <f ca="1">(IF(F79&gt;=Inputs!$E$14,1,IF(M79&lt;=Inputs!$C$46,Inputs!$D$46,IF(M79&lt;=Inputs!$C$47,Inputs!$D$47,Inputs!$D$48))))*((Inputs!$B$30+(R79-0.5)*2*Inputs!$B$53)/Inputs!$B$30)</f>
        <v>1.0015960634502841</v>
      </c>
      <c r="X79" s="44">
        <f ca="1">(IF(G79&gt;=Inputs!$E$15,1,IF(N79&lt;=Inputs!$C$46,Inputs!$D$46,IF(N79&lt;=Inputs!$C$47,Inputs!$D$47,Inputs!$D$48))))*((Inputs!$B$31+(S79-0.5)*2*Inputs!$B$53)/Inputs!$B$31)</f>
        <v>0.30114814306941023</v>
      </c>
      <c r="Y79" s="44">
        <f ca="1">(IF(H79&gt;=Inputs!$E$16,1,IF(O79&lt;=Inputs!$C$46,Inputs!$D$46,IF(O79&lt;=Inputs!$C$47,Inputs!$D$47,Inputs!$D$48))))*((Inputs!$B$32+(T79-0.5)*2*Inputs!$B$53)/Inputs!$B$32)</f>
        <v>0.99603323337658889</v>
      </c>
      <c r="Z79" s="45">
        <f ca="1">ILP_C_HighResilience!$C$9*U79+ILP_C_HighResilience!$C$10*V79+ILP_C_HighResilience!$C$11*W79+ILP_C_HighResilience!$C$12*X79+ILP_C_HighResilience!$C$13*Y79</f>
        <v>10434.831900671454</v>
      </c>
      <c r="AA79" s="45">
        <f ca="1">ILP_C_HighResilience!$D$9*U79+ILP_C_HighResilience!$D$10*V79+ILP_C_HighResilience!$D$11*W79+ILP_C_HighResilience!$D$12*X79+ILP_C_HighResilience!$D$13*Y79</f>
        <v>7579.5167040343404</v>
      </c>
      <c r="AB79" s="45">
        <f ca="1">ILP_C_HighResilience!$E$9*U79+ILP_C_HighResilience!$E$10*V79+ILP_C_HighResilience!$E$11*W79+ILP_C_HighResilience!$E$12*X79+ILP_C_HighResilience!$E$13*Y79</f>
        <v>8994.4756237261954</v>
      </c>
      <c r="AC79" s="45">
        <f ca="1">Inputs!$B$6*$C79</f>
        <v>18000</v>
      </c>
      <c r="AD79" s="45">
        <f ca="1">Inputs!$B$7*$C79</f>
        <v>15000</v>
      </c>
      <c r="AE79" s="45">
        <f ca="1">Inputs!$B$8*$C79</f>
        <v>12000</v>
      </c>
      <c r="AF79" s="45">
        <f t="shared" ca="1" si="53"/>
        <v>7565.1680993285463</v>
      </c>
      <c r="AG79" s="45">
        <f t="shared" ca="1" si="54"/>
        <v>7420.4832959656596</v>
      </c>
      <c r="AH79" s="45">
        <f t="shared" ca="1" si="55"/>
        <v>3005.5243762738046</v>
      </c>
      <c r="AI79" s="45">
        <f t="shared" ca="1" si="56"/>
        <v>17991.175771568011</v>
      </c>
      <c r="AJ79" s="45">
        <f ca="1">U79*(Inputs!$B$12-ILP_C_HighResilience!$F$9)+V79*(Inputs!$B$13-ILP_C_HighResilience!$F$10)+W79*(Inputs!$B$14-ILP_C_HighResilience!$F$11)+X79*(Inputs!$B$15-ILP_C_HighResilience!$F$12)+Y79*(Inputs!$B$16-ILP_C_HighResilience!$F$13)</f>
        <v>24737.567384759772</v>
      </c>
      <c r="AK79" s="45">
        <f t="shared" ca="1" si="57"/>
        <v>17991.175771568011</v>
      </c>
      <c r="AL79" s="45">
        <f t="shared" ca="1" si="58"/>
        <v>0</v>
      </c>
      <c r="AM79" s="45">
        <f t="shared" ca="1" si="59"/>
        <v>0</v>
      </c>
      <c r="AN79" s="45">
        <f t="shared" ca="1" si="60"/>
        <v>0</v>
      </c>
      <c r="AO79" s="45">
        <f ca="1">MIN(AL79,Inputs!$B$36)</f>
        <v>0</v>
      </c>
      <c r="AP79" s="45">
        <f ca="1">MIN(AN79,Inputs!$B$36-AO79)</f>
        <v>0</v>
      </c>
      <c r="AQ79" s="45">
        <f ca="1">MIN(AM79,Inputs!$B$36-AO79-AP79)</f>
        <v>0</v>
      </c>
      <c r="AR79" s="45">
        <f t="shared" ca="1" si="61"/>
        <v>0</v>
      </c>
      <c r="AS79" s="45">
        <f t="shared" ca="1" si="62"/>
        <v>0</v>
      </c>
      <c r="AT79" s="45">
        <f t="shared" ca="1" si="63"/>
        <v>0</v>
      </c>
      <c r="AU79" s="45">
        <f t="shared" ca="1" si="64"/>
        <v>0</v>
      </c>
      <c r="AV79" s="46">
        <f ca="1">AU79*Inputs!$B$35</f>
        <v>0</v>
      </c>
      <c r="AW79" s="46">
        <f ca="1">AR79*Inputs!$C$6+AT79*Inputs!$C$7+AS79*Inputs!$C$8</f>
        <v>0</v>
      </c>
      <c r="AX79" s="46">
        <f t="shared" ca="1" si="65"/>
        <v>28671520.581702512</v>
      </c>
      <c r="AY79" s="46">
        <f ca="1">IF(J79&gt;1,($CD$4)*Inputs!$B$55*((Z79+AA79+AB79)/(SUM(ILP_C_HighResilience!$C$9:$E$13))),0)</f>
        <v>0</v>
      </c>
      <c r="AZ79" s="46">
        <f t="shared" ca="1" si="66"/>
        <v>0</v>
      </c>
      <c r="BA79" s="41">
        <f t="shared" ca="1" si="67"/>
        <v>0</v>
      </c>
      <c r="BB79" s="41">
        <f t="shared" ca="1" si="68"/>
        <v>1</v>
      </c>
      <c r="BC79" s="41">
        <f t="shared" ca="1" si="69"/>
        <v>1</v>
      </c>
      <c r="BD79" s="41">
        <f t="shared" ca="1" si="70"/>
        <v>1</v>
      </c>
    </row>
    <row r="80" spans="1:56" ht="15" customHeight="1" x14ac:dyDescent="0.3">
      <c r="A80" s="41">
        <v>73</v>
      </c>
      <c r="B80" s="42">
        <f t="shared" ca="1" si="52"/>
        <v>0.39399838723285918</v>
      </c>
      <c r="C80" s="43">
        <f ca="1">IF(B80&lt;=Inputs!$C$40,Inputs!$D$40,IF(B80&lt;=Inputs!$C$41,Inputs!$D$41,Inputs!$D$42))</f>
        <v>1</v>
      </c>
      <c r="D80" s="42">
        <f t="shared" ca="1" si="71"/>
        <v>0.3259423082974483</v>
      </c>
      <c r="E80" s="42">
        <f t="shared" ca="1" si="71"/>
        <v>0.42419219458944046</v>
      </c>
      <c r="F80" s="42">
        <f t="shared" ca="1" si="71"/>
        <v>0.30205458491100956</v>
      </c>
      <c r="G80" s="42">
        <f t="shared" ca="1" si="71"/>
        <v>0.78807391988442821</v>
      </c>
      <c r="H80" s="42">
        <f t="shared" ca="1" si="71"/>
        <v>0.12042783950669722</v>
      </c>
      <c r="I80" s="42">
        <f t="shared" ca="1" si="71"/>
        <v>0.1808723849294217</v>
      </c>
      <c r="J80" s="43">
        <f ca="1">IF(I80&lt;Inputs!$B$54,1+Inputs!$B$55,1)</f>
        <v>1</v>
      </c>
      <c r="K80" s="42">
        <f t="shared" ca="1" si="72"/>
        <v>0.91896474269027417</v>
      </c>
      <c r="L80" s="42">
        <f t="shared" ca="1" si="72"/>
        <v>0.75639067635610346</v>
      </c>
      <c r="M80" s="42">
        <f t="shared" ca="1" si="72"/>
        <v>0.19014818377188436</v>
      </c>
      <c r="N80" s="42">
        <f t="shared" ca="1" si="72"/>
        <v>0.18069108052817862</v>
      </c>
      <c r="O80" s="42">
        <f t="shared" ca="1" si="72"/>
        <v>0.44798807388802186</v>
      </c>
      <c r="P80" s="42">
        <f t="shared" ca="1" si="72"/>
        <v>0.12514819935963639</v>
      </c>
      <c r="Q80" s="42">
        <f t="shared" ca="1" si="72"/>
        <v>0.50874793780526939</v>
      </c>
      <c r="R80" s="42">
        <f t="shared" ca="1" si="72"/>
        <v>0.23590497590923132</v>
      </c>
      <c r="S80" s="42">
        <f t="shared" ca="1" si="72"/>
        <v>0.47873683737231443</v>
      </c>
      <c r="T80" s="42">
        <f t="shared" ca="1" si="72"/>
        <v>6.3322225658822728E-2</v>
      </c>
      <c r="U80" s="44">
        <f ca="1">(IF(D80&gt;=Inputs!$E$12,1,IF(K80&lt;=Inputs!$C$46,Inputs!$D$46,IF(K80&lt;=Inputs!$C$47,Inputs!$D$47,Inputs!$D$48))))*((Inputs!$B$28+(P80-0.5)*2*Inputs!$B$53)/Inputs!$B$28)</f>
        <v>0.99620595343481411</v>
      </c>
      <c r="V80" s="44">
        <f ca="1">(IF(E80&gt;=Inputs!$E$13,1,IF(L80&lt;=Inputs!$C$46,Inputs!$D$46,IF(L80&lt;=Inputs!$C$47,Inputs!$D$47,Inputs!$D$48))))*((Inputs!$B$29+(Q80-0.5)*2*Inputs!$B$53)/Inputs!$B$29)</f>
        <v>1.0000881848569079</v>
      </c>
      <c r="W80" s="44">
        <f ca="1">(IF(F80&gt;=Inputs!$E$14,1,IF(M80&lt;=Inputs!$C$46,Inputs!$D$46,IF(M80&lt;=Inputs!$C$47,Inputs!$D$47,Inputs!$D$48))))*((Inputs!$B$30+(R80-0.5)*2*Inputs!$B$53)/Inputs!$B$30)</f>
        <v>0.99734577865235408</v>
      </c>
      <c r="X80" s="44">
        <f ca="1">(IF(G80&gt;=Inputs!$E$15,1,IF(N80&lt;=Inputs!$C$46,Inputs!$D$46,IF(N80&lt;=Inputs!$C$47,Inputs!$D$47,Inputs!$D$48))))*((Inputs!$B$31+(S80-0.5)*2*Inputs!$B$53)/Inputs!$B$31)</f>
        <v>0.99978413032865299</v>
      </c>
      <c r="Y80" s="44">
        <f ca="1">(IF(H80&gt;=Inputs!$E$16,1,IF(O80&lt;=Inputs!$C$46,Inputs!$D$46,IF(O80&lt;=Inputs!$C$47,Inputs!$D$47,Inputs!$D$48))))*((Inputs!$B$32+(T80-0.5)*2*Inputs!$B$53)/Inputs!$B$32)</f>
        <v>0.9956068634372115</v>
      </c>
      <c r="Z80" s="45">
        <f ca="1">ILP_C_HighResilience!$C$9*U80+ILP_C_HighResilience!$C$10*V80+ILP_C_HighResilience!$C$11*W80+ILP_C_HighResilience!$C$12*X80+ILP_C_HighResilience!$C$13*Y80</f>
        <v>17971.446068581834</v>
      </c>
      <c r="AA80" s="45">
        <f ca="1">ILP_C_HighResilience!$D$9*U80+ILP_C_HighResilience!$D$10*V80+ILP_C_HighResilience!$D$11*W80+ILP_C_HighResilience!$D$12*X80+ILP_C_HighResilience!$D$13*Y80</f>
        <v>14987.906301757133</v>
      </c>
      <c r="AB80" s="45">
        <f ca="1">ILP_C_HighResilience!$E$9*U80+ILP_C_HighResilience!$E$10*V80+ILP_C_HighResilience!$E$11*W80+ILP_C_HighResilience!$E$12*X80+ILP_C_HighResilience!$E$13*Y80</f>
        <v>11974.437620589184</v>
      </c>
      <c r="AC80" s="45">
        <f ca="1">Inputs!$B$6*$C80</f>
        <v>18000</v>
      </c>
      <c r="AD80" s="45">
        <f ca="1">Inputs!$B$7*$C80</f>
        <v>15000</v>
      </c>
      <c r="AE80" s="45">
        <f ca="1">Inputs!$B$8*$C80</f>
        <v>12000</v>
      </c>
      <c r="AF80" s="45">
        <f t="shared" ca="1" si="53"/>
        <v>28.55393141816603</v>
      </c>
      <c r="AG80" s="45">
        <f t="shared" ca="1" si="54"/>
        <v>12.093698242866594</v>
      </c>
      <c r="AH80" s="45">
        <f t="shared" ca="1" si="55"/>
        <v>25.562379410815993</v>
      </c>
      <c r="AI80" s="45">
        <f t="shared" ca="1" si="56"/>
        <v>66.210009071848617</v>
      </c>
      <c r="AJ80" s="45">
        <f ca="1">U80*(Inputs!$B$12-ILP_C_HighResilience!$F$9)+V80*(Inputs!$B$13-ILP_C_HighResilience!$F$10)+W80*(Inputs!$B$14-ILP_C_HighResilience!$F$11)+X80*(Inputs!$B$15-ILP_C_HighResilience!$F$12)+Y80*(Inputs!$B$16-ILP_C_HighResilience!$F$13)</f>
        <v>24903.747490008194</v>
      </c>
      <c r="AK80" s="45">
        <f t="shared" ca="1" si="57"/>
        <v>66.210009071848617</v>
      </c>
      <c r="AL80" s="45">
        <f t="shared" ca="1" si="58"/>
        <v>0</v>
      </c>
      <c r="AM80" s="45">
        <f t="shared" ca="1" si="59"/>
        <v>0</v>
      </c>
      <c r="AN80" s="45">
        <f t="shared" ca="1" si="60"/>
        <v>0</v>
      </c>
      <c r="AO80" s="45">
        <f ca="1">MIN(AL80,Inputs!$B$36)</f>
        <v>0</v>
      </c>
      <c r="AP80" s="45">
        <f ca="1">MIN(AN80,Inputs!$B$36-AO80)</f>
        <v>0</v>
      </c>
      <c r="AQ80" s="45">
        <f ca="1">MIN(AM80,Inputs!$B$36-AO80-AP80)</f>
        <v>0</v>
      </c>
      <c r="AR80" s="45">
        <f t="shared" ca="1" si="61"/>
        <v>0</v>
      </c>
      <c r="AS80" s="45">
        <f t="shared" ca="1" si="62"/>
        <v>0</v>
      </c>
      <c r="AT80" s="45">
        <f t="shared" ca="1" si="63"/>
        <v>0</v>
      </c>
      <c r="AU80" s="45">
        <f t="shared" ca="1" si="64"/>
        <v>0</v>
      </c>
      <c r="AV80" s="46">
        <f ca="1">AU80*Inputs!$B$35</f>
        <v>0</v>
      </c>
      <c r="AW80" s="46">
        <f ca="1">AR80*Inputs!$C$6+AT80*Inputs!$C$7+AS80*Inputs!$C$8</f>
        <v>0</v>
      </c>
      <c r="AX80" s="46">
        <f t="shared" ca="1" si="65"/>
        <v>47562027.702473707</v>
      </c>
      <c r="AY80" s="46">
        <f ca="1">IF(J80&gt;1,($CD$4)*Inputs!$B$55*((Z80+AA80+AB80)/(SUM(ILP_C_HighResilience!$C$9:$E$13))),0)</f>
        <v>0</v>
      </c>
      <c r="AZ80" s="46">
        <f t="shared" ca="1" si="66"/>
        <v>0</v>
      </c>
      <c r="BA80" s="41">
        <f t="shared" ca="1" si="67"/>
        <v>0</v>
      </c>
      <c r="BB80" s="41">
        <f t="shared" ca="1" si="68"/>
        <v>1</v>
      </c>
      <c r="BC80" s="41">
        <f t="shared" ca="1" si="69"/>
        <v>1</v>
      </c>
      <c r="BD80" s="41">
        <f t="shared" ca="1" si="70"/>
        <v>1</v>
      </c>
    </row>
    <row r="81" spans="1:56" ht="15" customHeight="1" x14ac:dyDescent="0.3">
      <c r="A81" s="41">
        <v>74</v>
      </c>
      <c r="B81" s="42">
        <f t="shared" ca="1" si="52"/>
        <v>0.7349183634369747</v>
      </c>
      <c r="C81" s="43">
        <f ca="1">IF(B81&lt;=Inputs!$C$40,Inputs!$D$40,IF(B81&lt;=Inputs!$C$41,Inputs!$D$41,Inputs!$D$42))</f>
        <v>1</v>
      </c>
      <c r="D81" s="42">
        <f t="shared" ca="1" si="71"/>
        <v>0.55312093270684648</v>
      </c>
      <c r="E81" s="42">
        <f t="shared" ca="1" si="71"/>
        <v>0.14493559990970728</v>
      </c>
      <c r="F81" s="42">
        <f t="shared" ca="1" si="71"/>
        <v>0.9488880562559262</v>
      </c>
      <c r="G81" s="42">
        <f t="shared" ca="1" si="71"/>
        <v>3.964595470063359E-2</v>
      </c>
      <c r="H81" s="42">
        <f t="shared" ca="1" si="71"/>
        <v>0.89549369517758115</v>
      </c>
      <c r="I81" s="42">
        <f t="shared" ca="1" si="71"/>
        <v>0.28192762953683848</v>
      </c>
      <c r="J81" s="43">
        <f ca="1">IF(I81&lt;Inputs!$B$54,1+Inputs!$B$55,1)</f>
        <v>1</v>
      </c>
      <c r="K81" s="42">
        <f t="shared" ca="1" si="72"/>
        <v>0.91342537639328514</v>
      </c>
      <c r="L81" s="42">
        <f t="shared" ca="1" si="72"/>
        <v>0.907185250465671</v>
      </c>
      <c r="M81" s="42">
        <f t="shared" ca="1" si="72"/>
        <v>0.38476117975214408</v>
      </c>
      <c r="N81" s="42">
        <f t="shared" ca="1" si="72"/>
        <v>0.17804883643661706</v>
      </c>
      <c r="O81" s="42">
        <f t="shared" ca="1" si="72"/>
        <v>0.77644827209219558</v>
      </c>
      <c r="P81" s="42">
        <f t="shared" ca="1" si="72"/>
        <v>1.4166189880970737E-2</v>
      </c>
      <c r="Q81" s="42">
        <f t="shared" ca="1" si="72"/>
        <v>6.3641730465364366E-2</v>
      </c>
      <c r="R81" s="42">
        <f t="shared" ca="1" si="72"/>
        <v>0.43202163456748277</v>
      </c>
      <c r="S81" s="42">
        <f t="shared" ca="1" si="72"/>
        <v>0.28556713353871277</v>
      </c>
      <c r="T81" s="42">
        <f t="shared" ca="1" si="72"/>
        <v>0.13726502441063637</v>
      </c>
      <c r="U81" s="44">
        <f ca="1">(IF(D81&gt;=Inputs!$E$12,1,IF(K81&lt;=Inputs!$C$46,Inputs!$D$46,IF(K81&lt;=Inputs!$C$47,Inputs!$D$47,Inputs!$D$48))))*((Inputs!$B$28+(P81-0.5)*2*Inputs!$B$53)/Inputs!$B$28)</f>
        <v>0.9950826537437345</v>
      </c>
      <c r="V81" s="44">
        <f ca="1">(IF(E81&gt;=Inputs!$E$13,1,IF(L81&lt;=Inputs!$C$46,Inputs!$D$46,IF(L81&lt;=Inputs!$C$47,Inputs!$D$47,Inputs!$D$48))))*((Inputs!$B$29+(Q81-0.5)*2*Inputs!$B$53)/Inputs!$B$29)</f>
        <v>0.99560122712162669</v>
      </c>
      <c r="W81" s="44">
        <f ca="1">(IF(F81&gt;=Inputs!$E$14,1,IF(M81&lt;=Inputs!$C$46,Inputs!$D$46,IF(M81&lt;=Inputs!$C$47,Inputs!$D$47,Inputs!$D$48))))*((Inputs!$B$30+(R81-0.5)*2*Inputs!$B$53)/Inputs!$B$30)</f>
        <v>0.99931680034741188</v>
      </c>
      <c r="X81" s="44">
        <f ca="1">(IF(G81&gt;=Inputs!$E$15,1,IF(N81&lt;=Inputs!$C$46,Inputs!$D$46,IF(N81&lt;=Inputs!$C$47,Inputs!$D$47,Inputs!$D$48))))*((Inputs!$B$31+(S81-0.5)*2*Inputs!$B$53)/Inputs!$B$31)</f>
        <v>0.5986938099504896</v>
      </c>
      <c r="Y81" s="44">
        <f ca="1">(IF(H81&gt;=Inputs!$E$16,1,IF(O81&lt;=Inputs!$C$46,Inputs!$D$46,IF(O81&lt;=Inputs!$C$47,Inputs!$D$47,Inputs!$D$48))))*((Inputs!$B$32+(T81-0.5)*2*Inputs!$B$53)/Inputs!$B$32)</f>
        <v>0.99635075477274282</v>
      </c>
      <c r="Z81" s="45">
        <f ca="1">ILP_C_HighResilience!$C$9*U81+ILP_C_HighResilience!$C$10*V81+ILP_C_HighResilience!$C$11*W81+ILP_C_HighResilience!$C$12*X81+ILP_C_HighResilience!$C$13*Y81</f>
        <v>15059.35495623627</v>
      </c>
      <c r="AA81" s="45">
        <f ca="1">ILP_C_HighResilience!$D$9*U81+ILP_C_HighResilience!$D$10*V81+ILP_C_HighResilience!$D$11*W81+ILP_C_HighResilience!$D$12*X81+ILP_C_HighResilience!$D$13*Y81</f>
        <v>13116.580350222685</v>
      </c>
      <c r="AB81" s="45">
        <f ca="1">ILP_C_HighResilience!$E$9*U81+ILP_C_HighResilience!$E$10*V81+ILP_C_HighResilience!$E$11*W81+ILP_C_HighResilience!$E$12*X81+ILP_C_HighResilience!$E$13*Y81</f>
        <v>11955.545322479124</v>
      </c>
      <c r="AC81" s="45">
        <f ca="1">Inputs!$B$6*$C81</f>
        <v>18000</v>
      </c>
      <c r="AD81" s="45">
        <f ca="1">Inputs!$B$7*$C81</f>
        <v>15000</v>
      </c>
      <c r="AE81" s="45">
        <f ca="1">Inputs!$B$8*$C81</f>
        <v>12000</v>
      </c>
      <c r="AF81" s="45">
        <f t="shared" ca="1" si="53"/>
        <v>2940.6450437637304</v>
      </c>
      <c r="AG81" s="45">
        <f t="shared" ca="1" si="54"/>
        <v>1883.4196497773155</v>
      </c>
      <c r="AH81" s="45">
        <f t="shared" ca="1" si="55"/>
        <v>44.45467752087643</v>
      </c>
      <c r="AI81" s="45">
        <f t="shared" ca="1" si="56"/>
        <v>4868.5193710619224</v>
      </c>
      <c r="AJ81" s="45">
        <f ca="1">U81*(Inputs!$B$12-ILP_C_HighResilience!$F$9)+V81*(Inputs!$B$13-ILP_C_HighResilience!$F$10)+W81*(Inputs!$B$14-ILP_C_HighResilience!$F$11)+X81*(Inputs!$B$15-ILP_C_HighResilience!$F$12)+Y81*(Inputs!$B$16-ILP_C_HighResilience!$F$13)</f>
        <v>24848.964456177819</v>
      </c>
      <c r="AK81" s="45">
        <f t="shared" ca="1" si="57"/>
        <v>4868.5193710619224</v>
      </c>
      <c r="AL81" s="45">
        <f t="shared" ca="1" si="58"/>
        <v>0</v>
      </c>
      <c r="AM81" s="45">
        <f t="shared" ca="1" si="59"/>
        <v>0</v>
      </c>
      <c r="AN81" s="45">
        <f t="shared" ca="1" si="60"/>
        <v>0</v>
      </c>
      <c r="AO81" s="45">
        <f ca="1">MIN(AL81,Inputs!$B$36)</f>
        <v>0</v>
      </c>
      <c r="AP81" s="45">
        <f ca="1">MIN(AN81,Inputs!$B$36-AO81)</f>
        <v>0</v>
      </c>
      <c r="AQ81" s="45">
        <f ca="1">MIN(AM81,Inputs!$B$36-AO81-AP81)</f>
        <v>0</v>
      </c>
      <c r="AR81" s="45">
        <f t="shared" ca="1" si="61"/>
        <v>0</v>
      </c>
      <c r="AS81" s="45">
        <f t="shared" ca="1" si="62"/>
        <v>0</v>
      </c>
      <c r="AT81" s="45">
        <f t="shared" ca="1" si="63"/>
        <v>0</v>
      </c>
      <c r="AU81" s="45">
        <f t="shared" ca="1" si="64"/>
        <v>0</v>
      </c>
      <c r="AV81" s="46">
        <f ca="1">AU81*Inputs!$B$35</f>
        <v>0</v>
      </c>
      <c r="AW81" s="46">
        <f ca="1">AR81*Inputs!$C$6+AT81*Inputs!$C$7+AS81*Inputs!$C$8</f>
        <v>0</v>
      </c>
      <c r="AX81" s="46">
        <f t="shared" ca="1" si="65"/>
        <v>42545545.740252323</v>
      </c>
      <c r="AY81" s="46">
        <f ca="1">IF(J81&gt;1,($CD$4)*Inputs!$B$55*((Z81+AA81+AB81)/(SUM(ILP_C_HighResilience!$C$9:$E$13))),0)</f>
        <v>0</v>
      </c>
      <c r="AZ81" s="46">
        <f t="shared" ca="1" si="66"/>
        <v>0</v>
      </c>
      <c r="BA81" s="41">
        <f t="shared" ca="1" si="67"/>
        <v>0</v>
      </c>
      <c r="BB81" s="41">
        <f t="shared" ca="1" si="68"/>
        <v>1</v>
      </c>
      <c r="BC81" s="41">
        <f t="shared" ca="1" si="69"/>
        <v>1</v>
      </c>
      <c r="BD81" s="41">
        <f t="shared" ca="1" si="70"/>
        <v>1</v>
      </c>
    </row>
    <row r="82" spans="1:56" ht="15" customHeight="1" x14ac:dyDescent="0.3">
      <c r="A82" s="41">
        <v>75</v>
      </c>
      <c r="B82" s="42">
        <f t="shared" ca="1" si="52"/>
        <v>0.69989177924616641</v>
      </c>
      <c r="C82" s="43">
        <f ca="1">IF(B82&lt;=Inputs!$C$40,Inputs!$D$40,IF(B82&lt;=Inputs!$C$41,Inputs!$D$41,Inputs!$D$42))</f>
        <v>1</v>
      </c>
      <c r="D82" s="42">
        <f t="shared" ca="1" si="71"/>
        <v>0.13251099184130277</v>
      </c>
      <c r="E82" s="42">
        <f t="shared" ca="1" si="71"/>
        <v>0.61806135069778034</v>
      </c>
      <c r="F82" s="42">
        <f t="shared" ca="1" si="71"/>
        <v>0.24163950172093251</v>
      </c>
      <c r="G82" s="42">
        <f t="shared" ca="1" si="71"/>
        <v>0.84240095761496447</v>
      </c>
      <c r="H82" s="42">
        <f t="shared" ca="1" si="71"/>
        <v>0.90796229577675991</v>
      </c>
      <c r="I82" s="42">
        <f t="shared" ca="1" si="71"/>
        <v>0.8169318411488895</v>
      </c>
      <c r="J82" s="43">
        <f ca="1">IF(I82&lt;Inputs!$B$54,1+Inputs!$B$55,1)</f>
        <v>1</v>
      </c>
      <c r="K82" s="42">
        <f t="shared" ca="1" si="72"/>
        <v>0.87017024776382612</v>
      </c>
      <c r="L82" s="42">
        <f t="shared" ca="1" si="72"/>
        <v>0.68702943944545514</v>
      </c>
      <c r="M82" s="42">
        <f t="shared" ca="1" si="72"/>
        <v>0.84667924252439652</v>
      </c>
      <c r="N82" s="42">
        <f t="shared" ca="1" si="72"/>
        <v>0.35998759211159115</v>
      </c>
      <c r="O82" s="42">
        <f t="shared" ca="1" si="72"/>
        <v>0.31797935298562652</v>
      </c>
      <c r="P82" s="42">
        <f t="shared" ca="1" si="72"/>
        <v>0.29325326797527351</v>
      </c>
      <c r="Q82" s="42">
        <f t="shared" ca="1" si="72"/>
        <v>0.75573894848195899</v>
      </c>
      <c r="R82" s="42">
        <f t="shared" ca="1" si="72"/>
        <v>0.72278668888485464</v>
      </c>
      <c r="S82" s="42">
        <f t="shared" ca="1" si="72"/>
        <v>0.51435658287114694</v>
      </c>
      <c r="T82" s="42">
        <f t="shared" ca="1" si="72"/>
        <v>0.7016680882424825</v>
      </c>
      <c r="U82" s="44">
        <f ca="1">(IF(D82&gt;=Inputs!$E$12,1,IF(K82&lt;=Inputs!$C$46,Inputs!$D$46,IF(K82&lt;=Inputs!$C$47,Inputs!$D$47,Inputs!$D$48))))*((Inputs!$B$28+(P82-0.5)*2*Inputs!$B$53)/Inputs!$B$28)</f>
        <v>0.9979074217406404</v>
      </c>
      <c r="V82" s="44">
        <f ca="1">(IF(E82&gt;=Inputs!$E$13,1,IF(L82&lt;=Inputs!$C$46,Inputs!$D$46,IF(L82&lt;=Inputs!$C$47,Inputs!$D$47,Inputs!$D$48))))*((Inputs!$B$29+(Q82-0.5)*2*Inputs!$B$53)/Inputs!$B$29)</f>
        <v>1.002578013593568</v>
      </c>
      <c r="W82" s="44">
        <f ca="1">(IF(F82&gt;=Inputs!$E$14,1,IF(M82&lt;=Inputs!$C$46,Inputs!$D$46,IF(M82&lt;=Inputs!$C$47,Inputs!$D$47,Inputs!$D$48))))*((Inputs!$B$30+(R82-0.5)*2*Inputs!$B$53)/Inputs!$B$30)</f>
        <v>1.0022390621998478</v>
      </c>
      <c r="X82" s="44">
        <f ca="1">(IF(G82&gt;=Inputs!$E$15,1,IF(N82&lt;=Inputs!$C$46,Inputs!$D$46,IF(N82&lt;=Inputs!$C$47,Inputs!$D$47,Inputs!$D$48))))*((Inputs!$B$31+(S82-0.5)*2*Inputs!$B$53)/Inputs!$B$31)</f>
        <v>1.0001457521103669</v>
      </c>
      <c r="Y82" s="44">
        <f ca="1">(IF(H82&gt;=Inputs!$E$16,1,IF(O82&lt;=Inputs!$C$46,Inputs!$D$46,IF(O82&lt;=Inputs!$C$47,Inputs!$D$47,Inputs!$D$48))))*((Inputs!$B$32+(T82-0.5)*2*Inputs!$B$53)/Inputs!$B$32)</f>
        <v>1.0020288540064635</v>
      </c>
      <c r="Z82" s="45">
        <f ca="1">ILP_C_HighResilience!$C$9*U82+ILP_C_HighResilience!$C$10*V82+ILP_C_HighResilience!$C$11*W82+ILP_C_HighResilience!$C$12*X82+ILP_C_HighResilience!$C$13*Y82</f>
        <v>17995.263700664098</v>
      </c>
      <c r="AA82" s="45">
        <f ca="1">ILP_C_HighResilience!$D$9*U82+ILP_C_HighResilience!$D$10*V82+ILP_C_HighResilience!$D$11*W82+ILP_C_HighResilience!$D$12*X82+ILP_C_HighResilience!$D$13*Y82</f>
        <v>15025.948548746637</v>
      </c>
      <c r="AB82" s="45">
        <f ca="1">ILP_C_HighResilience!$E$9*U82+ILP_C_HighResilience!$E$10*V82+ILP_C_HighResilience!$E$11*W82+ILP_C_HighResilience!$E$12*X82+ILP_C_HighResilience!$E$13*Y82</f>
        <v>12007.530295770252</v>
      </c>
      <c r="AC82" s="45">
        <f ca="1">Inputs!$B$6*$C82</f>
        <v>18000</v>
      </c>
      <c r="AD82" s="45">
        <f ca="1">Inputs!$B$7*$C82</f>
        <v>15000</v>
      </c>
      <c r="AE82" s="45">
        <f ca="1">Inputs!$B$8*$C82</f>
        <v>12000</v>
      </c>
      <c r="AF82" s="45">
        <f t="shared" ca="1" si="53"/>
        <v>4.7362993359020038</v>
      </c>
      <c r="AG82" s="45">
        <f t="shared" ca="1" si="54"/>
        <v>0</v>
      </c>
      <c r="AH82" s="45">
        <f t="shared" ca="1" si="55"/>
        <v>0</v>
      </c>
      <c r="AI82" s="45">
        <f t="shared" ca="1" si="56"/>
        <v>4.7362993359020038</v>
      </c>
      <c r="AJ82" s="45">
        <f ca="1">U82*(Inputs!$B$12-ILP_C_HighResilience!$F$9)+V82*(Inputs!$B$13-ILP_C_HighResilience!$F$10)+W82*(Inputs!$B$14-ILP_C_HighResilience!$F$11)+X82*(Inputs!$B$15-ILP_C_HighResilience!$F$12)+Y82*(Inputs!$B$16-ILP_C_HighResilience!$F$13)</f>
        <v>25035.15803699859</v>
      </c>
      <c r="AK82" s="45">
        <f t="shared" ca="1" si="57"/>
        <v>4.7362993359020038</v>
      </c>
      <c r="AL82" s="45">
        <f t="shared" ca="1" si="58"/>
        <v>0</v>
      </c>
      <c r="AM82" s="45">
        <f t="shared" ca="1" si="59"/>
        <v>0</v>
      </c>
      <c r="AN82" s="45">
        <f t="shared" ca="1" si="60"/>
        <v>0</v>
      </c>
      <c r="AO82" s="45">
        <f ca="1">MIN(AL82,Inputs!$B$36)</f>
        <v>0</v>
      </c>
      <c r="AP82" s="45">
        <f ca="1">MIN(AN82,Inputs!$B$36-AO82)</f>
        <v>0</v>
      </c>
      <c r="AQ82" s="45">
        <f ca="1">MIN(AM82,Inputs!$B$36-AO82-AP82)</f>
        <v>0</v>
      </c>
      <c r="AR82" s="45">
        <f t="shared" ca="1" si="61"/>
        <v>0</v>
      </c>
      <c r="AS82" s="45">
        <f t="shared" ca="1" si="62"/>
        <v>0</v>
      </c>
      <c r="AT82" s="45">
        <f t="shared" ca="1" si="63"/>
        <v>0</v>
      </c>
      <c r="AU82" s="45">
        <f t="shared" ca="1" si="64"/>
        <v>0</v>
      </c>
      <c r="AV82" s="46">
        <f ca="1">AU82*Inputs!$B$35</f>
        <v>0</v>
      </c>
      <c r="AW82" s="46">
        <f ca="1">AR82*Inputs!$C$6+AT82*Inputs!$C$7+AS82*Inputs!$C$8</f>
        <v>0</v>
      </c>
      <c r="AX82" s="46">
        <f t="shared" ca="1" si="65"/>
        <v>47663039.848572649</v>
      </c>
      <c r="AY82" s="46">
        <f ca="1">IF(J82&gt;1,($CD$4)*Inputs!$B$55*((Z82+AA82+AB82)/(SUM(ILP_C_HighResilience!$C$9:$E$13))),0)</f>
        <v>0</v>
      </c>
      <c r="AZ82" s="46">
        <f t="shared" ca="1" si="66"/>
        <v>0</v>
      </c>
      <c r="BA82" s="41">
        <f t="shared" ca="1" si="67"/>
        <v>0</v>
      </c>
      <c r="BB82" s="41">
        <f t="shared" ca="1" si="68"/>
        <v>1</v>
      </c>
      <c r="BC82" s="41">
        <f t="shared" ca="1" si="69"/>
        <v>1</v>
      </c>
      <c r="BD82" s="41">
        <f t="shared" ca="1" si="70"/>
        <v>1</v>
      </c>
    </row>
    <row r="83" spans="1:56" ht="15" customHeight="1" x14ac:dyDescent="0.3">
      <c r="A83" s="41">
        <v>76</v>
      </c>
      <c r="B83" s="42">
        <f t="shared" ca="1" si="52"/>
        <v>0.83839650793274823</v>
      </c>
      <c r="C83" s="43">
        <f ca="1">IF(B83&lt;=Inputs!$C$40,Inputs!$D$40,IF(B83&lt;=Inputs!$C$41,Inputs!$D$41,Inputs!$D$42))</f>
        <v>1.1499999999999999</v>
      </c>
      <c r="D83" s="42">
        <f t="shared" ca="1" si="71"/>
        <v>0.6695045365794341</v>
      </c>
      <c r="E83" s="42">
        <f t="shared" ca="1" si="71"/>
        <v>1.1979232484662261E-2</v>
      </c>
      <c r="F83" s="42">
        <f t="shared" ca="1" si="71"/>
        <v>0.63780701170127185</v>
      </c>
      <c r="G83" s="42">
        <f t="shared" ca="1" si="71"/>
        <v>0.39373912319887627</v>
      </c>
      <c r="H83" s="42">
        <f t="shared" ca="1" si="71"/>
        <v>0.31870158026576278</v>
      </c>
      <c r="I83" s="42">
        <f t="shared" ca="1" si="71"/>
        <v>0.53126804578644515</v>
      </c>
      <c r="J83" s="43">
        <f ca="1">IF(I83&lt;Inputs!$B$54,1+Inputs!$B$55,1)</f>
        <v>1</v>
      </c>
      <c r="K83" s="42">
        <f t="shared" ca="1" si="72"/>
        <v>0.94149626100727757</v>
      </c>
      <c r="L83" s="42">
        <f t="shared" ca="1" si="72"/>
        <v>0.3837353039597281</v>
      </c>
      <c r="M83" s="42">
        <f t="shared" ca="1" si="72"/>
        <v>0.33162139723604789</v>
      </c>
      <c r="N83" s="42">
        <f t="shared" ca="1" si="72"/>
        <v>0.26949594501715568</v>
      </c>
      <c r="O83" s="42">
        <f t="shared" ca="1" si="72"/>
        <v>0.43945248063193654</v>
      </c>
      <c r="P83" s="42">
        <f t="shared" ca="1" si="72"/>
        <v>7.1144184681365741E-2</v>
      </c>
      <c r="Q83" s="42">
        <f t="shared" ca="1" si="72"/>
        <v>0.7323277387895748</v>
      </c>
      <c r="R83" s="42">
        <f t="shared" ca="1" si="72"/>
        <v>0.41200240103509655</v>
      </c>
      <c r="S83" s="42">
        <f t="shared" ca="1" si="72"/>
        <v>0.78678363095215298</v>
      </c>
      <c r="T83" s="42">
        <f t="shared" ca="1" si="72"/>
        <v>0.78946874021122782</v>
      </c>
      <c r="U83" s="44">
        <f ca="1">(IF(D83&gt;=Inputs!$E$12,1,IF(K83&lt;=Inputs!$C$46,Inputs!$D$46,IF(K83&lt;=Inputs!$C$47,Inputs!$D$47,Inputs!$D$48))))*((Inputs!$B$28+(P83-0.5)*2*Inputs!$B$53)/Inputs!$B$28)</f>
        <v>0.99565935409596529</v>
      </c>
      <c r="V83" s="44">
        <f ca="1">(IF(E83&gt;=Inputs!$E$13,1,IF(L83&lt;=Inputs!$C$46,Inputs!$D$46,IF(L83&lt;=Inputs!$C$47,Inputs!$D$47,Inputs!$D$48))))*((Inputs!$B$29+(Q83-0.5)*2*Inputs!$B$53)/Inputs!$B$29)</f>
        <v>0.30070260404875881</v>
      </c>
      <c r="W83" s="44">
        <f ca="1">(IF(F83&gt;=Inputs!$E$14,1,IF(M83&lt;=Inputs!$C$46,Inputs!$D$46,IF(M83&lt;=Inputs!$C$47,Inputs!$D$47,Inputs!$D$48))))*((Inputs!$B$30+(R83-0.5)*2*Inputs!$B$53)/Inputs!$B$30)</f>
        <v>0.99911560202045324</v>
      </c>
      <c r="X83" s="44">
        <f ca="1">(IF(G83&gt;=Inputs!$E$15,1,IF(N83&lt;=Inputs!$C$46,Inputs!$D$46,IF(N83&lt;=Inputs!$C$47,Inputs!$D$47,Inputs!$D$48))))*((Inputs!$B$31+(S83-0.5)*2*Inputs!$B$53)/Inputs!$B$31)</f>
        <v>1.0029115089436766</v>
      </c>
      <c r="Y83" s="44">
        <f ca="1">(IF(H83&gt;=Inputs!$E$16,1,IF(O83&lt;=Inputs!$C$46,Inputs!$D$46,IF(O83&lt;=Inputs!$C$47,Inputs!$D$47,Inputs!$D$48))))*((Inputs!$B$32+(T83-0.5)*2*Inputs!$B$53)/Inputs!$B$32)</f>
        <v>1.0029121603642981</v>
      </c>
      <c r="Z83" s="45">
        <f ca="1">ILP_C_HighResilience!$C$9*U83+ILP_C_HighResilience!$C$10*V83+ILP_C_HighResilience!$C$11*W83+ILP_C_HighResilience!$C$12*X83+ILP_C_HighResilience!$C$13*Y83</f>
        <v>15472.239588460954</v>
      </c>
      <c r="AA83" s="45">
        <f ca="1">ILP_C_HighResilience!$D$9*U83+ILP_C_HighResilience!$D$10*V83+ILP_C_HighResilience!$D$11*W83+ILP_C_HighResilience!$D$12*X83+ILP_C_HighResilience!$D$13*Y83</f>
        <v>10813.793132461924</v>
      </c>
      <c r="AB83" s="45">
        <f ca="1">ILP_C_HighResilience!$E$9*U83+ILP_C_HighResilience!$E$10*V83+ILP_C_HighResilience!$E$11*W83+ILP_C_HighResilience!$E$12*X83+ILP_C_HighResilience!$E$13*Y83</f>
        <v>8978.0022989052704</v>
      </c>
      <c r="AC83" s="45">
        <f ca="1">Inputs!$B$6*$C83</f>
        <v>20700</v>
      </c>
      <c r="AD83" s="45">
        <f ca="1">Inputs!$B$7*$C83</f>
        <v>17250</v>
      </c>
      <c r="AE83" s="45">
        <f ca="1">Inputs!$B$8*$C83</f>
        <v>13799.999999999998</v>
      </c>
      <c r="AF83" s="45">
        <f t="shared" ca="1" si="53"/>
        <v>5227.7604115390459</v>
      </c>
      <c r="AG83" s="45">
        <f t="shared" ca="1" si="54"/>
        <v>6436.206867538076</v>
      </c>
      <c r="AH83" s="45">
        <f t="shared" ca="1" si="55"/>
        <v>4821.9977010947277</v>
      </c>
      <c r="AI83" s="45">
        <f t="shared" ca="1" si="56"/>
        <v>16485.964980171848</v>
      </c>
      <c r="AJ83" s="45">
        <f ca="1">U83*(Inputs!$B$12-ILP_C_HighResilience!$F$9)+V83*(Inputs!$B$13-ILP_C_HighResilience!$F$10)+W83*(Inputs!$B$14-ILP_C_HighResilience!$F$11)+X83*(Inputs!$B$15-ILP_C_HighResilience!$F$12)+Y83*(Inputs!$B$16-ILP_C_HighResilience!$F$13)</f>
        <v>24943.474441444403</v>
      </c>
      <c r="AK83" s="45">
        <f t="shared" ca="1" si="57"/>
        <v>16485.964980171848</v>
      </c>
      <c r="AL83" s="45">
        <f t="shared" ca="1" si="58"/>
        <v>0</v>
      </c>
      <c r="AM83" s="45">
        <f t="shared" ca="1" si="59"/>
        <v>0</v>
      </c>
      <c r="AN83" s="45">
        <f t="shared" ca="1" si="60"/>
        <v>0</v>
      </c>
      <c r="AO83" s="45">
        <f ca="1">MIN(AL83,Inputs!$B$36)</f>
        <v>0</v>
      </c>
      <c r="AP83" s="45">
        <f ca="1">MIN(AN83,Inputs!$B$36-AO83)</f>
        <v>0</v>
      </c>
      <c r="AQ83" s="45">
        <f ca="1">MIN(AM83,Inputs!$B$36-AO83-AP83)</f>
        <v>0</v>
      </c>
      <c r="AR83" s="45">
        <f t="shared" ca="1" si="61"/>
        <v>0</v>
      </c>
      <c r="AS83" s="45">
        <f t="shared" ca="1" si="62"/>
        <v>0</v>
      </c>
      <c r="AT83" s="45">
        <f t="shared" ca="1" si="63"/>
        <v>0</v>
      </c>
      <c r="AU83" s="45">
        <f t="shared" ca="1" si="64"/>
        <v>0</v>
      </c>
      <c r="AV83" s="46">
        <f ca="1">AU83*Inputs!$B$35</f>
        <v>0</v>
      </c>
      <c r="AW83" s="46">
        <f ca="1">AR83*Inputs!$C$6+AT83*Inputs!$C$7+AS83*Inputs!$C$8</f>
        <v>0</v>
      </c>
      <c r="AX83" s="46">
        <f t="shared" ca="1" si="65"/>
        <v>37292387.051854394</v>
      </c>
      <c r="AY83" s="46">
        <f ca="1">IF(J83&gt;1,($CD$4)*Inputs!$B$55*((Z83+AA83+AB83)/(SUM(ILP_C_HighResilience!$C$9:$E$13))),0)</f>
        <v>0</v>
      </c>
      <c r="AZ83" s="46">
        <f t="shared" ca="1" si="66"/>
        <v>0</v>
      </c>
      <c r="BA83" s="41">
        <f t="shared" ca="1" si="67"/>
        <v>0</v>
      </c>
      <c r="BB83" s="41">
        <f t="shared" ca="1" si="68"/>
        <v>1</v>
      </c>
      <c r="BC83" s="41">
        <f t="shared" ca="1" si="69"/>
        <v>1</v>
      </c>
      <c r="BD83" s="41">
        <f t="shared" ca="1" si="70"/>
        <v>1</v>
      </c>
    </row>
    <row r="84" spans="1:56" ht="15" customHeight="1" x14ac:dyDescent="0.3">
      <c r="A84" s="41">
        <v>77</v>
      </c>
      <c r="B84" s="42">
        <f t="shared" ca="1" si="52"/>
        <v>0.37229699866955579</v>
      </c>
      <c r="C84" s="43">
        <f ca="1">IF(B84&lt;=Inputs!$C$40,Inputs!$D$40,IF(B84&lt;=Inputs!$C$41,Inputs!$D$41,Inputs!$D$42))</f>
        <v>1</v>
      </c>
      <c r="D84" s="42">
        <f t="shared" ca="1" si="71"/>
        <v>0.4634599160172499</v>
      </c>
      <c r="E84" s="42">
        <f t="shared" ca="1" si="71"/>
        <v>0.46191087714380119</v>
      </c>
      <c r="F84" s="42">
        <f t="shared" ca="1" si="71"/>
        <v>0.14126781084945228</v>
      </c>
      <c r="G84" s="42">
        <f t="shared" ca="1" si="71"/>
        <v>0.33949114090278787</v>
      </c>
      <c r="H84" s="42">
        <f t="shared" ca="1" si="71"/>
        <v>0.28878393547799797</v>
      </c>
      <c r="I84" s="42">
        <f t="shared" ca="1" si="71"/>
        <v>0.40312416114762895</v>
      </c>
      <c r="J84" s="43">
        <f ca="1">IF(I84&lt;Inputs!$B$54,1+Inputs!$B$55,1)</f>
        <v>1</v>
      </c>
      <c r="K84" s="42">
        <f t="shared" ca="1" si="72"/>
        <v>1.9297996329664113E-2</v>
      </c>
      <c r="L84" s="42">
        <f t="shared" ca="1" si="72"/>
        <v>0.40003809955276681</v>
      </c>
      <c r="M84" s="42">
        <f t="shared" ca="1" si="72"/>
        <v>0.56157406164474177</v>
      </c>
      <c r="N84" s="42">
        <f t="shared" ca="1" si="72"/>
        <v>0.60801318201776056</v>
      </c>
      <c r="O84" s="42">
        <f t="shared" ca="1" si="72"/>
        <v>0.55655415697764288</v>
      </c>
      <c r="P84" s="42">
        <f t="shared" ca="1" si="72"/>
        <v>0.1740487603792632</v>
      </c>
      <c r="Q84" s="42">
        <f t="shared" ca="1" si="72"/>
        <v>0.1829850283797575</v>
      </c>
      <c r="R84" s="42">
        <f t="shared" ca="1" si="72"/>
        <v>0.12994552539703486</v>
      </c>
      <c r="S84" s="42">
        <f t="shared" ca="1" si="72"/>
        <v>0.36236940089833725</v>
      </c>
      <c r="T84" s="42">
        <f t="shared" ca="1" si="72"/>
        <v>0.32484088019184165</v>
      </c>
      <c r="U84" s="44">
        <f ca="1">(IF(D84&gt;=Inputs!$E$12,1,IF(K84&lt;=Inputs!$C$46,Inputs!$D$46,IF(K84&lt;=Inputs!$C$47,Inputs!$D$47,Inputs!$D$48))))*((Inputs!$B$28+(P84-0.5)*2*Inputs!$B$53)/Inputs!$B$28)</f>
        <v>0.99670089838440545</v>
      </c>
      <c r="V84" s="44">
        <f ca="1">(IF(E84&gt;=Inputs!$E$13,1,IF(L84&lt;=Inputs!$C$46,Inputs!$D$46,IF(L84&lt;=Inputs!$C$47,Inputs!$D$47,Inputs!$D$48))))*((Inputs!$B$29+(Q84-0.5)*2*Inputs!$B$53)/Inputs!$B$29)</f>
        <v>0.99680428456027981</v>
      </c>
      <c r="W84" s="44">
        <f ca="1">(IF(F84&gt;=Inputs!$E$14,1,IF(M84&lt;=Inputs!$C$46,Inputs!$D$46,IF(M84&lt;=Inputs!$C$47,Inputs!$D$47,Inputs!$D$48))))*((Inputs!$B$30+(R84-0.5)*2*Inputs!$B$53)/Inputs!$B$30)</f>
        <v>0.99628085955172896</v>
      </c>
      <c r="X84" s="44">
        <f ca="1">(IF(G84&gt;=Inputs!$E$15,1,IF(N84&lt;=Inputs!$C$46,Inputs!$D$46,IF(N84&lt;=Inputs!$C$47,Inputs!$D$47,Inputs!$D$48))))*((Inputs!$B$31+(S84-0.5)*2*Inputs!$B$53)/Inputs!$B$31)</f>
        <v>0.99860273503450081</v>
      </c>
      <c r="Y84" s="44">
        <f ca="1">(IF(H84&gt;=Inputs!$E$16,1,IF(O84&lt;=Inputs!$C$46,Inputs!$D$46,IF(O84&lt;=Inputs!$C$47,Inputs!$D$47,Inputs!$D$48))))*((Inputs!$B$32+(T84-0.5)*2*Inputs!$B$53)/Inputs!$B$32)</f>
        <v>0.99823783581681935</v>
      </c>
      <c r="Z84" s="45">
        <f ca="1">ILP_C_HighResilience!$C$9*U84+ILP_C_HighResilience!$C$10*V84+ILP_C_HighResilience!$C$11*W84+ILP_C_HighResilience!$C$12*X84+ILP_C_HighResilience!$C$13*Y84</f>
        <v>17954.681585033133</v>
      </c>
      <c r="AA84" s="45">
        <f ca="1">ILP_C_HighResilience!$D$9*U84+ILP_C_HighResilience!$D$10*V84+ILP_C_HighResilience!$D$11*W84+ILP_C_HighResilience!$D$12*X84+ILP_C_HighResilience!$D$13*Y84</f>
        <v>14958.080508057647</v>
      </c>
      <c r="AB84" s="45">
        <f ca="1">ILP_C_HighResilience!$E$9*U84+ILP_C_HighResilience!$E$10*V84+ILP_C_HighResilience!$E$11*W84+ILP_C_HighResilience!$E$12*X84+ILP_C_HighResilience!$E$13*Y84</f>
        <v>11959.630947454261</v>
      </c>
      <c r="AC84" s="45">
        <f ca="1">Inputs!$B$6*$C84</f>
        <v>18000</v>
      </c>
      <c r="AD84" s="45">
        <f ca="1">Inputs!$B$7*$C84</f>
        <v>15000</v>
      </c>
      <c r="AE84" s="45">
        <f ca="1">Inputs!$B$8*$C84</f>
        <v>12000</v>
      </c>
      <c r="AF84" s="45">
        <f t="shared" ca="1" si="53"/>
        <v>45.31841496686684</v>
      </c>
      <c r="AG84" s="45">
        <f t="shared" ca="1" si="54"/>
        <v>41.919491942353488</v>
      </c>
      <c r="AH84" s="45">
        <f t="shared" ca="1" si="55"/>
        <v>40.369052545738668</v>
      </c>
      <c r="AI84" s="45">
        <f t="shared" ca="1" si="56"/>
        <v>127.606959454959</v>
      </c>
      <c r="AJ84" s="45">
        <f ca="1">U84*(Inputs!$B$12-ILP_C_HighResilience!$F$9)+V84*(Inputs!$B$13-ILP_C_HighResilience!$F$10)+W84*(Inputs!$B$14-ILP_C_HighResilience!$F$11)+X84*(Inputs!$B$15-ILP_C_HighResilience!$F$12)+Y84*(Inputs!$B$16-ILP_C_HighResilience!$F$13)</f>
        <v>24938.532849288142</v>
      </c>
      <c r="AK84" s="45">
        <f t="shared" ca="1" si="57"/>
        <v>127.606959454959</v>
      </c>
      <c r="AL84" s="45">
        <f t="shared" ca="1" si="58"/>
        <v>0</v>
      </c>
      <c r="AM84" s="45">
        <f t="shared" ca="1" si="59"/>
        <v>0</v>
      </c>
      <c r="AN84" s="45">
        <f t="shared" ca="1" si="60"/>
        <v>0</v>
      </c>
      <c r="AO84" s="45">
        <f ca="1">MIN(AL84,Inputs!$B$36)</f>
        <v>0</v>
      </c>
      <c r="AP84" s="45">
        <f ca="1">MIN(AN84,Inputs!$B$36-AO84)</f>
        <v>0</v>
      </c>
      <c r="AQ84" s="45">
        <f ca="1">MIN(AM84,Inputs!$B$36-AO84-AP84)</f>
        <v>0</v>
      </c>
      <c r="AR84" s="45">
        <f t="shared" ca="1" si="61"/>
        <v>0</v>
      </c>
      <c r="AS84" s="45">
        <f t="shared" ca="1" si="62"/>
        <v>0</v>
      </c>
      <c r="AT84" s="45">
        <f t="shared" ca="1" si="63"/>
        <v>0</v>
      </c>
      <c r="AU84" s="45">
        <f t="shared" ca="1" si="64"/>
        <v>0</v>
      </c>
      <c r="AV84" s="46">
        <f ca="1">AU84*Inputs!$B$35</f>
        <v>0</v>
      </c>
      <c r="AW84" s="46">
        <f ca="1">AR84*Inputs!$C$6+AT84*Inputs!$C$7+AS84*Inputs!$C$8</f>
        <v>0</v>
      </c>
      <c r="AX84" s="46">
        <f t="shared" ca="1" si="65"/>
        <v>47497016.909394816</v>
      </c>
      <c r="AY84" s="46">
        <f ca="1">IF(J84&gt;1,($CD$4)*Inputs!$B$55*((Z84+AA84+AB84)/(SUM(ILP_C_HighResilience!$C$9:$E$13))),0)</f>
        <v>0</v>
      </c>
      <c r="AZ84" s="46">
        <f t="shared" ca="1" si="66"/>
        <v>0</v>
      </c>
      <c r="BA84" s="41">
        <f t="shared" ca="1" si="67"/>
        <v>0</v>
      </c>
      <c r="BB84" s="41">
        <f t="shared" ca="1" si="68"/>
        <v>1</v>
      </c>
      <c r="BC84" s="41">
        <f t="shared" ca="1" si="69"/>
        <v>1</v>
      </c>
      <c r="BD84" s="41">
        <f t="shared" ca="1" si="70"/>
        <v>1</v>
      </c>
    </row>
    <row r="85" spans="1:56" ht="15" customHeight="1" x14ac:dyDescent="0.3">
      <c r="A85" s="41">
        <v>78</v>
      </c>
      <c r="B85" s="42">
        <f t="shared" ca="1" si="52"/>
        <v>0.43700675193755667</v>
      </c>
      <c r="C85" s="43">
        <f ca="1">IF(B85&lt;=Inputs!$C$40,Inputs!$D$40,IF(B85&lt;=Inputs!$C$41,Inputs!$D$41,Inputs!$D$42))</f>
        <v>1</v>
      </c>
      <c r="D85" s="42">
        <f t="shared" ca="1" si="71"/>
        <v>0.94694303588065665</v>
      </c>
      <c r="E85" s="42">
        <f t="shared" ca="1" si="71"/>
        <v>0.22184754537434537</v>
      </c>
      <c r="F85" s="42">
        <f t="shared" ca="1" si="71"/>
        <v>1.1297082682259041E-2</v>
      </c>
      <c r="G85" s="42">
        <f t="shared" ca="1" si="71"/>
        <v>0.21068081677358652</v>
      </c>
      <c r="H85" s="42">
        <f t="shared" ca="1" si="71"/>
        <v>0.69159935612632206</v>
      </c>
      <c r="I85" s="42">
        <f t="shared" ca="1" si="71"/>
        <v>0.55865672983674974</v>
      </c>
      <c r="J85" s="43">
        <f ca="1">IF(I85&lt;Inputs!$B$54,1+Inputs!$B$55,1)</f>
        <v>1</v>
      </c>
      <c r="K85" s="42">
        <f t="shared" ca="1" si="72"/>
        <v>0.2117431321260943</v>
      </c>
      <c r="L85" s="42">
        <f t="shared" ca="1" si="72"/>
        <v>9.2991797753434469E-2</v>
      </c>
      <c r="M85" s="42">
        <f t="shared" ca="1" si="72"/>
        <v>0.8751384204272793</v>
      </c>
      <c r="N85" s="42">
        <f t="shared" ca="1" si="72"/>
        <v>0.73648285642996791</v>
      </c>
      <c r="O85" s="42">
        <f t="shared" ca="1" si="72"/>
        <v>0.2991920480067396</v>
      </c>
      <c r="P85" s="42">
        <f t="shared" ca="1" si="72"/>
        <v>0.83037733917031409</v>
      </c>
      <c r="Q85" s="42">
        <f t="shared" ca="1" si="72"/>
        <v>0.93647347703906669</v>
      </c>
      <c r="R85" s="42">
        <f t="shared" ca="1" si="72"/>
        <v>0.53867971100253886</v>
      </c>
      <c r="S85" s="42">
        <f t="shared" ca="1" si="72"/>
        <v>0.27278417142603384</v>
      </c>
      <c r="T85" s="42">
        <f t="shared" ca="1" si="72"/>
        <v>0.21229668831784165</v>
      </c>
      <c r="U85" s="44">
        <f ca="1">(IF(D85&gt;=Inputs!$E$12,1,IF(K85&lt;=Inputs!$C$46,Inputs!$D$46,IF(K85&lt;=Inputs!$C$47,Inputs!$D$47,Inputs!$D$48))))*((Inputs!$B$28+(P85-0.5)*2*Inputs!$B$53)/Inputs!$B$28)</f>
        <v>1.0033439001940316</v>
      </c>
      <c r="V85" s="44">
        <f ca="1">(IF(E85&gt;=Inputs!$E$13,1,IF(L85&lt;=Inputs!$C$46,Inputs!$D$46,IF(L85&lt;=Inputs!$C$47,Inputs!$D$47,Inputs!$D$48))))*((Inputs!$B$29+(Q85-0.5)*2*Inputs!$B$53)/Inputs!$B$29)</f>
        <v>1.0043999342443455</v>
      </c>
      <c r="W85" s="44">
        <f ca="1">(IF(F85&gt;=Inputs!$E$14,1,IF(M85&lt;=Inputs!$C$46,Inputs!$D$46,IF(M85&lt;=Inputs!$C$47,Inputs!$D$47,Inputs!$D$48))))*((Inputs!$B$30+(R85-0.5)*2*Inputs!$B$53)/Inputs!$B$30)</f>
        <v>0</v>
      </c>
      <c r="X85" s="44">
        <f ca="1">(IF(G85&gt;=Inputs!$E$15,1,IF(N85&lt;=Inputs!$C$46,Inputs!$D$46,IF(N85&lt;=Inputs!$C$47,Inputs!$D$47,Inputs!$D$48))))*((Inputs!$B$31+(S85-0.5)*2*Inputs!$B$53)/Inputs!$B$31)</f>
        <v>0.99769324031904605</v>
      </c>
      <c r="Y85" s="44">
        <f ca="1">(IF(H85&gt;=Inputs!$E$16,1,IF(O85&lt;=Inputs!$C$46,Inputs!$D$46,IF(O85&lt;=Inputs!$C$47,Inputs!$D$47,Inputs!$D$48))))*((Inputs!$B$32+(T85-0.5)*2*Inputs!$B$53)/Inputs!$B$32)</f>
        <v>0.99710560048609498</v>
      </c>
      <c r="Z85" s="45">
        <f ca="1">ILP_C_HighResilience!$C$9*U85+ILP_C_HighResilience!$C$10*V85+ILP_C_HighResilience!$C$11*W85+ILP_C_HighResilience!$C$12*X85+ILP_C_HighResilience!$C$13*Y85</f>
        <v>18023.307174973801</v>
      </c>
      <c r="AA85" s="45">
        <f ca="1">ILP_C_HighResilience!$D$9*U85+ILP_C_HighResilience!$D$10*V85+ILP_C_HighResilience!$D$11*W85+ILP_C_HighResilience!$D$12*X85+ILP_C_HighResilience!$D$13*Y85</f>
        <v>10635.742375740065</v>
      </c>
      <c r="AB85" s="45">
        <f ca="1">ILP_C_HighResilience!$E$9*U85+ILP_C_HighResilience!$E$10*V85+ILP_C_HighResilience!$E$11*W85+ILP_C_HighResilience!$E$12*X85+ILP_C_HighResilience!$E$13*Y85</f>
        <v>9122.9176389711065</v>
      </c>
      <c r="AC85" s="45">
        <f ca="1">Inputs!$B$6*$C85</f>
        <v>18000</v>
      </c>
      <c r="AD85" s="45">
        <f ca="1">Inputs!$B$7*$C85</f>
        <v>15000</v>
      </c>
      <c r="AE85" s="45">
        <f ca="1">Inputs!$B$8*$C85</f>
        <v>12000</v>
      </c>
      <c r="AF85" s="45">
        <f t="shared" ca="1" si="53"/>
        <v>0</v>
      </c>
      <c r="AG85" s="45">
        <f t="shared" ca="1" si="54"/>
        <v>4364.2576242599353</v>
      </c>
      <c r="AH85" s="45">
        <f t="shared" ca="1" si="55"/>
        <v>2877.0823610288935</v>
      </c>
      <c r="AI85" s="45">
        <f t="shared" ca="1" si="56"/>
        <v>7241.3399852888288</v>
      </c>
      <c r="AJ85" s="45">
        <f ca="1">U85*(Inputs!$B$12-ILP_C_HighResilience!$F$9)+V85*(Inputs!$B$13-ILP_C_HighResilience!$F$10)+W85*(Inputs!$B$14-ILP_C_HighResilience!$F$11)+X85*(Inputs!$B$15-ILP_C_HighResilience!$F$12)+Y85*(Inputs!$B$16-ILP_C_HighResilience!$F$13)</f>
        <v>19262.037183960347</v>
      </c>
      <c r="AK85" s="45">
        <f t="shared" ca="1" si="57"/>
        <v>7241.3399852888288</v>
      </c>
      <c r="AL85" s="45">
        <f t="shared" ca="1" si="58"/>
        <v>0</v>
      </c>
      <c r="AM85" s="45">
        <f t="shared" ca="1" si="59"/>
        <v>0</v>
      </c>
      <c r="AN85" s="45">
        <f t="shared" ca="1" si="60"/>
        <v>0</v>
      </c>
      <c r="AO85" s="45">
        <f ca="1">MIN(AL85,Inputs!$B$36)</f>
        <v>0</v>
      </c>
      <c r="AP85" s="45">
        <f ca="1">MIN(AN85,Inputs!$B$36-AO85)</f>
        <v>0</v>
      </c>
      <c r="AQ85" s="45">
        <f ca="1">MIN(AM85,Inputs!$B$36-AO85-AP85)</f>
        <v>0</v>
      </c>
      <c r="AR85" s="45">
        <f t="shared" ca="1" si="61"/>
        <v>0</v>
      </c>
      <c r="AS85" s="45">
        <f t="shared" ca="1" si="62"/>
        <v>0</v>
      </c>
      <c r="AT85" s="45">
        <f t="shared" ca="1" si="63"/>
        <v>0</v>
      </c>
      <c r="AU85" s="45">
        <f t="shared" ca="1" si="64"/>
        <v>0</v>
      </c>
      <c r="AV85" s="46">
        <f ca="1">AU85*Inputs!$B$35</f>
        <v>0</v>
      </c>
      <c r="AW85" s="46">
        <f ca="1">AR85*Inputs!$C$6+AT85*Inputs!$C$7+AS85*Inputs!$C$8</f>
        <v>0</v>
      </c>
      <c r="AX85" s="46">
        <f t="shared" ca="1" si="65"/>
        <v>39916598.453659125</v>
      </c>
      <c r="AY85" s="46">
        <f ca="1">IF(J85&gt;1,($CD$4)*Inputs!$B$55*((Z85+AA85+AB85)/(SUM(ILP_C_HighResilience!$C$9:$E$13))),0)</f>
        <v>0</v>
      </c>
      <c r="AZ85" s="46">
        <f t="shared" ca="1" si="66"/>
        <v>0</v>
      </c>
      <c r="BA85" s="41">
        <f t="shared" ca="1" si="67"/>
        <v>0</v>
      </c>
      <c r="BB85" s="41">
        <f t="shared" ca="1" si="68"/>
        <v>1</v>
      </c>
      <c r="BC85" s="41">
        <f t="shared" ca="1" si="69"/>
        <v>1</v>
      </c>
      <c r="BD85" s="41">
        <f t="shared" ca="1" si="70"/>
        <v>1</v>
      </c>
    </row>
    <row r="86" spans="1:56" ht="15" customHeight="1" x14ac:dyDescent="0.3">
      <c r="A86" s="41">
        <v>79</v>
      </c>
      <c r="B86" s="42">
        <f t="shared" ca="1" si="52"/>
        <v>0.7295286793172765</v>
      </c>
      <c r="C86" s="43">
        <f ca="1">IF(B86&lt;=Inputs!$C$40,Inputs!$D$40,IF(B86&lt;=Inputs!$C$41,Inputs!$D$41,Inputs!$D$42))</f>
        <v>1</v>
      </c>
      <c r="D86" s="42">
        <f t="shared" ca="1" si="71"/>
        <v>0.28484964706239424</v>
      </c>
      <c r="E86" s="42">
        <f t="shared" ca="1" si="71"/>
        <v>0.39534778530928383</v>
      </c>
      <c r="F86" s="42">
        <f t="shared" ca="1" si="71"/>
        <v>0.76809685402196803</v>
      </c>
      <c r="G86" s="42">
        <f t="shared" ca="1" si="71"/>
        <v>0.1400921952836508</v>
      </c>
      <c r="H86" s="42">
        <f t="shared" ca="1" si="71"/>
        <v>0.16214153268677811</v>
      </c>
      <c r="I86" s="42">
        <f t="shared" ca="1" si="71"/>
        <v>0.46095324361000811</v>
      </c>
      <c r="J86" s="43">
        <f ca="1">IF(I86&lt;Inputs!$B$54,1+Inputs!$B$55,1)</f>
        <v>1</v>
      </c>
      <c r="K86" s="42">
        <f t="shared" ca="1" si="72"/>
        <v>0.20010283107701909</v>
      </c>
      <c r="L86" s="42">
        <f t="shared" ca="1" si="72"/>
        <v>0.91015382062674</v>
      </c>
      <c r="M86" s="42">
        <f t="shared" ca="1" si="72"/>
        <v>0.37980113274311422</v>
      </c>
      <c r="N86" s="42">
        <f t="shared" ca="1" si="72"/>
        <v>0.59059339412043277</v>
      </c>
      <c r="O86" s="42">
        <f t="shared" ca="1" si="72"/>
        <v>0.936950615008593</v>
      </c>
      <c r="P86" s="42">
        <f t="shared" ca="1" si="72"/>
        <v>0.51483633295375075</v>
      </c>
      <c r="Q86" s="42">
        <f t="shared" ca="1" si="72"/>
        <v>0.56988868502139112</v>
      </c>
      <c r="R86" s="42">
        <f t="shared" ca="1" si="72"/>
        <v>0.6133077658649172</v>
      </c>
      <c r="S86" s="42">
        <f t="shared" ca="1" si="72"/>
        <v>0.47249697958630354</v>
      </c>
      <c r="T86" s="42">
        <f t="shared" ca="1" si="72"/>
        <v>0.86597520327910493</v>
      </c>
      <c r="U86" s="44">
        <f ca="1">(IF(D86&gt;=Inputs!$E$12,1,IF(K86&lt;=Inputs!$C$46,Inputs!$D$46,IF(K86&lt;=Inputs!$C$47,Inputs!$D$47,Inputs!$D$48))))*((Inputs!$B$28+(P86-0.5)*2*Inputs!$B$53)/Inputs!$B$28)</f>
        <v>1.0001501653132971</v>
      </c>
      <c r="V86" s="44">
        <f ca="1">(IF(E86&gt;=Inputs!$E$13,1,IF(L86&lt;=Inputs!$C$46,Inputs!$D$46,IF(L86&lt;=Inputs!$C$47,Inputs!$D$47,Inputs!$D$48))))*((Inputs!$B$29+(Q86-0.5)*2*Inputs!$B$53)/Inputs!$B$29)</f>
        <v>1.0007045230344898</v>
      </c>
      <c r="W86" s="44">
        <f ca="1">(IF(F86&gt;=Inputs!$E$14,1,IF(M86&lt;=Inputs!$C$46,Inputs!$D$46,IF(M86&lt;=Inputs!$C$47,Inputs!$D$47,Inputs!$D$48))))*((Inputs!$B$30+(R86-0.5)*2*Inputs!$B$53)/Inputs!$B$30)</f>
        <v>1.0011387715162303</v>
      </c>
      <c r="X86" s="44">
        <f ca="1">(IF(G86&gt;=Inputs!$E$15,1,IF(N86&lt;=Inputs!$C$46,Inputs!$D$46,IF(N86&lt;=Inputs!$C$47,Inputs!$D$47,Inputs!$D$48))))*((Inputs!$B$31+(S86-0.5)*2*Inputs!$B$53)/Inputs!$B$31)</f>
        <v>0.29991623445559279</v>
      </c>
      <c r="Y86" s="44">
        <f ca="1">(IF(H86&gt;=Inputs!$E$16,1,IF(O86&lt;=Inputs!$C$46,Inputs!$D$46,IF(O86&lt;=Inputs!$C$47,Inputs!$D$47,Inputs!$D$48))))*((Inputs!$B$32+(T86-0.5)*2*Inputs!$B$53)/Inputs!$B$32)</f>
        <v>1.003681843091339</v>
      </c>
      <c r="Z86" s="45">
        <f ca="1">ILP_C_HighResilience!$C$9*U86+ILP_C_HighResilience!$C$10*V86+ILP_C_HighResilience!$C$11*W86+ILP_C_HighResilience!$C$12*X86+ILP_C_HighResilience!$C$13*Y86</f>
        <v>12963.014361260171</v>
      </c>
      <c r="AA86" s="45">
        <f ca="1">ILP_C_HighResilience!$D$9*U86+ILP_C_HighResilience!$D$10*V86+ILP_C_HighResilience!$D$11*W86+ILP_C_HighResilience!$D$12*X86+ILP_C_HighResilience!$D$13*Y86</f>
        <v>11774.827960632867</v>
      </c>
      <c r="AB86" s="45">
        <f ca="1">ILP_C_HighResilience!$E$9*U86+ILP_C_HighResilience!$E$10*V86+ILP_C_HighResilience!$E$11*W86+ILP_C_HighResilience!$E$12*X86+ILP_C_HighResilience!$E$13*Y86</f>
        <v>12007.057890930981</v>
      </c>
      <c r="AC86" s="45">
        <f ca="1">Inputs!$B$6*$C86</f>
        <v>18000</v>
      </c>
      <c r="AD86" s="45">
        <f ca="1">Inputs!$B$7*$C86</f>
        <v>15000</v>
      </c>
      <c r="AE86" s="45">
        <f ca="1">Inputs!$B$8*$C86</f>
        <v>12000</v>
      </c>
      <c r="AF86" s="45">
        <f t="shared" ca="1" si="53"/>
        <v>5036.9856387398286</v>
      </c>
      <c r="AG86" s="45">
        <f t="shared" ca="1" si="54"/>
        <v>3225.172039367133</v>
      </c>
      <c r="AH86" s="45">
        <f t="shared" ca="1" si="55"/>
        <v>0</v>
      </c>
      <c r="AI86" s="45">
        <f t="shared" ca="1" si="56"/>
        <v>8262.1576781069616</v>
      </c>
      <c r="AJ86" s="45">
        <f ca="1">U86*(Inputs!$B$12-ILP_C_HighResilience!$F$9)+V86*(Inputs!$B$13-ILP_C_HighResilience!$F$10)+W86*(Inputs!$B$14-ILP_C_HighResilience!$F$11)+X86*(Inputs!$B$15-ILP_C_HighResilience!$F$12)+Y86*(Inputs!$B$16-ILP_C_HighResilience!$F$13)</f>
        <v>24936.392244219787</v>
      </c>
      <c r="AK86" s="45">
        <f t="shared" ca="1" si="57"/>
        <v>8262.1576781069616</v>
      </c>
      <c r="AL86" s="45">
        <f t="shared" ca="1" si="58"/>
        <v>0</v>
      </c>
      <c r="AM86" s="45">
        <f t="shared" ca="1" si="59"/>
        <v>0</v>
      </c>
      <c r="AN86" s="45">
        <f t="shared" ca="1" si="60"/>
        <v>0</v>
      </c>
      <c r="AO86" s="45">
        <f ca="1">MIN(AL86,Inputs!$B$36)</f>
        <v>0</v>
      </c>
      <c r="AP86" s="45">
        <f ca="1">MIN(AN86,Inputs!$B$36-AO86)</f>
        <v>0</v>
      </c>
      <c r="AQ86" s="45">
        <f ca="1">MIN(AM86,Inputs!$B$36-AO86-AP86)</f>
        <v>0</v>
      </c>
      <c r="AR86" s="45">
        <f t="shared" ca="1" si="61"/>
        <v>0</v>
      </c>
      <c r="AS86" s="45">
        <f t="shared" ca="1" si="62"/>
        <v>0</v>
      </c>
      <c r="AT86" s="45">
        <f t="shared" ca="1" si="63"/>
        <v>0</v>
      </c>
      <c r="AU86" s="45">
        <f t="shared" ca="1" si="64"/>
        <v>0</v>
      </c>
      <c r="AV86" s="46">
        <f ca="1">AU86*Inputs!$B$35</f>
        <v>0</v>
      </c>
      <c r="AW86" s="46">
        <f ca="1">AR86*Inputs!$C$6+AT86*Inputs!$C$7+AS86*Inputs!$C$8</f>
        <v>0</v>
      </c>
      <c r="AX86" s="46">
        <f t="shared" ca="1" si="65"/>
        <v>39011266.096114613</v>
      </c>
      <c r="AY86" s="46">
        <f ca="1">IF(J86&gt;1,($CD$4)*Inputs!$B$55*((Z86+AA86+AB86)/(SUM(ILP_C_HighResilience!$C$9:$E$13))),0)</f>
        <v>0</v>
      </c>
      <c r="AZ86" s="46">
        <f t="shared" ca="1" si="66"/>
        <v>0</v>
      </c>
      <c r="BA86" s="41">
        <f t="shared" ca="1" si="67"/>
        <v>0</v>
      </c>
      <c r="BB86" s="41">
        <f t="shared" ca="1" si="68"/>
        <v>1</v>
      </c>
      <c r="BC86" s="41">
        <f t="shared" ca="1" si="69"/>
        <v>1</v>
      </c>
      <c r="BD86" s="41">
        <f t="shared" ca="1" si="70"/>
        <v>1</v>
      </c>
    </row>
    <row r="87" spans="1:56" ht="15" customHeight="1" x14ac:dyDescent="0.3">
      <c r="A87" s="41">
        <v>80</v>
      </c>
      <c r="B87" s="42">
        <f t="shared" ca="1" si="52"/>
        <v>0.82707695821801552</v>
      </c>
      <c r="C87" s="43">
        <f ca="1">IF(B87&lt;=Inputs!$C$40,Inputs!$D$40,IF(B87&lt;=Inputs!$C$41,Inputs!$D$41,Inputs!$D$42))</f>
        <v>1.1499999999999999</v>
      </c>
      <c r="D87" s="42">
        <f t="shared" ca="1" si="71"/>
        <v>0.73581454897045007</v>
      </c>
      <c r="E87" s="42">
        <f t="shared" ca="1" si="71"/>
        <v>5.307362549646355E-2</v>
      </c>
      <c r="F87" s="42">
        <f t="shared" ca="1" si="71"/>
        <v>0.61584826245365487</v>
      </c>
      <c r="G87" s="42">
        <f t="shared" ca="1" si="71"/>
        <v>0.15864852021060194</v>
      </c>
      <c r="H87" s="42">
        <f t="shared" ca="1" si="71"/>
        <v>0.42156686659333886</v>
      </c>
      <c r="I87" s="42">
        <f t="shared" ca="1" si="71"/>
        <v>0.17646664944377799</v>
      </c>
      <c r="J87" s="43">
        <f ca="1">IF(I87&lt;Inputs!$B$54,1+Inputs!$B$55,1)</f>
        <v>1</v>
      </c>
      <c r="K87" s="42">
        <f t="shared" ca="1" si="72"/>
        <v>0.10683436835217019</v>
      </c>
      <c r="L87" s="42">
        <f t="shared" ca="1" si="72"/>
        <v>0.19103887435844247</v>
      </c>
      <c r="M87" s="42">
        <f t="shared" ca="1" si="72"/>
        <v>0.75304727085192114</v>
      </c>
      <c r="N87" s="42">
        <f t="shared" ca="1" si="72"/>
        <v>0.98674043568670966</v>
      </c>
      <c r="O87" s="42">
        <f t="shared" ca="1" si="72"/>
        <v>0.71288897986816213</v>
      </c>
      <c r="P87" s="42">
        <f t="shared" ca="1" si="72"/>
        <v>0.2532316618256647</v>
      </c>
      <c r="Q87" s="42">
        <f t="shared" ca="1" si="72"/>
        <v>3.7824447904019065E-3</v>
      </c>
      <c r="R87" s="42">
        <f t="shared" ca="1" si="72"/>
        <v>0.97377503086772876</v>
      </c>
      <c r="S87" s="42">
        <f t="shared" ca="1" si="72"/>
        <v>0.2270471379364678</v>
      </c>
      <c r="T87" s="42">
        <f t="shared" ca="1" si="72"/>
        <v>0.78103841497751181</v>
      </c>
      <c r="U87" s="44">
        <f ca="1">(IF(D87&gt;=Inputs!$E$12,1,IF(K87&lt;=Inputs!$C$46,Inputs!$D$46,IF(K87&lt;=Inputs!$C$47,Inputs!$D$47,Inputs!$D$48))))*((Inputs!$B$28+(P87-0.5)*2*Inputs!$B$53)/Inputs!$B$28)</f>
        <v>0.99750234475532051</v>
      </c>
      <c r="V87" s="44">
        <f ca="1">(IF(E87&gt;=Inputs!$E$13,1,IF(L87&lt;=Inputs!$C$46,Inputs!$D$46,IF(L87&lt;=Inputs!$C$47,Inputs!$D$47,Inputs!$D$48))))*((Inputs!$B$29+(Q87-0.5)*2*Inputs!$B$53)/Inputs!$B$29)</f>
        <v>0.5969986841418774</v>
      </c>
      <c r="W87" s="44">
        <f ca="1">(IF(F87&gt;=Inputs!$E$14,1,IF(M87&lt;=Inputs!$C$46,Inputs!$D$46,IF(M87&lt;=Inputs!$C$47,Inputs!$D$47,Inputs!$D$48))))*((Inputs!$B$30+(R87-0.5)*2*Inputs!$B$53)/Inputs!$B$30)</f>
        <v>1.0047615580991731</v>
      </c>
      <c r="X87" s="44">
        <f ca="1">(IF(G87&gt;=Inputs!$E$15,1,IF(N87&lt;=Inputs!$C$46,Inputs!$D$46,IF(N87&lt;=Inputs!$C$47,Inputs!$D$47,Inputs!$D$48))))*((Inputs!$B$31+(S87-0.5)*2*Inputs!$B$53)/Inputs!$B$31)</f>
        <v>0</v>
      </c>
      <c r="Y87" s="44">
        <f ca="1">(IF(H87&gt;=Inputs!$E$16,1,IF(O87&lt;=Inputs!$C$46,Inputs!$D$46,IF(O87&lt;=Inputs!$C$47,Inputs!$D$47,Inputs!$D$48))))*((Inputs!$B$32+(T87-0.5)*2*Inputs!$B$53)/Inputs!$B$32)</f>
        <v>1.0028273482392103</v>
      </c>
      <c r="Z87" s="45">
        <f ca="1">ILP_C_HighResilience!$C$9*U87+ILP_C_HighResilience!$C$10*V87+ILP_C_HighResilience!$C$11*W87+ILP_C_HighResilience!$C$12*X87+ILP_C_HighResilience!$C$13*Y87</f>
        <v>9331.2121451490657</v>
      </c>
      <c r="AA87" s="45">
        <f ca="1">ILP_C_HighResilience!$D$9*U87+ILP_C_HighResilience!$D$10*V87+ILP_C_HighResilience!$D$11*W87+ILP_C_HighResilience!$D$12*X87+ILP_C_HighResilience!$D$13*Y87</f>
        <v>7982.8477293256428</v>
      </c>
      <c r="AB87" s="45">
        <f ca="1">ILP_C_HighResilience!$E$9*U87+ILP_C_HighResilience!$E$10*V87+ILP_C_HighResilience!$E$11*W87+ILP_C_HighResilience!$E$12*X87+ILP_C_HighResilience!$E$13*Y87</f>
        <v>10273.807269610701</v>
      </c>
      <c r="AC87" s="45">
        <f ca="1">Inputs!$B$6*$C87</f>
        <v>20700</v>
      </c>
      <c r="AD87" s="45">
        <f ca="1">Inputs!$B$7*$C87</f>
        <v>17250</v>
      </c>
      <c r="AE87" s="45">
        <f ca="1">Inputs!$B$8*$C87</f>
        <v>13799.999999999998</v>
      </c>
      <c r="AF87" s="45">
        <f t="shared" ca="1" si="53"/>
        <v>11368.787854850934</v>
      </c>
      <c r="AG87" s="45">
        <f t="shared" ca="1" si="54"/>
        <v>9267.1522706743563</v>
      </c>
      <c r="AH87" s="45">
        <f t="shared" ca="1" si="55"/>
        <v>3526.1927303892971</v>
      </c>
      <c r="AI87" s="45">
        <f t="shared" ca="1" si="56"/>
        <v>24162.132855914584</v>
      </c>
      <c r="AJ87" s="45">
        <f ca="1">U87*(Inputs!$B$12-ILP_C_HighResilience!$F$9)+V87*(Inputs!$B$13-ILP_C_HighResilience!$F$10)+W87*(Inputs!$B$14-ILP_C_HighResilience!$F$11)+X87*(Inputs!$B$15-ILP_C_HighResilience!$F$12)+Y87*(Inputs!$B$16-ILP_C_HighResilience!$F$13)</f>
        <v>24834.462428863408</v>
      </c>
      <c r="AK87" s="45">
        <f t="shared" ca="1" si="57"/>
        <v>24162.132855914584</v>
      </c>
      <c r="AL87" s="45">
        <f t="shared" ca="1" si="58"/>
        <v>0</v>
      </c>
      <c r="AM87" s="45">
        <f t="shared" ca="1" si="59"/>
        <v>0</v>
      </c>
      <c r="AN87" s="45">
        <f t="shared" ca="1" si="60"/>
        <v>0</v>
      </c>
      <c r="AO87" s="45">
        <f ca="1">MIN(AL87,Inputs!$B$36)</f>
        <v>0</v>
      </c>
      <c r="AP87" s="45">
        <f ca="1">MIN(AN87,Inputs!$B$36-AO87)</f>
        <v>0</v>
      </c>
      <c r="AQ87" s="45">
        <f ca="1">MIN(AM87,Inputs!$B$36-AO87-AP87)</f>
        <v>0</v>
      </c>
      <c r="AR87" s="45">
        <f t="shared" ca="1" si="61"/>
        <v>0</v>
      </c>
      <c r="AS87" s="45">
        <f t="shared" ca="1" si="62"/>
        <v>0</v>
      </c>
      <c r="AT87" s="45">
        <f t="shared" ca="1" si="63"/>
        <v>0</v>
      </c>
      <c r="AU87" s="45">
        <f t="shared" ca="1" si="64"/>
        <v>0</v>
      </c>
      <c r="AV87" s="46">
        <f ca="1">AU87*Inputs!$B$35</f>
        <v>0</v>
      </c>
      <c r="AW87" s="46">
        <f ca="1">AR87*Inputs!$C$6+AT87*Inputs!$C$7+AS87*Inputs!$C$8</f>
        <v>0</v>
      </c>
      <c r="AX87" s="46">
        <f t="shared" ca="1" si="65"/>
        <v>29349210.620404821</v>
      </c>
      <c r="AY87" s="46">
        <f ca="1">IF(J87&gt;1,($CD$4)*Inputs!$B$55*((Z87+AA87+AB87)/(SUM(ILP_C_HighResilience!$C$9:$E$13))),0)</f>
        <v>0</v>
      </c>
      <c r="AZ87" s="46">
        <f t="shared" ca="1" si="66"/>
        <v>0</v>
      </c>
      <c r="BA87" s="41">
        <f t="shared" ca="1" si="67"/>
        <v>0</v>
      </c>
      <c r="BB87" s="41">
        <f t="shared" ca="1" si="68"/>
        <v>1</v>
      </c>
      <c r="BC87" s="41">
        <f t="shared" ca="1" si="69"/>
        <v>1</v>
      </c>
      <c r="BD87" s="41">
        <f t="shared" ca="1" si="70"/>
        <v>1</v>
      </c>
    </row>
    <row r="88" spans="1:56" ht="15" customHeight="1" x14ac:dyDescent="0.3">
      <c r="A88" s="41">
        <v>81</v>
      </c>
      <c r="B88" s="42">
        <f t="shared" ca="1" si="52"/>
        <v>0.63773416115491188</v>
      </c>
      <c r="C88" s="43">
        <f ca="1">IF(B88&lt;=Inputs!$C$40,Inputs!$D$40,IF(B88&lt;=Inputs!$C$41,Inputs!$D$41,Inputs!$D$42))</f>
        <v>1</v>
      </c>
      <c r="D88" s="42">
        <f t="shared" ref="D88:I97" ca="1" si="73">RAND()</f>
        <v>0.37440268345236138</v>
      </c>
      <c r="E88" s="42">
        <f t="shared" ca="1" si="73"/>
        <v>0.16112821925977616</v>
      </c>
      <c r="F88" s="42">
        <f t="shared" ca="1" si="73"/>
        <v>0.27214102095219339</v>
      </c>
      <c r="G88" s="42">
        <f t="shared" ca="1" si="73"/>
        <v>0.56852930646556676</v>
      </c>
      <c r="H88" s="42">
        <f t="shared" ca="1" si="73"/>
        <v>0.34461583238201254</v>
      </c>
      <c r="I88" s="42">
        <f t="shared" ca="1" si="73"/>
        <v>0.20871570637239223</v>
      </c>
      <c r="J88" s="43">
        <f ca="1">IF(I88&lt;Inputs!$B$54,1+Inputs!$B$55,1)</f>
        <v>1</v>
      </c>
      <c r="K88" s="42">
        <f t="shared" ref="K88:T97" ca="1" si="74">RAND()</f>
        <v>0.25640859180321462</v>
      </c>
      <c r="L88" s="42">
        <f t="shared" ca="1" si="74"/>
        <v>0.14480393650927648</v>
      </c>
      <c r="M88" s="42">
        <f t="shared" ca="1" si="74"/>
        <v>0.43370948915773311</v>
      </c>
      <c r="N88" s="42">
        <f t="shared" ca="1" si="74"/>
        <v>0.26740626383930943</v>
      </c>
      <c r="O88" s="42">
        <f t="shared" ca="1" si="74"/>
        <v>0.40029271295374103</v>
      </c>
      <c r="P88" s="42">
        <f t="shared" ca="1" si="74"/>
        <v>0.68874955908955204</v>
      </c>
      <c r="Q88" s="42">
        <f t="shared" ca="1" si="74"/>
        <v>0.32650910986521964</v>
      </c>
      <c r="R88" s="42">
        <f t="shared" ca="1" si="74"/>
        <v>0.1866328271922344</v>
      </c>
      <c r="S88" s="42">
        <f t="shared" ca="1" si="74"/>
        <v>0.11287247013504365</v>
      </c>
      <c r="T88" s="42">
        <f t="shared" ca="1" si="74"/>
        <v>0.98584997841833288</v>
      </c>
      <c r="U88" s="44">
        <f ca="1">(IF(D88&gt;=Inputs!$E$12,1,IF(K88&lt;=Inputs!$C$46,Inputs!$D$46,IF(K88&lt;=Inputs!$C$47,Inputs!$D$47,Inputs!$D$48))))*((Inputs!$B$28+(P88-0.5)*2*Inputs!$B$53)/Inputs!$B$28)</f>
        <v>1.0019104206385583</v>
      </c>
      <c r="V88" s="44">
        <f ca="1">(IF(E88&gt;=Inputs!$E$13,1,IF(L88&lt;=Inputs!$C$46,Inputs!$D$46,IF(L88&lt;=Inputs!$C$47,Inputs!$D$47,Inputs!$D$48))))*((Inputs!$B$29+(Q88-0.5)*2*Inputs!$B$53)/Inputs!$B$29)</f>
        <v>0.99825109989783489</v>
      </c>
      <c r="W88" s="44">
        <f ca="1">(IF(F88&gt;=Inputs!$E$14,1,IF(M88&lt;=Inputs!$C$46,Inputs!$D$46,IF(M88&lt;=Inputs!$C$47,Inputs!$D$47,Inputs!$D$48))))*((Inputs!$B$30+(R88-0.5)*2*Inputs!$B$53)/Inputs!$B$30)</f>
        <v>0.99685058117781145</v>
      </c>
      <c r="X88" s="44">
        <f ca="1">(IF(G88&gt;=Inputs!$E$15,1,IF(N88&lt;=Inputs!$C$46,Inputs!$D$46,IF(N88&lt;=Inputs!$C$47,Inputs!$D$47,Inputs!$D$48))))*((Inputs!$B$31+(S88-0.5)*2*Inputs!$B$53)/Inputs!$B$31)</f>
        <v>0.99606977127040652</v>
      </c>
      <c r="Y88" s="44">
        <f ca="1">(IF(H88&gt;=Inputs!$E$16,1,IF(O88&lt;=Inputs!$C$46,Inputs!$D$46,IF(O88&lt;=Inputs!$C$47,Inputs!$D$47,Inputs!$D$48))))*((Inputs!$B$32+(T88-0.5)*2*Inputs!$B$53)/Inputs!$B$32)</f>
        <v>1.0048878267446513</v>
      </c>
      <c r="Z88" s="45">
        <f ca="1">ILP_C_HighResilience!$C$9*U88+ILP_C_HighResilience!$C$10*V88+ILP_C_HighResilience!$C$11*W88+ILP_C_HighResilience!$C$12*X88+ILP_C_HighResilience!$C$13*Y88</f>
        <v>17979.161341376752</v>
      </c>
      <c r="AA88" s="45">
        <f ca="1">ILP_C_HighResilience!$D$9*U88+ILP_C_HighResilience!$D$10*V88+ILP_C_HighResilience!$D$11*W88+ILP_C_HighResilience!$D$12*X88+ILP_C_HighResilience!$D$13*Y88</f>
        <v>14957.554488215103</v>
      </c>
      <c r="AB88" s="45">
        <f ca="1">ILP_C_HighResilience!$E$9*U88+ILP_C_HighResilience!$E$10*V88+ILP_C_HighResilience!$E$11*W88+ILP_C_HighResilience!$E$12*X88+ILP_C_HighResilience!$E$13*Y88</f>
        <v>11992.499627816784</v>
      </c>
      <c r="AC88" s="45">
        <f ca="1">Inputs!$B$6*$C88</f>
        <v>18000</v>
      </c>
      <c r="AD88" s="45">
        <f ca="1">Inputs!$B$7*$C88</f>
        <v>15000</v>
      </c>
      <c r="AE88" s="45">
        <f ca="1">Inputs!$B$8*$C88</f>
        <v>12000</v>
      </c>
      <c r="AF88" s="45">
        <f t="shared" ca="1" si="53"/>
        <v>20.838658623248193</v>
      </c>
      <c r="AG88" s="45">
        <f t="shared" ca="1" si="54"/>
        <v>42.445511784897462</v>
      </c>
      <c r="AH88" s="45">
        <f t="shared" ca="1" si="55"/>
        <v>7.5003721832163137</v>
      </c>
      <c r="AI88" s="45">
        <f t="shared" ca="1" si="56"/>
        <v>70.784542591361969</v>
      </c>
      <c r="AJ88" s="45">
        <f ca="1">U88*(Inputs!$B$12-ILP_C_HighResilience!$F$9)+V88*(Inputs!$B$13-ILP_C_HighResilience!$F$10)+W88*(Inputs!$B$14-ILP_C_HighResilience!$F$11)+X88*(Inputs!$B$15-ILP_C_HighResilience!$F$12)+Y88*(Inputs!$B$16-ILP_C_HighResilience!$F$13)</f>
        <v>25062.078883104179</v>
      </c>
      <c r="AK88" s="45">
        <f t="shared" ca="1" si="57"/>
        <v>70.784542591361969</v>
      </c>
      <c r="AL88" s="45">
        <f t="shared" ca="1" si="58"/>
        <v>0</v>
      </c>
      <c r="AM88" s="45">
        <f t="shared" ca="1" si="59"/>
        <v>0</v>
      </c>
      <c r="AN88" s="45">
        <f t="shared" ca="1" si="60"/>
        <v>0</v>
      </c>
      <c r="AO88" s="45">
        <f ca="1">MIN(AL88,Inputs!$B$36)</f>
        <v>0</v>
      </c>
      <c r="AP88" s="45">
        <f ca="1">MIN(AN88,Inputs!$B$36-AO88)</f>
        <v>0</v>
      </c>
      <c r="AQ88" s="45">
        <f ca="1">MIN(AM88,Inputs!$B$36-AO88-AP88)</f>
        <v>0</v>
      </c>
      <c r="AR88" s="45">
        <f t="shared" ca="1" si="61"/>
        <v>0</v>
      </c>
      <c r="AS88" s="45">
        <f t="shared" ca="1" si="62"/>
        <v>0</v>
      </c>
      <c r="AT88" s="45">
        <f t="shared" ca="1" si="63"/>
        <v>0</v>
      </c>
      <c r="AU88" s="45">
        <f t="shared" ca="1" si="64"/>
        <v>0</v>
      </c>
      <c r="AV88" s="46">
        <f ca="1">AU88*Inputs!$B$35</f>
        <v>0</v>
      </c>
      <c r="AW88" s="46">
        <f ca="1">AR88*Inputs!$C$6+AT88*Inputs!$C$7+AS88*Inputs!$C$8</f>
        <v>0</v>
      </c>
      <c r="AX88" s="46">
        <f t="shared" ca="1" si="65"/>
        <v>47557918.273176149</v>
      </c>
      <c r="AY88" s="46">
        <f ca="1">IF(J88&gt;1,($CD$4)*Inputs!$B$55*((Z88+AA88+AB88)/(SUM(ILP_C_HighResilience!$C$9:$E$13))),0)</f>
        <v>0</v>
      </c>
      <c r="AZ88" s="46">
        <f t="shared" ca="1" si="66"/>
        <v>0</v>
      </c>
      <c r="BA88" s="41">
        <f t="shared" ca="1" si="67"/>
        <v>0</v>
      </c>
      <c r="BB88" s="41">
        <f t="shared" ca="1" si="68"/>
        <v>1</v>
      </c>
      <c r="BC88" s="41">
        <f t="shared" ca="1" si="69"/>
        <v>1</v>
      </c>
      <c r="BD88" s="41">
        <f t="shared" ca="1" si="70"/>
        <v>1</v>
      </c>
    </row>
    <row r="89" spans="1:56" ht="15" customHeight="1" x14ac:dyDescent="0.3">
      <c r="A89" s="41">
        <v>82</v>
      </c>
      <c r="B89" s="42">
        <f t="shared" ca="1" si="52"/>
        <v>0.35805382569403177</v>
      </c>
      <c r="C89" s="43">
        <f ca="1">IF(B89&lt;=Inputs!$C$40,Inputs!$D$40,IF(B89&lt;=Inputs!$C$41,Inputs!$D$41,Inputs!$D$42))</f>
        <v>1</v>
      </c>
      <c r="D89" s="42">
        <f t="shared" ca="1" si="73"/>
        <v>6.6168405695671506E-2</v>
      </c>
      <c r="E89" s="42">
        <f t="shared" ca="1" si="73"/>
        <v>0.36087935785572745</v>
      </c>
      <c r="F89" s="42">
        <f t="shared" ca="1" si="73"/>
        <v>0.14651322510315579</v>
      </c>
      <c r="G89" s="42">
        <f t="shared" ca="1" si="73"/>
        <v>0.82481887661100151</v>
      </c>
      <c r="H89" s="42">
        <f t="shared" ca="1" si="73"/>
        <v>0.79497965570851259</v>
      </c>
      <c r="I89" s="42">
        <f t="shared" ca="1" si="73"/>
        <v>0.43161760532386251</v>
      </c>
      <c r="J89" s="43">
        <f ca="1">IF(I89&lt;Inputs!$B$54,1+Inputs!$B$55,1)</f>
        <v>1</v>
      </c>
      <c r="K89" s="42">
        <f t="shared" ca="1" si="74"/>
        <v>0.77202698553004701</v>
      </c>
      <c r="L89" s="42">
        <f t="shared" ca="1" si="74"/>
        <v>0.38363877847031336</v>
      </c>
      <c r="M89" s="42">
        <f t="shared" ca="1" si="74"/>
        <v>0.33731944987817652</v>
      </c>
      <c r="N89" s="42">
        <f t="shared" ca="1" si="74"/>
        <v>0.11650209140841883</v>
      </c>
      <c r="O89" s="42">
        <f t="shared" ca="1" si="74"/>
        <v>0.8391656635537923</v>
      </c>
      <c r="P89" s="42">
        <f t="shared" ca="1" si="74"/>
        <v>0.67742074121713314</v>
      </c>
      <c r="Q89" s="42">
        <f t="shared" ca="1" si="74"/>
        <v>0.69643786437615596</v>
      </c>
      <c r="R89" s="42">
        <f t="shared" ca="1" si="74"/>
        <v>0.24513685794094231</v>
      </c>
      <c r="S89" s="42">
        <f t="shared" ca="1" si="74"/>
        <v>0.1373291252741059</v>
      </c>
      <c r="T89" s="42">
        <f t="shared" ca="1" si="74"/>
        <v>0.97569285787791438</v>
      </c>
      <c r="U89" s="44">
        <f ca="1">(IF(D89&gt;=Inputs!$E$12,1,IF(K89&lt;=Inputs!$C$46,Inputs!$D$46,IF(K89&lt;=Inputs!$C$47,Inputs!$D$47,Inputs!$D$48))))*((Inputs!$B$28+(P89-0.5)*2*Inputs!$B$53)/Inputs!$B$28)</f>
        <v>1.0017957564900519</v>
      </c>
      <c r="V89" s="44">
        <f ca="1">(IF(E89&gt;=Inputs!$E$13,1,IF(L89&lt;=Inputs!$C$46,Inputs!$D$46,IF(L89&lt;=Inputs!$C$47,Inputs!$D$47,Inputs!$D$48))))*((Inputs!$B$29+(Q89-0.5)*2*Inputs!$B$53)/Inputs!$B$29)</f>
        <v>1.0019802204070176</v>
      </c>
      <c r="W89" s="44">
        <f ca="1">(IF(F89&gt;=Inputs!$E$14,1,IF(M89&lt;=Inputs!$C$46,Inputs!$D$46,IF(M89&lt;=Inputs!$C$47,Inputs!$D$47,Inputs!$D$48))))*((Inputs!$B$30+(R89-0.5)*2*Inputs!$B$53)/Inputs!$B$30)</f>
        <v>0.99743856138634113</v>
      </c>
      <c r="X89" s="44">
        <f ca="1">(IF(G89&gt;=Inputs!$E$15,1,IF(N89&lt;=Inputs!$C$46,Inputs!$D$46,IF(N89&lt;=Inputs!$C$47,Inputs!$D$47,Inputs!$D$48))))*((Inputs!$B$31+(S89-0.5)*2*Inputs!$B$53)/Inputs!$B$31)</f>
        <v>0.99631806218552399</v>
      </c>
      <c r="Y89" s="44">
        <f ca="1">(IF(H89&gt;=Inputs!$E$16,1,IF(O89&lt;=Inputs!$C$46,Inputs!$D$46,IF(O89&lt;=Inputs!$C$47,Inputs!$D$47,Inputs!$D$48))))*((Inputs!$B$32+(T89-0.5)*2*Inputs!$B$53)/Inputs!$B$32)</f>
        <v>1.0047856424333794</v>
      </c>
      <c r="Z89" s="45">
        <f ca="1">ILP_C_HighResilience!$C$9*U89+ILP_C_HighResilience!$C$10*V89+ILP_C_HighResilience!$C$11*W89+ILP_C_HighResilience!$C$12*X89+ILP_C_HighResilience!$C$13*Y89</f>
        <v>17993.54828792941</v>
      </c>
      <c r="AA89" s="45">
        <f ca="1">ILP_C_HighResilience!$D$9*U89+ILP_C_HighResilience!$D$10*V89+ILP_C_HighResilience!$D$11*W89+ILP_C_HighResilience!$D$12*X89+ILP_C_HighResilience!$D$13*Y89</f>
        <v>14983.651668611401</v>
      </c>
      <c r="AB89" s="45">
        <f ca="1">ILP_C_HighResilience!$E$9*U89+ILP_C_HighResilience!$E$10*V89+ILP_C_HighResilience!$E$11*W89+ILP_C_HighResilience!$E$12*X89+ILP_C_HighResilience!$E$13*Y89</f>
        <v>12009.651907014566</v>
      </c>
      <c r="AC89" s="45">
        <f ca="1">Inputs!$B$6*$C89</f>
        <v>18000</v>
      </c>
      <c r="AD89" s="45">
        <f ca="1">Inputs!$B$7*$C89</f>
        <v>15000</v>
      </c>
      <c r="AE89" s="45">
        <f ca="1">Inputs!$B$8*$C89</f>
        <v>12000</v>
      </c>
      <c r="AF89" s="45">
        <f t="shared" ca="1" si="53"/>
        <v>6.451712070589565</v>
      </c>
      <c r="AG89" s="45">
        <f t="shared" ca="1" si="54"/>
        <v>16.348331388599036</v>
      </c>
      <c r="AH89" s="45">
        <f t="shared" ca="1" si="55"/>
        <v>0</v>
      </c>
      <c r="AI89" s="45">
        <f t="shared" ca="1" si="56"/>
        <v>22.800043459188601</v>
      </c>
      <c r="AJ89" s="45">
        <f ca="1">U89*(Inputs!$B$12-ILP_C_HighResilience!$F$9)+V89*(Inputs!$B$13-ILP_C_HighResilience!$F$10)+W89*(Inputs!$B$14-ILP_C_HighResilience!$F$11)+X89*(Inputs!$B$15-ILP_C_HighResilience!$F$12)+Y89*(Inputs!$B$16-ILP_C_HighResilience!$F$13)</f>
        <v>25063.906006733116</v>
      </c>
      <c r="AK89" s="45">
        <f t="shared" ca="1" si="57"/>
        <v>22.800043459188601</v>
      </c>
      <c r="AL89" s="45">
        <f t="shared" ca="1" si="58"/>
        <v>0</v>
      </c>
      <c r="AM89" s="45">
        <f t="shared" ca="1" si="59"/>
        <v>0</v>
      </c>
      <c r="AN89" s="45">
        <f t="shared" ca="1" si="60"/>
        <v>0</v>
      </c>
      <c r="AO89" s="45">
        <f ca="1">MIN(AL89,Inputs!$B$36)</f>
        <v>0</v>
      </c>
      <c r="AP89" s="45">
        <f ca="1">MIN(AN89,Inputs!$B$36-AO89)</f>
        <v>0</v>
      </c>
      <c r="AQ89" s="45">
        <f ca="1">MIN(AM89,Inputs!$B$36-AO89-AP89)</f>
        <v>0</v>
      </c>
      <c r="AR89" s="45">
        <f t="shared" ca="1" si="61"/>
        <v>0</v>
      </c>
      <c r="AS89" s="45">
        <f t="shared" ca="1" si="62"/>
        <v>0</v>
      </c>
      <c r="AT89" s="45">
        <f t="shared" ca="1" si="63"/>
        <v>0</v>
      </c>
      <c r="AU89" s="45">
        <f t="shared" ca="1" si="64"/>
        <v>0</v>
      </c>
      <c r="AV89" s="46">
        <f ca="1">AU89*Inputs!$B$35</f>
        <v>0</v>
      </c>
      <c r="AW89" s="46">
        <f ca="1">AR89*Inputs!$C$6+AT89*Inputs!$C$7+AS89*Inputs!$C$8</f>
        <v>0</v>
      </c>
      <c r="AX89" s="46">
        <f t="shared" ca="1" si="65"/>
        <v>47619105.238660984</v>
      </c>
      <c r="AY89" s="46">
        <f ca="1">IF(J89&gt;1,($CD$4)*Inputs!$B$55*((Z89+AA89+AB89)/(SUM(ILP_C_HighResilience!$C$9:$E$13))),0)</f>
        <v>0</v>
      </c>
      <c r="AZ89" s="46">
        <f t="shared" ca="1" si="66"/>
        <v>0</v>
      </c>
      <c r="BA89" s="41">
        <f t="shared" ca="1" si="67"/>
        <v>0</v>
      </c>
      <c r="BB89" s="41">
        <f t="shared" ca="1" si="68"/>
        <v>1</v>
      </c>
      <c r="BC89" s="41">
        <f t="shared" ca="1" si="69"/>
        <v>1</v>
      </c>
      <c r="BD89" s="41">
        <f t="shared" ca="1" si="70"/>
        <v>1</v>
      </c>
    </row>
    <row r="90" spans="1:56" ht="15" customHeight="1" x14ac:dyDescent="0.3">
      <c r="A90" s="41">
        <v>83</v>
      </c>
      <c r="B90" s="42">
        <f t="shared" ca="1" si="52"/>
        <v>0.94049692813071883</v>
      </c>
      <c r="C90" s="43">
        <f ca="1">IF(B90&lt;=Inputs!$C$40,Inputs!$D$40,IF(B90&lt;=Inputs!$C$41,Inputs!$D$41,Inputs!$D$42))</f>
        <v>1.1499999999999999</v>
      </c>
      <c r="D90" s="42">
        <f t="shared" ca="1" si="73"/>
        <v>0.84730446380196933</v>
      </c>
      <c r="E90" s="42">
        <f t="shared" ca="1" si="73"/>
        <v>0.53872680683737129</v>
      </c>
      <c r="F90" s="42">
        <f t="shared" ca="1" si="73"/>
        <v>0.72620991634968612</v>
      </c>
      <c r="G90" s="42">
        <f t="shared" ca="1" si="73"/>
        <v>0.74410425393726309</v>
      </c>
      <c r="H90" s="42">
        <f t="shared" ca="1" si="73"/>
        <v>0.35781366041072804</v>
      </c>
      <c r="I90" s="42">
        <f t="shared" ca="1" si="73"/>
        <v>0.58719750884579458</v>
      </c>
      <c r="J90" s="43">
        <f ca="1">IF(I90&lt;Inputs!$B$54,1+Inputs!$B$55,1)</f>
        <v>1</v>
      </c>
      <c r="K90" s="42">
        <f t="shared" ca="1" si="74"/>
        <v>3.056561658161594E-2</v>
      </c>
      <c r="L90" s="42">
        <f t="shared" ca="1" si="74"/>
        <v>0.89224884958725803</v>
      </c>
      <c r="M90" s="42">
        <f t="shared" ca="1" si="74"/>
        <v>0.69214946116409271</v>
      </c>
      <c r="N90" s="42">
        <f t="shared" ca="1" si="74"/>
        <v>0.25844939735193817</v>
      </c>
      <c r="O90" s="42">
        <f t="shared" ca="1" si="74"/>
        <v>0.30835748288745546</v>
      </c>
      <c r="P90" s="42">
        <f t="shared" ca="1" si="74"/>
        <v>0.14770611112132681</v>
      </c>
      <c r="Q90" s="42">
        <f t="shared" ca="1" si="74"/>
        <v>0.84417215099261222</v>
      </c>
      <c r="R90" s="42">
        <f t="shared" ca="1" si="74"/>
        <v>0.91555166768231977</v>
      </c>
      <c r="S90" s="42">
        <f t="shared" ca="1" si="74"/>
        <v>0.83466980082181341</v>
      </c>
      <c r="T90" s="42">
        <f t="shared" ca="1" si="74"/>
        <v>0.99740386755951116</v>
      </c>
      <c r="U90" s="44">
        <f ca="1">(IF(D90&gt;=Inputs!$E$12,1,IF(K90&lt;=Inputs!$C$46,Inputs!$D$46,IF(K90&lt;=Inputs!$C$47,Inputs!$D$47,Inputs!$D$48))))*((Inputs!$B$28+(P90-0.5)*2*Inputs!$B$53)/Inputs!$B$28)</f>
        <v>0.99643427237977056</v>
      </c>
      <c r="V90" s="44">
        <f ca="1">(IF(E90&gt;=Inputs!$E$13,1,IF(L90&lt;=Inputs!$C$46,Inputs!$D$46,IF(L90&lt;=Inputs!$C$47,Inputs!$D$47,Inputs!$D$48))))*((Inputs!$B$29+(Q90-0.5)*2*Inputs!$B$53)/Inputs!$B$29)</f>
        <v>1.0034694773285546</v>
      </c>
      <c r="W90" s="44">
        <f ca="1">(IF(F90&gt;=Inputs!$E$14,1,IF(M90&lt;=Inputs!$C$46,Inputs!$D$46,IF(M90&lt;=Inputs!$C$47,Inputs!$D$47,Inputs!$D$48))))*((Inputs!$B$30+(R90-0.5)*2*Inputs!$B$53)/Inputs!$B$30)</f>
        <v>1.0041763986701742</v>
      </c>
      <c r="X90" s="44">
        <f ca="1">(IF(G90&gt;=Inputs!$E$15,1,IF(N90&lt;=Inputs!$C$46,Inputs!$D$46,IF(N90&lt;=Inputs!$C$47,Inputs!$D$47,Inputs!$D$48))))*((Inputs!$B$31+(S90-0.5)*2*Inputs!$B$53)/Inputs!$B$31)</f>
        <v>1.0033976629525059</v>
      </c>
      <c r="Y90" s="44">
        <f ca="1">(IF(H90&gt;=Inputs!$E$16,1,IF(O90&lt;=Inputs!$C$46,Inputs!$D$46,IF(O90&lt;=Inputs!$C$47,Inputs!$D$47,Inputs!$D$48))))*((Inputs!$B$32+(T90-0.5)*2*Inputs!$B$53)/Inputs!$B$32)</f>
        <v>1.0050040630539185</v>
      </c>
      <c r="Z90" s="45">
        <f ca="1">ILP_C_HighResilience!$C$9*U90+ILP_C_HighResilience!$C$10*V90+ILP_C_HighResilience!$C$11*W90+ILP_C_HighResilience!$C$12*X90+ILP_C_HighResilience!$C$13*Y90</f>
        <v>18011.280052775186</v>
      </c>
      <c r="AA90" s="45">
        <f ca="1">ILP_C_HighResilience!$D$9*U90+ILP_C_HighResilience!$D$10*V90+ILP_C_HighResilience!$D$11*W90+ILP_C_HighResilience!$D$12*X90+ILP_C_HighResilience!$D$13*Y90</f>
        <v>15054.806692987266</v>
      </c>
      <c r="AB90" s="45">
        <f ca="1">ILP_C_HighResilience!$E$9*U90+ILP_C_HighResilience!$E$10*V90+ILP_C_HighResilience!$E$11*W90+ILP_C_HighResilience!$E$12*X90+ILP_C_HighResilience!$E$13*Y90</f>
        <v>12009.923299135287</v>
      </c>
      <c r="AC90" s="45">
        <f ca="1">Inputs!$B$6*$C90</f>
        <v>20700</v>
      </c>
      <c r="AD90" s="45">
        <f ca="1">Inputs!$B$7*$C90</f>
        <v>17250</v>
      </c>
      <c r="AE90" s="45">
        <f ca="1">Inputs!$B$8*$C90</f>
        <v>13799.999999999998</v>
      </c>
      <c r="AF90" s="45">
        <f t="shared" ca="1" si="53"/>
        <v>2688.719947224814</v>
      </c>
      <c r="AG90" s="45">
        <f t="shared" ca="1" si="54"/>
        <v>2195.1933070127343</v>
      </c>
      <c r="AH90" s="45">
        <f t="shared" ca="1" si="55"/>
        <v>1790.0767008647108</v>
      </c>
      <c r="AI90" s="45">
        <f t="shared" ca="1" si="56"/>
        <v>6673.989955102259</v>
      </c>
      <c r="AJ90" s="45">
        <f ca="1">U90*(Inputs!$B$12-ILP_C_HighResilience!$F$9)+V90*(Inputs!$B$13-ILP_C_HighResilience!$F$10)+W90*(Inputs!$B$14-ILP_C_HighResilience!$F$11)+X90*(Inputs!$B$15-ILP_C_HighResilience!$F$12)+Y90*(Inputs!$B$16-ILP_C_HighResilience!$F$13)</f>
        <v>25085.637079729466</v>
      </c>
      <c r="AK90" s="45">
        <f t="shared" ca="1" si="57"/>
        <v>6673.989955102259</v>
      </c>
      <c r="AL90" s="45">
        <f t="shared" ca="1" si="58"/>
        <v>0</v>
      </c>
      <c r="AM90" s="45">
        <f t="shared" ca="1" si="59"/>
        <v>0</v>
      </c>
      <c r="AN90" s="45">
        <f t="shared" ca="1" si="60"/>
        <v>0</v>
      </c>
      <c r="AO90" s="45">
        <f ca="1">MIN(AL90,Inputs!$B$36)</f>
        <v>0</v>
      </c>
      <c r="AP90" s="45">
        <f ca="1">MIN(AN90,Inputs!$B$36-AO90)</f>
        <v>0</v>
      </c>
      <c r="AQ90" s="45">
        <f ca="1">MIN(AM90,Inputs!$B$36-AO90-AP90)</f>
        <v>0</v>
      </c>
      <c r="AR90" s="45">
        <f t="shared" ca="1" si="61"/>
        <v>0</v>
      </c>
      <c r="AS90" s="45">
        <f t="shared" ca="1" si="62"/>
        <v>0</v>
      </c>
      <c r="AT90" s="45">
        <f t="shared" ca="1" si="63"/>
        <v>0</v>
      </c>
      <c r="AU90" s="45">
        <f t="shared" ca="1" si="64"/>
        <v>0</v>
      </c>
      <c r="AV90" s="46">
        <f ca="1">AU90*Inputs!$B$35</f>
        <v>0</v>
      </c>
      <c r="AW90" s="46">
        <f ca="1">AR90*Inputs!$C$6+AT90*Inputs!$C$7+AS90*Inputs!$C$8</f>
        <v>0</v>
      </c>
      <c r="AX90" s="46">
        <f t="shared" ca="1" si="65"/>
        <v>47712659.187899865</v>
      </c>
      <c r="AY90" s="46">
        <f ca="1">IF(J90&gt;1,($CD$4)*Inputs!$B$55*((Z90+AA90+AB90)/(SUM(ILP_C_HighResilience!$C$9:$E$13))),0)</f>
        <v>0</v>
      </c>
      <c r="AZ90" s="46">
        <f t="shared" ca="1" si="66"/>
        <v>0</v>
      </c>
      <c r="BA90" s="41">
        <f t="shared" ca="1" si="67"/>
        <v>0</v>
      </c>
      <c r="BB90" s="41">
        <f t="shared" ca="1" si="68"/>
        <v>1</v>
      </c>
      <c r="BC90" s="41">
        <f t="shared" ca="1" si="69"/>
        <v>1</v>
      </c>
      <c r="BD90" s="41">
        <f t="shared" ca="1" si="70"/>
        <v>1</v>
      </c>
    </row>
    <row r="91" spans="1:56" ht="15" customHeight="1" x14ac:dyDescent="0.3">
      <c r="A91" s="41">
        <v>84</v>
      </c>
      <c r="B91" s="42">
        <f t="shared" ca="1" si="52"/>
        <v>0.36177928632081613</v>
      </c>
      <c r="C91" s="43">
        <f ca="1">IF(B91&lt;=Inputs!$C$40,Inputs!$D$40,IF(B91&lt;=Inputs!$C$41,Inputs!$D$41,Inputs!$D$42))</f>
        <v>1</v>
      </c>
      <c r="D91" s="42">
        <f t="shared" ca="1" si="73"/>
        <v>0.2493148828276448</v>
      </c>
      <c r="E91" s="42">
        <f t="shared" ca="1" si="73"/>
        <v>0.69318066693219593</v>
      </c>
      <c r="F91" s="42">
        <f t="shared" ca="1" si="73"/>
        <v>0.21640673078638639</v>
      </c>
      <c r="G91" s="42">
        <f t="shared" ca="1" si="73"/>
        <v>0.69989688511439974</v>
      </c>
      <c r="H91" s="42">
        <f t="shared" ca="1" si="73"/>
        <v>2.179134192325638E-2</v>
      </c>
      <c r="I91" s="42">
        <f t="shared" ca="1" si="73"/>
        <v>0.55498713006448852</v>
      </c>
      <c r="J91" s="43">
        <f ca="1">IF(I91&lt;Inputs!$B$54,1+Inputs!$B$55,1)</f>
        <v>1</v>
      </c>
      <c r="K91" s="42">
        <f t="shared" ca="1" si="74"/>
        <v>0.77745696903490957</v>
      </c>
      <c r="L91" s="42">
        <f t="shared" ca="1" si="74"/>
        <v>0.36291158334324047</v>
      </c>
      <c r="M91" s="42">
        <f t="shared" ca="1" si="74"/>
        <v>0.17846033446702603</v>
      </c>
      <c r="N91" s="42">
        <f t="shared" ca="1" si="74"/>
        <v>0.20667838090879331</v>
      </c>
      <c r="O91" s="42">
        <f t="shared" ca="1" si="74"/>
        <v>0.25086276868657065</v>
      </c>
      <c r="P91" s="42">
        <f t="shared" ca="1" si="74"/>
        <v>0.69195496356983865</v>
      </c>
      <c r="Q91" s="42">
        <f t="shared" ca="1" si="74"/>
        <v>0.25670416038143617</v>
      </c>
      <c r="R91" s="42">
        <f t="shared" ca="1" si="74"/>
        <v>4.5158570788377483E-2</v>
      </c>
      <c r="S91" s="42">
        <f t="shared" ca="1" si="74"/>
        <v>0.96515895571900379</v>
      </c>
      <c r="T91" s="42">
        <f t="shared" ca="1" si="74"/>
        <v>0.36188694754716721</v>
      </c>
      <c r="U91" s="44">
        <f ca="1">(IF(D91&gt;=Inputs!$E$12,1,IF(K91&lt;=Inputs!$C$46,Inputs!$D$46,IF(K91&lt;=Inputs!$C$47,Inputs!$D$47,Inputs!$D$48))))*((Inputs!$B$28+(P91-0.5)*2*Inputs!$B$53)/Inputs!$B$28)</f>
        <v>1.0019428640037433</v>
      </c>
      <c r="V91" s="44">
        <f ca="1">(IF(E91&gt;=Inputs!$E$13,1,IF(L91&lt;=Inputs!$C$46,Inputs!$D$46,IF(L91&lt;=Inputs!$C$47,Inputs!$D$47,Inputs!$D$48))))*((Inputs!$B$29+(Q91-0.5)*2*Inputs!$B$53)/Inputs!$B$29)</f>
        <v>0.99754742097158711</v>
      </c>
      <c r="W91" s="44">
        <f ca="1">(IF(F91&gt;=Inputs!$E$14,1,IF(M91&lt;=Inputs!$C$46,Inputs!$D$46,IF(M91&lt;=Inputs!$C$47,Inputs!$D$47,Inputs!$D$48))))*((Inputs!$B$30+(R91-0.5)*2*Inputs!$B$53)/Inputs!$B$30)</f>
        <v>0.99542872935465698</v>
      </c>
      <c r="X91" s="44">
        <f ca="1">(IF(G91&gt;=Inputs!$E$15,1,IF(N91&lt;=Inputs!$C$46,Inputs!$D$46,IF(N91&lt;=Inputs!$C$47,Inputs!$D$47,Inputs!$D$48))))*((Inputs!$B$31+(S91-0.5)*2*Inputs!$B$53)/Inputs!$B$31)</f>
        <v>1.0047224259463858</v>
      </c>
      <c r="Y91" s="44">
        <f ca="1">(IF(H91&gt;=Inputs!$E$16,1,IF(O91&lt;=Inputs!$C$46,Inputs!$D$46,IF(O91&lt;=Inputs!$C$47,Inputs!$D$47,Inputs!$D$48))))*((Inputs!$B$32+(T91-0.5)*2*Inputs!$B$53)/Inputs!$B$32)</f>
        <v>0.59916631960290034</v>
      </c>
      <c r="Z91" s="45">
        <f ca="1">ILP_C_HighResilience!$C$9*U91+ILP_C_HighResilience!$C$10*V91+ILP_C_HighResilience!$C$11*W91+ILP_C_HighResilience!$C$12*X91+ILP_C_HighResilience!$C$13*Y91</f>
        <v>18039.160803138642</v>
      </c>
      <c r="AA91" s="45">
        <f ca="1">ILP_C_HighResilience!$D$9*U91+ILP_C_HighResilience!$D$10*V91+ILP_C_HighResilience!$D$11*W91+ILP_C_HighResilience!$D$12*X91+ILP_C_HighResilience!$D$13*Y91</f>
        <v>14987.079968275224</v>
      </c>
      <c r="AB91" s="45">
        <f ca="1">ILP_C_HighResilience!$E$9*U91+ILP_C_HighResilience!$E$10*V91+ILP_C_HighResilience!$E$11*W91+ILP_C_HighResilience!$E$12*X91+ILP_C_HighResilience!$E$13*Y91</f>
        <v>11985.497548224894</v>
      </c>
      <c r="AC91" s="45">
        <f ca="1">Inputs!$B$6*$C91</f>
        <v>18000</v>
      </c>
      <c r="AD91" s="45">
        <f ca="1">Inputs!$B$7*$C91</f>
        <v>15000</v>
      </c>
      <c r="AE91" s="45">
        <f ca="1">Inputs!$B$8*$C91</f>
        <v>12000</v>
      </c>
      <c r="AF91" s="45">
        <f t="shared" ca="1" si="53"/>
        <v>0</v>
      </c>
      <c r="AG91" s="45">
        <f t="shared" ca="1" si="54"/>
        <v>12.920031724775981</v>
      </c>
      <c r="AH91" s="45">
        <f t="shared" ca="1" si="55"/>
        <v>14.502451775106238</v>
      </c>
      <c r="AI91" s="45">
        <f t="shared" ca="1" si="56"/>
        <v>27.422483499882219</v>
      </c>
      <c r="AJ91" s="45">
        <f ca="1">U91*(Inputs!$B$12-ILP_C_HighResilience!$F$9)+V91*(Inputs!$B$13-ILP_C_HighResilience!$F$10)+W91*(Inputs!$B$14-ILP_C_HighResilience!$F$11)+X91*(Inputs!$B$15-ILP_C_HighResilience!$F$12)+Y91*(Inputs!$B$16-ILP_C_HighResilience!$F$13)</f>
        <v>18969.748785034026</v>
      </c>
      <c r="AK91" s="45">
        <f t="shared" ca="1" si="57"/>
        <v>27.422483499882219</v>
      </c>
      <c r="AL91" s="45">
        <f t="shared" ca="1" si="58"/>
        <v>0</v>
      </c>
      <c r="AM91" s="45">
        <f t="shared" ca="1" si="59"/>
        <v>0</v>
      </c>
      <c r="AN91" s="45">
        <f t="shared" ca="1" si="60"/>
        <v>0</v>
      </c>
      <c r="AO91" s="45">
        <f ca="1">MIN(AL91,Inputs!$B$36)</f>
        <v>0</v>
      </c>
      <c r="AP91" s="45">
        <f ca="1">MIN(AN91,Inputs!$B$36-AO91)</f>
        <v>0</v>
      </c>
      <c r="AQ91" s="45">
        <f ca="1">MIN(AM91,Inputs!$B$36-AO91-AP91)</f>
        <v>0</v>
      </c>
      <c r="AR91" s="45">
        <f t="shared" ca="1" si="61"/>
        <v>0</v>
      </c>
      <c r="AS91" s="45">
        <f t="shared" ca="1" si="62"/>
        <v>0</v>
      </c>
      <c r="AT91" s="45">
        <f t="shared" ca="1" si="63"/>
        <v>0</v>
      </c>
      <c r="AU91" s="45">
        <f t="shared" ca="1" si="64"/>
        <v>0</v>
      </c>
      <c r="AV91" s="46">
        <f ca="1">AU91*Inputs!$B$35</f>
        <v>0</v>
      </c>
      <c r="AW91" s="46">
        <f ca="1">AR91*Inputs!$C$6+AT91*Inputs!$C$7+AS91*Inputs!$C$8</f>
        <v>0</v>
      </c>
      <c r="AX91" s="46">
        <f t="shared" ca="1" si="65"/>
        <v>47643684.909932479</v>
      </c>
      <c r="AY91" s="46">
        <f ca="1">IF(J91&gt;1,($CD$4)*Inputs!$B$55*((Z91+AA91+AB91)/(SUM(ILP_C_HighResilience!$C$9:$E$13))),0)</f>
        <v>0</v>
      </c>
      <c r="AZ91" s="46">
        <f t="shared" ca="1" si="66"/>
        <v>0</v>
      </c>
      <c r="BA91" s="41">
        <f t="shared" ca="1" si="67"/>
        <v>0</v>
      </c>
      <c r="BB91" s="41">
        <f t="shared" ca="1" si="68"/>
        <v>1</v>
      </c>
      <c r="BC91" s="41">
        <f t="shared" ca="1" si="69"/>
        <v>1</v>
      </c>
      <c r="BD91" s="41">
        <f t="shared" ca="1" si="70"/>
        <v>1</v>
      </c>
    </row>
    <row r="92" spans="1:56" ht="15" customHeight="1" x14ac:dyDescent="0.3">
      <c r="A92" s="41">
        <v>85</v>
      </c>
      <c r="B92" s="42">
        <f t="shared" ca="1" si="52"/>
        <v>0.79822796833873144</v>
      </c>
      <c r="C92" s="43">
        <f ca="1">IF(B92&lt;=Inputs!$C$40,Inputs!$D$40,IF(B92&lt;=Inputs!$C$41,Inputs!$D$41,Inputs!$D$42))</f>
        <v>1.1499999999999999</v>
      </c>
      <c r="D92" s="42">
        <f t="shared" ca="1" si="73"/>
        <v>6.1426905046654157E-2</v>
      </c>
      <c r="E92" s="42">
        <f t="shared" ca="1" si="73"/>
        <v>0.62429835487541419</v>
      </c>
      <c r="F92" s="42">
        <f t="shared" ca="1" si="73"/>
        <v>0.38281446055000357</v>
      </c>
      <c r="G92" s="42">
        <f t="shared" ca="1" si="73"/>
        <v>0.8599900255195998</v>
      </c>
      <c r="H92" s="42">
        <f t="shared" ca="1" si="73"/>
        <v>0.64883508462445172</v>
      </c>
      <c r="I92" s="42">
        <f t="shared" ca="1" si="73"/>
        <v>0.92892672006577071</v>
      </c>
      <c r="J92" s="43">
        <f ca="1">IF(I92&lt;Inputs!$B$54,1+Inputs!$B$55,1)</f>
        <v>1</v>
      </c>
      <c r="K92" s="42">
        <f t="shared" ca="1" si="74"/>
        <v>0.19768311076474299</v>
      </c>
      <c r="L92" s="42">
        <f t="shared" ca="1" si="74"/>
        <v>0.65104755841124862</v>
      </c>
      <c r="M92" s="42">
        <f t="shared" ca="1" si="74"/>
        <v>0.63384395201367627</v>
      </c>
      <c r="N92" s="42">
        <f t="shared" ca="1" si="74"/>
        <v>0.89558951218712013</v>
      </c>
      <c r="O92" s="42">
        <f t="shared" ca="1" si="74"/>
        <v>0.61925323127263443</v>
      </c>
      <c r="P92" s="42">
        <f t="shared" ca="1" si="74"/>
        <v>0.97148992668998768</v>
      </c>
      <c r="Q92" s="42">
        <f t="shared" ca="1" si="74"/>
        <v>0.19099747085479224</v>
      </c>
      <c r="R92" s="42">
        <f t="shared" ca="1" si="74"/>
        <v>0.52567317774581612</v>
      </c>
      <c r="S92" s="42">
        <f t="shared" ca="1" si="74"/>
        <v>0.19187496468941234</v>
      </c>
      <c r="T92" s="42">
        <f t="shared" ca="1" si="74"/>
        <v>0.86871282650580717</v>
      </c>
      <c r="U92" s="44">
        <f ca="1">(IF(D92&gt;=Inputs!$E$12,1,IF(K92&lt;=Inputs!$C$46,Inputs!$D$46,IF(K92&lt;=Inputs!$C$47,Inputs!$D$47,Inputs!$D$48))))*((Inputs!$B$28+(P92-0.5)*2*Inputs!$B$53)/Inputs!$B$28)</f>
        <v>1.0047721652498987</v>
      </c>
      <c r="V92" s="44">
        <f ca="1">(IF(E92&gt;=Inputs!$E$13,1,IF(L92&lt;=Inputs!$C$46,Inputs!$D$46,IF(L92&lt;=Inputs!$C$47,Inputs!$D$47,Inputs!$D$48))))*((Inputs!$B$29+(Q92-0.5)*2*Inputs!$B$53)/Inputs!$B$29)</f>
        <v>0.9968850551497459</v>
      </c>
      <c r="W92" s="44">
        <f ca="1">(IF(F92&gt;=Inputs!$E$14,1,IF(M92&lt;=Inputs!$C$46,Inputs!$D$46,IF(M92&lt;=Inputs!$C$47,Inputs!$D$47,Inputs!$D$48))))*((Inputs!$B$30+(R92-0.5)*2*Inputs!$B$53)/Inputs!$B$30)</f>
        <v>1.0002580218868926</v>
      </c>
      <c r="X92" s="44">
        <f ca="1">(IF(G92&gt;=Inputs!$E$15,1,IF(N92&lt;=Inputs!$C$46,Inputs!$D$46,IF(N92&lt;=Inputs!$C$47,Inputs!$D$47,Inputs!$D$48))))*((Inputs!$B$31+(S92-0.5)*2*Inputs!$B$53)/Inputs!$B$31)</f>
        <v>0.9968718270526844</v>
      </c>
      <c r="Y92" s="44">
        <f ca="1">(IF(H92&gt;=Inputs!$E$16,1,IF(O92&lt;=Inputs!$C$46,Inputs!$D$46,IF(O92&lt;=Inputs!$C$47,Inputs!$D$47,Inputs!$D$48))))*((Inputs!$B$32+(T92-0.5)*2*Inputs!$B$53)/Inputs!$B$32)</f>
        <v>1.0037093845724931</v>
      </c>
      <c r="Z92" s="45">
        <f ca="1">ILP_C_HighResilience!$C$9*U92+ILP_C_HighResilience!$C$10*V92+ILP_C_HighResilience!$C$11*W92+ILP_C_HighResilience!$C$12*X92+ILP_C_HighResilience!$C$13*Y92</f>
        <v>18000.622943117683</v>
      </c>
      <c r="AA92" s="45">
        <f ca="1">ILP_C_HighResilience!$D$9*U92+ILP_C_HighResilience!$D$10*V92+ILP_C_HighResilience!$D$11*W92+ILP_C_HighResilience!$D$12*X92+ILP_C_HighResilience!$D$13*Y92</f>
        <v>14967.988307746469</v>
      </c>
      <c r="AB92" s="45">
        <f ca="1">ILP_C_HighResilience!$E$9*U92+ILP_C_HighResilience!$E$10*V92+ILP_C_HighResilience!$E$11*W92+ILP_C_HighResilience!$E$12*X92+ILP_C_HighResilience!$E$13*Y92</f>
        <v>12010.300869416254</v>
      </c>
      <c r="AC92" s="45">
        <f ca="1">Inputs!$B$6*$C92</f>
        <v>20700</v>
      </c>
      <c r="AD92" s="45">
        <f ca="1">Inputs!$B$7*$C92</f>
        <v>17250</v>
      </c>
      <c r="AE92" s="45">
        <f ca="1">Inputs!$B$8*$C92</f>
        <v>13799.999999999998</v>
      </c>
      <c r="AF92" s="45">
        <f t="shared" ca="1" si="53"/>
        <v>2699.3770568823165</v>
      </c>
      <c r="AG92" s="45">
        <f t="shared" ca="1" si="54"/>
        <v>2282.0116922535308</v>
      </c>
      <c r="AH92" s="45">
        <f t="shared" ca="1" si="55"/>
        <v>1789.6991305837437</v>
      </c>
      <c r="AI92" s="45">
        <f t="shared" ca="1" si="56"/>
        <v>6771.087879719591</v>
      </c>
      <c r="AJ92" s="45">
        <f ca="1">U92*(Inputs!$B$12-ILP_C_HighResilience!$F$9)+V92*(Inputs!$B$13-ILP_C_HighResilience!$F$10)+W92*(Inputs!$B$14-ILP_C_HighResilience!$F$11)+X92*(Inputs!$B$15-ILP_C_HighResilience!$F$12)+Y92*(Inputs!$B$16-ILP_C_HighResilience!$F$13)</f>
        <v>25075.290273563631</v>
      </c>
      <c r="AK92" s="45">
        <f t="shared" ca="1" si="57"/>
        <v>6771.087879719591</v>
      </c>
      <c r="AL92" s="45">
        <f t="shared" ca="1" si="58"/>
        <v>0</v>
      </c>
      <c r="AM92" s="45">
        <f t="shared" ca="1" si="59"/>
        <v>0</v>
      </c>
      <c r="AN92" s="45">
        <f t="shared" ca="1" si="60"/>
        <v>0</v>
      </c>
      <c r="AO92" s="45">
        <f ca="1">MIN(AL92,Inputs!$B$36)</f>
        <v>0</v>
      </c>
      <c r="AP92" s="45">
        <f ca="1">MIN(AN92,Inputs!$B$36-AO92)</f>
        <v>0</v>
      </c>
      <c r="AQ92" s="45">
        <f ca="1">MIN(AM92,Inputs!$B$36-AO92-AP92)</f>
        <v>0</v>
      </c>
      <c r="AR92" s="45">
        <f t="shared" ca="1" si="61"/>
        <v>0</v>
      </c>
      <c r="AS92" s="45">
        <f t="shared" ca="1" si="62"/>
        <v>0</v>
      </c>
      <c r="AT92" s="45">
        <f t="shared" ca="1" si="63"/>
        <v>0</v>
      </c>
      <c r="AU92" s="45">
        <f t="shared" ca="1" si="64"/>
        <v>0</v>
      </c>
      <c r="AV92" s="46">
        <f ca="1">AU92*Inputs!$B$35</f>
        <v>0</v>
      </c>
      <c r="AW92" s="46">
        <f ca="1">AR92*Inputs!$C$6+AT92*Inputs!$C$7+AS92*Inputs!$C$8</f>
        <v>0</v>
      </c>
      <c r="AX92" s="46">
        <f t="shared" ca="1" si="65"/>
        <v>47610702.75653325</v>
      </c>
      <c r="AY92" s="46">
        <f ca="1">IF(J92&gt;1,($CD$4)*Inputs!$B$55*((Z92+AA92+AB92)/(SUM(ILP_C_HighResilience!$C$9:$E$13))),0)</f>
        <v>0</v>
      </c>
      <c r="AZ92" s="46">
        <f t="shared" ca="1" si="66"/>
        <v>0</v>
      </c>
      <c r="BA92" s="41">
        <f t="shared" ca="1" si="67"/>
        <v>0</v>
      </c>
      <c r="BB92" s="41">
        <f t="shared" ca="1" si="68"/>
        <v>1</v>
      </c>
      <c r="BC92" s="41">
        <f t="shared" ca="1" si="69"/>
        <v>1</v>
      </c>
      <c r="BD92" s="41">
        <f t="shared" ca="1" si="70"/>
        <v>1</v>
      </c>
    </row>
    <row r="93" spans="1:56" ht="15" customHeight="1" x14ac:dyDescent="0.3">
      <c r="A93" s="41">
        <v>86</v>
      </c>
      <c r="B93" s="42">
        <f t="shared" ca="1" si="52"/>
        <v>0.28560573317398041</v>
      </c>
      <c r="C93" s="43">
        <f ca="1">IF(B93&lt;=Inputs!$C$40,Inputs!$D$40,IF(B93&lt;=Inputs!$C$41,Inputs!$D$41,Inputs!$D$42))</f>
        <v>1</v>
      </c>
      <c r="D93" s="42">
        <f t="shared" ca="1" si="73"/>
        <v>0.21834020914892183</v>
      </c>
      <c r="E93" s="42">
        <f t="shared" ca="1" si="73"/>
        <v>6.2054654474508197E-2</v>
      </c>
      <c r="F93" s="42">
        <f t="shared" ca="1" si="73"/>
        <v>0.76648666034025814</v>
      </c>
      <c r="G93" s="42">
        <f t="shared" ca="1" si="73"/>
        <v>0.77980697357241402</v>
      </c>
      <c r="H93" s="42">
        <f t="shared" ca="1" si="73"/>
        <v>0.14066791715581217</v>
      </c>
      <c r="I93" s="42">
        <f t="shared" ca="1" si="73"/>
        <v>0.80108238322557956</v>
      </c>
      <c r="J93" s="43">
        <f ca="1">IF(I93&lt;Inputs!$B$54,1+Inputs!$B$55,1)</f>
        <v>1</v>
      </c>
      <c r="K93" s="42">
        <f t="shared" ca="1" si="74"/>
        <v>0.81056146445046195</v>
      </c>
      <c r="L93" s="42">
        <f t="shared" ca="1" si="74"/>
        <v>0.34308486292136176</v>
      </c>
      <c r="M93" s="42">
        <f t="shared" ca="1" si="74"/>
        <v>0.83198828962447091</v>
      </c>
      <c r="N93" s="42">
        <f t="shared" ca="1" si="74"/>
        <v>0.37770631215034456</v>
      </c>
      <c r="O93" s="42">
        <f t="shared" ca="1" si="74"/>
        <v>0.96302576707283583</v>
      </c>
      <c r="P93" s="42">
        <f t="shared" ca="1" si="74"/>
        <v>0.99809794668048013</v>
      </c>
      <c r="Q93" s="42">
        <f t="shared" ca="1" si="74"/>
        <v>0.48268761965380924</v>
      </c>
      <c r="R93" s="42">
        <f t="shared" ca="1" si="74"/>
        <v>0.92249986392060468</v>
      </c>
      <c r="S93" s="42">
        <f t="shared" ca="1" si="74"/>
        <v>0.47261366735677657</v>
      </c>
      <c r="T93" s="42">
        <f t="shared" ca="1" si="74"/>
        <v>0.96649576332389209</v>
      </c>
      <c r="U93" s="44">
        <f ca="1">(IF(D93&gt;=Inputs!$E$12,1,IF(K93&lt;=Inputs!$C$46,Inputs!$D$46,IF(K93&lt;=Inputs!$C$47,Inputs!$D$47,Inputs!$D$48))))*((Inputs!$B$28+(P93-0.5)*2*Inputs!$B$53)/Inputs!$B$28)</f>
        <v>1.0050414771931222</v>
      </c>
      <c r="V93" s="44">
        <f ca="1">(IF(E93&gt;=Inputs!$E$13,1,IF(L93&lt;=Inputs!$C$46,Inputs!$D$46,IF(L93&lt;=Inputs!$C$47,Inputs!$D$47,Inputs!$D$48))))*((Inputs!$B$29+(Q93-0.5)*2*Inputs!$B$53)/Inputs!$B$29)</f>
        <v>0.59989528802209968</v>
      </c>
      <c r="W93" s="44">
        <f ca="1">(IF(F93&gt;=Inputs!$E$14,1,IF(M93&lt;=Inputs!$C$46,Inputs!$D$46,IF(M93&lt;=Inputs!$C$47,Inputs!$D$47,Inputs!$D$48))))*((Inputs!$B$30+(R93-0.5)*2*Inputs!$B$53)/Inputs!$B$30)</f>
        <v>1.0042462297881467</v>
      </c>
      <c r="X93" s="44">
        <f ca="1">(IF(G93&gt;=Inputs!$E$15,1,IF(N93&lt;=Inputs!$C$46,Inputs!$D$46,IF(N93&lt;=Inputs!$C$47,Inputs!$D$47,Inputs!$D$48))))*((Inputs!$B$31+(S93-0.5)*2*Inputs!$B$53)/Inputs!$B$31)</f>
        <v>0.99972196616605868</v>
      </c>
      <c r="Y93" s="44">
        <f ca="1">(IF(H93&gt;=Inputs!$E$16,1,IF(O93&lt;=Inputs!$C$46,Inputs!$D$46,IF(O93&lt;=Inputs!$C$47,Inputs!$D$47,Inputs!$D$48))))*((Inputs!$B$32+(T93-0.5)*2*Inputs!$B$53)/Inputs!$B$32)</f>
        <v>1.0046931163312263</v>
      </c>
      <c r="Z93" s="45">
        <f ca="1">ILP_C_HighResilience!$C$9*U93+ILP_C_HighResilience!$C$10*V93+ILP_C_HighResilience!$C$11*W93+ILP_C_HighResilience!$C$12*X93+ILP_C_HighResilience!$C$13*Y93</f>
        <v>16593.919829065664</v>
      </c>
      <c r="AA93" s="45">
        <f ca="1">ILP_C_HighResilience!$D$9*U93+ILP_C_HighResilience!$D$10*V93+ILP_C_HighResilience!$D$11*W93+ILP_C_HighResilience!$D$12*X93+ILP_C_HighResilience!$D$13*Y93</f>
        <v>12616.685698291873</v>
      </c>
      <c r="AB93" s="45">
        <f ca="1">ILP_C_HighResilience!$E$9*U93+ILP_C_HighResilience!$E$10*V93+ILP_C_HighResilience!$E$11*W93+ILP_C_HighResilience!$E$12*X93+ILP_C_HighResilience!$E$13*Y93</f>
        <v>10320.915106708833</v>
      </c>
      <c r="AC93" s="45">
        <f ca="1">Inputs!$B$6*$C93</f>
        <v>18000</v>
      </c>
      <c r="AD93" s="45">
        <f ca="1">Inputs!$B$7*$C93</f>
        <v>15000</v>
      </c>
      <c r="AE93" s="45">
        <f ca="1">Inputs!$B$8*$C93</f>
        <v>12000</v>
      </c>
      <c r="AF93" s="45">
        <f t="shared" ca="1" si="53"/>
        <v>1406.0801709343359</v>
      </c>
      <c r="AG93" s="45">
        <f t="shared" ca="1" si="54"/>
        <v>2383.3143017081275</v>
      </c>
      <c r="AH93" s="45">
        <f t="shared" ca="1" si="55"/>
        <v>1679.0848932911667</v>
      </c>
      <c r="AI93" s="45">
        <f t="shared" ca="1" si="56"/>
        <v>5468.4793659336301</v>
      </c>
      <c r="AJ93" s="45">
        <f ca="1">U93*(Inputs!$B$12-ILP_C_HighResilience!$F$9)+V93*(Inputs!$B$13-ILP_C_HighResilience!$F$10)+W93*(Inputs!$B$14-ILP_C_HighResilience!$F$11)+X93*(Inputs!$B$15-ILP_C_HighResilience!$F$12)+Y93*(Inputs!$B$16-ILP_C_HighResilience!$F$13)</f>
        <v>25069.938359539989</v>
      </c>
      <c r="AK93" s="45">
        <f t="shared" ca="1" si="57"/>
        <v>5468.4793659336301</v>
      </c>
      <c r="AL93" s="45">
        <f t="shared" ca="1" si="58"/>
        <v>0</v>
      </c>
      <c r="AM93" s="45">
        <f t="shared" ca="1" si="59"/>
        <v>0</v>
      </c>
      <c r="AN93" s="45">
        <f t="shared" ca="1" si="60"/>
        <v>0</v>
      </c>
      <c r="AO93" s="45">
        <f ca="1">MIN(AL93,Inputs!$B$36)</f>
        <v>0</v>
      </c>
      <c r="AP93" s="45">
        <f ca="1">MIN(AN93,Inputs!$B$36-AO93)</f>
        <v>0</v>
      </c>
      <c r="AQ93" s="45">
        <f ca="1">MIN(AM93,Inputs!$B$36-AO93-AP93)</f>
        <v>0</v>
      </c>
      <c r="AR93" s="45">
        <f t="shared" ca="1" si="61"/>
        <v>0</v>
      </c>
      <c r="AS93" s="45">
        <f t="shared" ca="1" si="62"/>
        <v>0</v>
      </c>
      <c r="AT93" s="45">
        <f t="shared" ca="1" si="63"/>
        <v>0</v>
      </c>
      <c r="AU93" s="45">
        <f t="shared" ca="1" si="64"/>
        <v>0</v>
      </c>
      <c r="AV93" s="46">
        <f ca="1">AU93*Inputs!$B$35</f>
        <v>0</v>
      </c>
      <c r="AW93" s="46">
        <f ca="1">AR93*Inputs!$C$6+AT93*Inputs!$C$7+AS93*Inputs!$C$8</f>
        <v>0</v>
      </c>
      <c r="AX93" s="46">
        <f t="shared" ca="1" si="65"/>
        <v>41825295.944911718</v>
      </c>
      <c r="AY93" s="46">
        <f ca="1">IF(J93&gt;1,($CD$4)*Inputs!$B$55*((Z93+AA93+AB93)/(SUM(ILP_C_HighResilience!$C$9:$E$13))),0)</f>
        <v>0</v>
      </c>
      <c r="AZ93" s="46">
        <f t="shared" ca="1" si="66"/>
        <v>0</v>
      </c>
      <c r="BA93" s="41">
        <f t="shared" ca="1" si="67"/>
        <v>0</v>
      </c>
      <c r="BB93" s="41">
        <f t="shared" ca="1" si="68"/>
        <v>1</v>
      </c>
      <c r="BC93" s="41">
        <f t="shared" ca="1" si="69"/>
        <v>1</v>
      </c>
      <c r="BD93" s="41">
        <f t="shared" ca="1" si="70"/>
        <v>1</v>
      </c>
    </row>
    <row r="94" spans="1:56" ht="15" customHeight="1" x14ac:dyDescent="0.3">
      <c r="A94" s="41">
        <v>87</v>
      </c>
      <c r="B94" s="42">
        <f t="shared" ca="1" si="52"/>
        <v>0.55275342152611306</v>
      </c>
      <c r="C94" s="43">
        <f ca="1">IF(B94&lt;=Inputs!$C$40,Inputs!$D$40,IF(B94&lt;=Inputs!$C$41,Inputs!$D$41,Inputs!$D$42))</f>
        <v>1</v>
      </c>
      <c r="D94" s="42">
        <f t="shared" ca="1" si="73"/>
        <v>0.61116916900387663</v>
      </c>
      <c r="E94" s="42">
        <f t="shared" ca="1" si="73"/>
        <v>0.85797983895333685</v>
      </c>
      <c r="F94" s="42">
        <f t="shared" ca="1" si="73"/>
        <v>0.21354290276584864</v>
      </c>
      <c r="G94" s="42">
        <f t="shared" ca="1" si="73"/>
        <v>0.42356598898176301</v>
      </c>
      <c r="H94" s="42">
        <f t="shared" ca="1" si="73"/>
        <v>0.91040890578101208</v>
      </c>
      <c r="I94" s="42">
        <f t="shared" ca="1" si="73"/>
        <v>0.81152312726460385</v>
      </c>
      <c r="J94" s="43">
        <f ca="1">IF(I94&lt;Inputs!$B$54,1+Inputs!$B$55,1)</f>
        <v>1</v>
      </c>
      <c r="K94" s="42">
        <f t="shared" ca="1" si="74"/>
        <v>0.79176583993883687</v>
      </c>
      <c r="L94" s="42">
        <f t="shared" ca="1" si="74"/>
        <v>0.18132664939375254</v>
      </c>
      <c r="M94" s="42">
        <f t="shared" ca="1" si="74"/>
        <v>0.46558073789633148</v>
      </c>
      <c r="N94" s="42">
        <f t="shared" ca="1" si="74"/>
        <v>0.10453856150914442</v>
      </c>
      <c r="O94" s="42">
        <f t="shared" ca="1" si="74"/>
        <v>0.22999160905947236</v>
      </c>
      <c r="P94" s="42">
        <f t="shared" ca="1" si="74"/>
        <v>0.46191456051210023</v>
      </c>
      <c r="Q94" s="42">
        <f t="shared" ca="1" si="74"/>
        <v>0.73318001449177261</v>
      </c>
      <c r="R94" s="42">
        <f t="shared" ca="1" si="74"/>
        <v>0.26207031331197161</v>
      </c>
      <c r="S94" s="42">
        <f t="shared" ca="1" si="74"/>
        <v>0.96029173769429887</v>
      </c>
      <c r="T94" s="42">
        <f t="shared" ca="1" si="74"/>
        <v>0.84039945194981103</v>
      </c>
      <c r="U94" s="44">
        <f ca="1">(IF(D94&gt;=Inputs!$E$12,1,IF(K94&lt;=Inputs!$C$46,Inputs!$D$46,IF(K94&lt;=Inputs!$C$47,Inputs!$D$47,Inputs!$D$48))))*((Inputs!$B$28+(P94-0.5)*2*Inputs!$B$53)/Inputs!$B$28)</f>
        <v>0.9996145198432399</v>
      </c>
      <c r="V94" s="44">
        <f ca="1">(IF(E94&gt;=Inputs!$E$13,1,IF(L94&lt;=Inputs!$C$46,Inputs!$D$46,IF(L94&lt;=Inputs!$C$47,Inputs!$D$47,Inputs!$D$48))))*((Inputs!$B$29+(Q94-0.5)*2*Inputs!$B$53)/Inputs!$B$29)</f>
        <v>1.0023506049847961</v>
      </c>
      <c r="W94" s="44">
        <f ca="1">(IF(F94&gt;=Inputs!$E$14,1,IF(M94&lt;=Inputs!$C$46,Inputs!$D$46,IF(M94&lt;=Inputs!$C$47,Inputs!$D$47,Inputs!$D$48))))*((Inputs!$B$30+(R94-0.5)*2*Inputs!$B$53)/Inputs!$B$30)</f>
        <v>0.99760874686745693</v>
      </c>
      <c r="X94" s="44">
        <f ca="1">(IF(G94&gt;=Inputs!$E$15,1,IF(N94&lt;=Inputs!$C$46,Inputs!$D$46,IF(N94&lt;=Inputs!$C$47,Inputs!$D$47,Inputs!$D$48))))*((Inputs!$B$31+(S94-0.5)*2*Inputs!$B$53)/Inputs!$B$31)</f>
        <v>1.0046730125654244</v>
      </c>
      <c r="Y94" s="44">
        <f ca="1">(IF(H94&gt;=Inputs!$E$16,1,IF(O94&lt;=Inputs!$C$46,Inputs!$D$46,IF(O94&lt;=Inputs!$C$47,Inputs!$D$47,Inputs!$D$48))))*((Inputs!$B$32+(T94-0.5)*2*Inputs!$B$53)/Inputs!$B$32)</f>
        <v>1.0034245417701189</v>
      </c>
      <c r="Z94" s="45">
        <f ca="1">ILP_C_HighResilience!$C$9*U94+ILP_C_HighResilience!$C$10*V94+ILP_C_HighResilience!$C$11*W94+ILP_C_HighResilience!$C$12*X94+ILP_C_HighResilience!$C$13*Y94</f>
        <v>18039.332411287651</v>
      </c>
      <c r="AA94" s="45">
        <f ca="1">ILP_C_HighResilience!$D$9*U94+ILP_C_HighResilience!$D$10*V94+ILP_C_HighResilience!$D$11*W94+ILP_C_HighResilience!$D$12*X94+ILP_C_HighResilience!$D$13*Y94</f>
        <v>15025.219259240497</v>
      </c>
      <c r="AB94" s="45">
        <f ca="1">ILP_C_HighResilience!$E$9*U94+ILP_C_HighResilience!$E$10*V94+ILP_C_HighResilience!$E$11*W94+ILP_C_HighResilience!$E$12*X94+ILP_C_HighResilience!$E$13*Y94</f>
        <v>12001.265760300394</v>
      </c>
      <c r="AC94" s="45">
        <f ca="1">Inputs!$B$6*$C94</f>
        <v>18000</v>
      </c>
      <c r="AD94" s="45">
        <f ca="1">Inputs!$B$7*$C94</f>
        <v>15000</v>
      </c>
      <c r="AE94" s="45">
        <f ca="1">Inputs!$B$8*$C94</f>
        <v>12000</v>
      </c>
      <c r="AF94" s="45">
        <f t="shared" ca="1" si="53"/>
        <v>0</v>
      </c>
      <c r="AG94" s="45">
        <f t="shared" ca="1" si="54"/>
        <v>0</v>
      </c>
      <c r="AH94" s="45">
        <f t="shared" ca="1" si="55"/>
        <v>0</v>
      </c>
      <c r="AI94" s="45">
        <f t="shared" ca="1" si="56"/>
        <v>0</v>
      </c>
      <c r="AJ94" s="45">
        <f ca="1">U94*(Inputs!$B$12-ILP_C_HighResilience!$F$9)+V94*(Inputs!$B$13-ILP_C_HighResilience!$F$10)+W94*(Inputs!$B$14-ILP_C_HighResilience!$F$11)+X94*(Inputs!$B$15-ILP_C_HighResilience!$F$12)+Y94*(Inputs!$B$16-ILP_C_HighResilience!$F$13)</f>
        <v>25037.281343064256</v>
      </c>
      <c r="AK94" s="45">
        <f t="shared" ca="1" si="57"/>
        <v>0</v>
      </c>
      <c r="AL94" s="45">
        <f t="shared" ca="1" si="58"/>
        <v>0</v>
      </c>
      <c r="AM94" s="45">
        <f t="shared" ca="1" si="59"/>
        <v>0</v>
      </c>
      <c r="AN94" s="45">
        <f t="shared" ca="1" si="60"/>
        <v>0</v>
      </c>
      <c r="AO94" s="45">
        <f ca="1">MIN(AL94,Inputs!$B$36)</f>
        <v>0</v>
      </c>
      <c r="AP94" s="45">
        <f ca="1">MIN(AN94,Inputs!$B$36-AO94)</f>
        <v>0</v>
      </c>
      <c r="AQ94" s="45">
        <f ca="1">MIN(AM94,Inputs!$B$36-AO94-AP94)</f>
        <v>0</v>
      </c>
      <c r="AR94" s="45">
        <f t="shared" ca="1" si="61"/>
        <v>0</v>
      </c>
      <c r="AS94" s="45">
        <f t="shared" ca="1" si="62"/>
        <v>0</v>
      </c>
      <c r="AT94" s="45">
        <f t="shared" ca="1" si="63"/>
        <v>0</v>
      </c>
      <c r="AU94" s="45">
        <f t="shared" ca="1" si="64"/>
        <v>0</v>
      </c>
      <c r="AV94" s="46">
        <f ca="1">AU94*Inputs!$B$35</f>
        <v>0</v>
      </c>
      <c r="AW94" s="46">
        <f ca="1">AR94*Inputs!$C$6+AT94*Inputs!$C$7+AS94*Inputs!$C$8</f>
        <v>0</v>
      </c>
      <c r="AX94" s="46">
        <f t="shared" ca="1" si="65"/>
        <v>47701236.352307431</v>
      </c>
      <c r="AY94" s="46">
        <f ca="1">IF(J94&gt;1,($CD$4)*Inputs!$B$55*((Z94+AA94+AB94)/(SUM(ILP_C_HighResilience!$C$9:$E$13))),0)</f>
        <v>0</v>
      </c>
      <c r="AZ94" s="46">
        <f t="shared" ca="1" si="66"/>
        <v>0</v>
      </c>
      <c r="BA94" s="41">
        <f t="shared" ca="1" si="67"/>
        <v>0</v>
      </c>
      <c r="BB94" s="41">
        <f t="shared" ca="1" si="68"/>
        <v>1</v>
      </c>
      <c r="BC94" s="41">
        <f t="shared" ca="1" si="69"/>
        <v>1</v>
      </c>
      <c r="BD94" s="41">
        <f t="shared" ca="1" si="70"/>
        <v>1</v>
      </c>
    </row>
    <row r="95" spans="1:56" ht="15" customHeight="1" x14ac:dyDescent="0.3">
      <c r="A95" s="41">
        <v>88</v>
      </c>
      <c r="B95" s="42">
        <f t="shared" ca="1" si="52"/>
        <v>0.96595665210800707</v>
      </c>
      <c r="C95" s="43">
        <f ca="1">IF(B95&lt;=Inputs!$C$40,Inputs!$D$40,IF(B95&lt;=Inputs!$C$41,Inputs!$D$41,Inputs!$D$42))</f>
        <v>1.1499999999999999</v>
      </c>
      <c r="D95" s="42">
        <f t="shared" ca="1" si="73"/>
        <v>2.641811489261614E-2</v>
      </c>
      <c r="E95" s="42">
        <f t="shared" ca="1" si="73"/>
        <v>0.75991123617425949</v>
      </c>
      <c r="F95" s="42">
        <f t="shared" ca="1" si="73"/>
        <v>0.11707294693557202</v>
      </c>
      <c r="G95" s="42">
        <f t="shared" ca="1" si="73"/>
        <v>0.66706295836449059</v>
      </c>
      <c r="H95" s="42">
        <f t="shared" ca="1" si="73"/>
        <v>0.9411657091354213</v>
      </c>
      <c r="I95" s="42">
        <f t="shared" ca="1" si="73"/>
        <v>0.86888103657402982</v>
      </c>
      <c r="J95" s="43">
        <f ca="1">IF(I95&lt;Inputs!$B$54,1+Inputs!$B$55,1)</f>
        <v>1</v>
      </c>
      <c r="K95" s="42">
        <f t="shared" ca="1" si="74"/>
        <v>0.16062094283941464</v>
      </c>
      <c r="L95" s="42">
        <f t="shared" ca="1" si="74"/>
        <v>0.40605061697954226</v>
      </c>
      <c r="M95" s="42">
        <f t="shared" ca="1" si="74"/>
        <v>0.68800194169674955</v>
      </c>
      <c r="N95" s="42">
        <f t="shared" ca="1" si="74"/>
        <v>0.86652299956093648</v>
      </c>
      <c r="O95" s="42">
        <f t="shared" ca="1" si="74"/>
        <v>0.90338827806728728</v>
      </c>
      <c r="P95" s="42">
        <f t="shared" ca="1" si="74"/>
        <v>0.95914473176259019</v>
      </c>
      <c r="Q95" s="42">
        <f t="shared" ca="1" si="74"/>
        <v>0.121275242778625</v>
      </c>
      <c r="R95" s="42">
        <f t="shared" ca="1" si="74"/>
        <v>0.84872007080820633</v>
      </c>
      <c r="S95" s="42">
        <f t="shared" ca="1" si="74"/>
        <v>0.36992050825078671</v>
      </c>
      <c r="T95" s="42">
        <f t="shared" ca="1" si="74"/>
        <v>5.1004168282182683E-3</v>
      </c>
      <c r="U95" s="44">
        <f ca="1">(IF(D95&gt;=Inputs!$E$12,1,IF(K95&lt;=Inputs!$C$46,Inputs!$D$46,IF(K95&lt;=Inputs!$C$47,Inputs!$D$47,Inputs!$D$48))))*((Inputs!$B$28+(P95-0.5)*2*Inputs!$B$53)/Inputs!$B$28)</f>
        <v>0.60278832833054208</v>
      </c>
      <c r="V95" s="44">
        <f ca="1">(IF(E95&gt;=Inputs!$E$13,1,IF(L95&lt;=Inputs!$C$46,Inputs!$D$46,IF(L95&lt;=Inputs!$C$47,Inputs!$D$47,Inputs!$D$48))))*((Inputs!$B$29+(Q95-0.5)*2*Inputs!$B$53)/Inputs!$B$29)</f>
        <v>0.99618221010865549</v>
      </c>
      <c r="W95" s="44">
        <f ca="1">(IF(F95&gt;=Inputs!$E$14,1,IF(M95&lt;=Inputs!$C$46,Inputs!$D$46,IF(M95&lt;=Inputs!$C$47,Inputs!$D$47,Inputs!$D$48))))*((Inputs!$B$30+(R95-0.5)*2*Inputs!$B$53)/Inputs!$B$30)</f>
        <v>1.0035047243297308</v>
      </c>
      <c r="X95" s="44">
        <f ca="1">(IF(G95&gt;=Inputs!$E$15,1,IF(N95&lt;=Inputs!$C$46,Inputs!$D$46,IF(N95&lt;=Inputs!$C$47,Inputs!$D$47,Inputs!$D$48))))*((Inputs!$B$31+(S95-0.5)*2*Inputs!$B$53)/Inputs!$B$31)</f>
        <v>0.99867939602285061</v>
      </c>
      <c r="Y95" s="44">
        <f ca="1">(IF(H95&gt;=Inputs!$E$16,1,IF(O95&lt;=Inputs!$C$46,Inputs!$D$46,IF(O95&lt;=Inputs!$C$47,Inputs!$D$47,Inputs!$D$48))))*((Inputs!$B$32+(T95-0.5)*2*Inputs!$B$53)/Inputs!$B$32)</f>
        <v>0.99502113095400624</v>
      </c>
      <c r="Z95" s="45">
        <f ca="1">ILP_C_HighResilience!$C$9*U95+ILP_C_HighResilience!$C$10*V95+ILP_C_HighResilience!$C$11*W95+ILP_C_HighResilience!$C$12*X95+ILP_C_HighResilience!$C$13*Y95</f>
        <v>15116.823571735586</v>
      </c>
      <c r="AA95" s="45">
        <f ca="1">ILP_C_HighResilience!$D$9*U95+ILP_C_HighResilience!$D$10*V95+ILP_C_HighResilience!$D$11*W95+ILP_C_HighResilience!$D$12*X95+ILP_C_HighResilience!$D$13*Y95</f>
        <v>14986.342762841723</v>
      </c>
      <c r="AB95" s="45">
        <f ca="1">ILP_C_HighResilience!$E$9*U95+ILP_C_HighResilience!$E$10*V95+ILP_C_HighResilience!$E$11*W95+ILP_C_HighResilience!$E$12*X95+ILP_C_HighResilience!$E$13*Y95</f>
        <v>10087.219050180694</v>
      </c>
      <c r="AC95" s="45">
        <f ca="1">Inputs!$B$6*$C95</f>
        <v>20700</v>
      </c>
      <c r="AD95" s="45">
        <f ca="1">Inputs!$B$7*$C95</f>
        <v>17250</v>
      </c>
      <c r="AE95" s="45">
        <f ca="1">Inputs!$B$8*$C95</f>
        <v>13799.999999999998</v>
      </c>
      <c r="AF95" s="45">
        <f t="shared" ca="1" si="53"/>
        <v>5583.1764282644144</v>
      </c>
      <c r="AG95" s="45">
        <f t="shared" ca="1" si="54"/>
        <v>2263.657237158277</v>
      </c>
      <c r="AH95" s="45">
        <f t="shared" ca="1" si="55"/>
        <v>3712.7809498193037</v>
      </c>
      <c r="AI95" s="45">
        <f t="shared" ca="1" si="56"/>
        <v>11559.614615241995</v>
      </c>
      <c r="AJ95" s="45">
        <f ca="1">U95*(Inputs!$B$12-ILP_C_HighResilience!$F$9)+V95*(Inputs!$B$13-ILP_C_HighResilience!$F$10)+W95*(Inputs!$B$14-ILP_C_HighResilience!$F$11)+X95*(Inputs!$B$15-ILP_C_HighResilience!$F$12)+Y95*(Inputs!$B$16-ILP_C_HighResilience!$F$13)</f>
        <v>23355.809942922649</v>
      </c>
      <c r="AK95" s="45">
        <f t="shared" ca="1" si="57"/>
        <v>11559.614615241995</v>
      </c>
      <c r="AL95" s="45">
        <f t="shared" ca="1" si="58"/>
        <v>0</v>
      </c>
      <c r="AM95" s="45">
        <f t="shared" ca="1" si="59"/>
        <v>0</v>
      </c>
      <c r="AN95" s="45">
        <f t="shared" ca="1" si="60"/>
        <v>0</v>
      </c>
      <c r="AO95" s="45">
        <f ca="1">MIN(AL95,Inputs!$B$36)</f>
        <v>0</v>
      </c>
      <c r="AP95" s="45">
        <f ca="1">MIN(AN95,Inputs!$B$36-AO95)</f>
        <v>0</v>
      </c>
      <c r="AQ95" s="45">
        <f ca="1">MIN(AM95,Inputs!$B$36-AO95-AP95)</f>
        <v>0</v>
      </c>
      <c r="AR95" s="45">
        <f t="shared" ca="1" si="61"/>
        <v>0</v>
      </c>
      <c r="AS95" s="45">
        <f t="shared" ca="1" si="62"/>
        <v>0</v>
      </c>
      <c r="AT95" s="45">
        <f t="shared" ca="1" si="63"/>
        <v>0</v>
      </c>
      <c r="AU95" s="45">
        <f t="shared" ca="1" si="64"/>
        <v>0</v>
      </c>
      <c r="AV95" s="46">
        <f ca="1">AU95*Inputs!$B$35</f>
        <v>0</v>
      </c>
      <c r="AW95" s="46">
        <f ca="1">AR95*Inputs!$C$6+AT95*Inputs!$C$7+AS95*Inputs!$C$8</f>
        <v>0</v>
      </c>
      <c r="AX95" s="46">
        <f t="shared" ca="1" si="65"/>
        <v>42525051.085041299</v>
      </c>
      <c r="AY95" s="46">
        <f ca="1">IF(J95&gt;1,($CD$4)*Inputs!$B$55*((Z95+AA95+AB95)/(SUM(ILP_C_HighResilience!$C$9:$E$13))),0)</f>
        <v>0</v>
      </c>
      <c r="AZ95" s="46">
        <f t="shared" ca="1" si="66"/>
        <v>0</v>
      </c>
      <c r="BA95" s="41">
        <f t="shared" ca="1" si="67"/>
        <v>0</v>
      </c>
      <c r="BB95" s="41">
        <f t="shared" ca="1" si="68"/>
        <v>1</v>
      </c>
      <c r="BC95" s="41">
        <f t="shared" ca="1" si="69"/>
        <v>1</v>
      </c>
      <c r="BD95" s="41">
        <f t="shared" ca="1" si="70"/>
        <v>1</v>
      </c>
    </row>
    <row r="96" spans="1:56" ht="15" customHeight="1" x14ac:dyDescent="0.3">
      <c r="A96" s="41">
        <v>89</v>
      </c>
      <c r="B96" s="42">
        <f t="shared" ca="1" si="52"/>
        <v>0.65859508977768877</v>
      </c>
      <c r="C96" s="43">
        <f ca="1">IF(B96&lt;=Inputs!$C$40,Inputs!$D$40,IF(B96&lt;=Inputs!$C$41,Inputs!$D$41,Inputs!$D$42))</f>
        <v>1</v>
      </c>
      <c r="D96" s="42">
        <f t="shared" ca="1" si="73"/>
        <v>0.57967567504016648</v>
      </c>
      <c r="E96" s="42">
        <f t="shared" ca="1" si="73"/>
        <v>0.66572167234229895</v>
      </c>
      <c r="F96" s="42">
        <f t="shared" ca="1" si="73"/>
        <v>0.20508038712307353</v>
      </c>
      <c r="G96" s="42">
        <f t="shared" ca="1" si="73"/>
        <v>0.58670692134517954</v>
      </c>
      <c r="H96" s="42">
        <f t="shared" ca="1" si="73"/>
        <v>0.15417017099492891</v>
      </c>
      <c r="I96" s="42">
        <f t="shared" ca="1" si="73"/>
        <v>0.93896762298886038</v>
      </c>
      <c r="J96" s="43">
        <f ca="1">IF(I96&lt;Inputs!$B$54,1+Inputs!$B$55,1)</f>
        <v>1</v>
      </c>
      <c r="K96" s="42">
        <f t="shared" ca="1" si="74"/>
        <v>0.94576377841772596</v>
      </c>
      <c r="L96" s="42">
        <f t="shared" ca="1" si="74"/>
        <v>0.30858259063125093</v>
      </c>
      <c r="M96" s="42">
        <f t="shared" ca="1" si="74"/>
        <v>0.73593369231803274</v>
      </c>
      <c r="N96" s="42">
        <f t="shared" ca="1" si="74"/>
        <v>0.62981787556476054</v>
      </c>
      <c r="O96" s="42">
        <f t="shared" ca="1" si="74"/>
        <v>0.36917030709562537</v>
      </c>
      <c r="P96" s="42">
        <f t="shared" ca="1" si="74"/>
        <v>0.61340117077088374</v>
      </c>
      <c r="Q96" s="42">
        <f t="shared" ca="1" si="74"/>
        <v>0.30029285289114349</v>
      </c>
      <c r="R96" s="42">
        <f t="shared" ca="1" si="74"/>
        <v>0.1039573698614944</v>
      </c>
      <c r="S96" s="42">
        <f t="shared" ca="1" si="74"/>
        <v>0.35947718371982929</v>
      </c>
      <c r="T96" s="42">
        <f t="shared" ca="1" si="74"/>
        <v>0.63690180712370015</v>
      </c>
      <c r="U96" s="44">
        <f ca="1">(IF(D96&gt;=Inputs!$E$12,1,IF(K96&lt;=Inputs!$C$46,Inputs!$D$46,IF(K96&lt;=Inputs!$C$47,Inputs!$D$47,Inputs!$D$48))))*((Inputs!$B$28+(P96-0.5)*2*Inputs!$B$53)/Inputs!$B$28)</f>
        <v>1.0011477851292601</v>
      </c>
      <c r="V96" s="44">
        <f ca="1">(IF(E96&gt;=Inputs!$E$13,1,IF(L96&lt;=Inputs!$C$46,Inputs!$D$46,IF(L96&lt;=Inputs!$C$47,Inputs!$D$47,Inputs!$D$48))))*((Inputs!$B$29+(Q96-0.5)*2*Inputs!$B$53)/Inputs!$B$29)</f>
        <v>0.99798682311382203</v>
      </c>
      <c r="W96" s="44">
        <f ca="1">(IF(F96&gt;=Inputs!$E$14,1,IF(M96&lt;=Inputs!$C$46,Inputs!$D$46,IF(M96&lt;=Inputs!$C$47,Inputs!$D$47,Inputs!$D$48))))*((Inputs!$B$30+(R96-0.5)*2*Inputs!$B$53)/Inputs!$B$30)</f>
        <v>0.99601967205890951</v>
      </c>
      <c r="X96" s="44">
        <f ca="1">(IF(G96&gt;=Inputs!$E$15,1,IF(N96&lt;=Inputs!$C$46,Inputs!$D$46,IF(N96&lt;=Inputs!$C$47,Inputs!$D$47,Inputs!$D$48))))*((Inputs!$B$31+(S96-0.5)*2*Inputs!$B$53)/Inputs!$B$31)</f>
        <v>0.99857337242355149</v>
      </c>
      <c r="Y96" s="44">
        <f ca="1">(IF(H96&gt;=Inputs!$E$16,1,IF(O96&lt;=Inputs!$C$46,Inputs!$D$46,IF(O96&lt;=Inputs!$C$47,Inputs!$D$47,Inputs!$D$48))))*((Inputs!$B$32+(T96-0.5)*2*Inputs!$B$53)/Inputs!$B$32)</f>
        <v>1.0013772817618078</v>
      </c>
      <c r="Z96" s="45">
        <f ca="1">ILP_C_HighResilience!$C$9*U96+ILP_C_HighResilience!$C$10*V96+ILP_C_HighResilience!$C$11*W96+ILP_C_HighResilience!$C$12*X96+ILP_C_HighResilience!$C$13*Y96</f>
        <v>17990.744897590004</v>
      </c>
      <c r="AA96" s="45">
        <f ca="1">ILP_C_HighResilience!$D$9*U96+ILP_C_HighResilience!$D$10*V96+ILP_C_HighResilience!$D$11*W96+ILP_C_HighResilience!$D$12*X96+ILP_C_HighResilience!$D$13*Y96</f>
        <v>14963.896082897765</v>
      </c>
      <c r="AB96" s="45">
        <f ca="1">ILP_C_HighResilience!$E$9*U96+ILP_C_HighResilience!$E$10*V96+ILP_C_HighResilience!$E$11*W96+ILP_C_HighResilience!$E$12*X96+ILP_C_HighResilience!$E$13*Y96</f>
        <v>11985.28615116806</v>
      </c>
      <c r="AC96" s="45">
        <f ca="1">Inputs!$B$6*$C96</f>
        <v>18000</v>
      </c>
      <c r="AD96" s="45">
        <f ca="1">Inputs!$B$7*$C96</f>
        <v>15000</v>
      </c>
      <c r="AE96" s="45">
        <f ca="1">Inputs!$B$8*$C96</f>
        <v>12000</v>
      </c>
      <c r="AF96" s="45">
        <f t="shared" ca="1" si="53"/>
        <v>9.2551024099957431</v>
      </c>
      <c r="AG96" s="45">
        <f t="shared" ca="1" si="54"/>
        <v>36.103917102234846</v>
      </c>
      <c r="AH96" s="45">
        <f t="shared" ca="1" si="55"/>
        <v>14.713848831939686</v>
      </c>
      <c r="AI96" s="45">
        <f t="shared" ca="1" si="56"/>
        <v>60.072868344170274</v>
      </c>
      <c r="AJ96" s="45">
        <f ca="1">U96*(Inputs!$B$12-ILP_C_HighResilience!$F$9)+V96*(Inputs!$B$13-ILP_C_HighResilience!$F$10)+W96*(Inputs!$B$14-ILP_C_HighResilience!$F$11)+X96*(Inputs!$B$15-ILP_C_HighResilience!$F$12)+Y96*(Inputs!$B$16-ILP_C_HighResilience!$F$13)</f>
        <v>25002.0483862814</v>
      </c>
      <c r="AK96" s="45">
        <f t="shared" ca="1" si="57"/>
        <v>60.072868344170274</v>
      </c>
      <c r="AL96" s="45">
        <f t="shared" ca="1" si="58"/>
        <v>0</v>
      </c>
      <c r="AM96" s="45">
        <f t="shared" ca="1" si="59"/>
        <v>0</v>
      </c>
      <c r="AN96" s="45">
        <f t="shared" ca="1" si="60"/>
        <v>0</v>
      </c>
      <c r="AO96" s="45">
        <f ca="1">MIN(AL96,Inputs!$B$36)</f>
        <v>0</v>
      </c>
      <c r="AP96" s="45">
        <f ca="1">MIN(AN96,Inputs!$B$36-AO96)</f>
        <v>0</v>
      </c>
      <c r="AQ96" s="45">
        <f ca="1">MIN(AM96,Inputs!$B$36-AO96-AP96)</f>
        <v>0</v>
      </c>
      <c r="AR96" s="45">
        <f t="shared" ca="1" si="61"/>
        <v>0</v>
      </c>
      <c r="AS96" s="45">
        <f t="shared" ca="1" si="62"/>
        <v>0</v>
      </c>
      <c r="AT96" s="45">
        <f t="shared" ca="1" si="63"/>
        <v>0</v>
      </c>
      <c r="AU96" s="45">
        <f t="shared" ca="1" si="64"/>
        <v>0</v>
      </c>
      <c r="AV96" s="46">
        <f ca="1">AU96*Inputs!$B$35</f>
        <v>0</v>
      </c>
      <c r="AW96" s="46">
        <f ca="1">AR96*Inputs!$C$6+AT96*Inputs!$C$7+AS96*Inputs!$C$8</f>
        <v>0</v>
      </c>
      <c r="AX96" s="46">
        <f t="shared" ca="1" si="65"/>
        <v>47568730.905676015</v>
      </c>
      <c r="AY96" s="46">
        <f ca="1">IF(J96&gt;1,($CD$4)*Inputs!$B$55*((Z96+AA96+AB96)/(SUM(ILP_C_HighResilience!$C$9:$E$13))),0)</f>
        <v>0</v>
      </c>
      <c r="AZ96" s="46">
        <f t="shared" ca="1" si="66"/>
        <v>0</v>
      </c>
      <c r="BA96" s="41">
        <f t="shared" ca="1" si="67"/>
        <v>0</v>
      </c>
      <c r="BB96" s="41">
        <f t="shared" ca="1" si="68"/>
        <v>1</v>
      </c>
      <c r="BC96" s="41">
        <f t="shared" ca="1" si="69"/>
        <v>1</v>
      </c>
      <c r="BD96" s="41">
        <f t="shared" ca="1" si="70"/>
        <v>1</v>
      </c>
    </row>
    <row r="97" spans="1:56" ht="15" customHeight="1" x14ac:dyDescent="0.3">
      <c r="A97" s="41">
        <v>90</v>
      </c>
      <c r="B97" s="42">
        <f t="shared" ca="1" si="52"/>
        <v>0.67813327270709245</v>
      </c>
      <c r="C97" s="43">
        <f ca="1">IF(B97&lt;=Inputs!$C$40,Inputs!$D$40,IF(B97&lt;=Inputs!$C$41,Inputs!$D$41,Inputs!$D$42))</f>
        <v>1</v>
      </c>
      <c r="D97" s="42">
        <f t="shared" ca="1" si="73"/>
        <v>0.14179193352106467</v>
      </c>
      <c r="E97" s="42">
        <f t="shared" ca="1" si="73"/>
        <v>0.16725141098977492</v>
      </c>
      <c r="F97" s="42">
        <f t="shared" ca="1" si="73"/>
        <v>0.50767804225965241</v>
      </c>
      <c r="G97" s="42">
        <f t="shared" ca="1" si="73"/>
        <v>2.6172310741180538E-2</v>
      </c>
      <c r="H97" s="42">
        <f t="shared" ca="1" si="73"/>
        <v>0.78800974736535578</v>
      </c>
      <c r="I97" s="42">
        <f t="shared" ca="1" si="73"/>
        <v>0.54310940391747564</v>
      </c>
      <c r="J97" s="43">
        <f ca="1">IF(I97&lt;Inputs!$B$54,1+Inputs!$B$55,1)</f>
        <v>1</v>
      </c>
      <c r="K97" s="42">
        <f t="shared" ca="1" si="74"/>
        <v>0.29567876461337439</v>
      </c>
      <c r="L97" s="42">
        <f t="shared" ca="1" si="74"/>
        <v>0.71396541633187371</v>
      </c>
      <c r="M97" s="42">
        <f t="shared" ca="1" si="74"/>
        <v>0.54352618074700421</v>
      </c>
      <c r="N97" s="42">
        <f t="shared" ca="1" si="74"/>
        <v>0.54809137548999487</v>
      </c>
      <c r="O97" s="42">
        <f t="shared" ca="1" si="74"/>
        <v>0.43926860266313095</v>
      </c>
      <c r="P97" s="42">
        <f t="shared" ca="1" si="74"/>
        <v>0.63036443100452</v>
      </c>
      <c r="Q97" s="42">
        <f t="shared" ca="1" si="74"/>
        <v>0.10590013752764182</v>
      </c>
      <c r="R97" s="42">
        <f t="shared" ca="1" si="74"/>
        <v>1.9605463992375061E-2</v>
      </c>
      <c r="S97" s="42">
        <f t="shared" ca="1" si="74"/>
        <v>0.78409274786422156</v>
      </c>
      <c r="T97" s="42">
        <f t="shared" ca="1" si="74"/>
        <v>0.16130951606332178</v>
      </c>
      <c r="U97" s="44">
        <f ca="1">(IF(D97&gt;=Inputs!$E$12,1,IF(K97&lt;=Inputs!$C$46,Inputs!$D$46,IF(K97&lt;=Inputs!$C$47,Inputs!$D$47,Inputs!$D$48))))*((Inputs!$B$28+(P97-0.5)*2*Inputs!$B$53)/Inputs!$B$28)</f>
        <v>1.0013194780466044</v>
      </c>
      <c r="V97" s="44">
        <f ca="1">(IF(E97&gt;=Inputs!$E$13,1,IF(L97&lt;=Inputs!$C$46,Inputs!$D$46,IF(L97&lt;=Inputs!$C$47,Inputs!$D$47,Inputs!$D$48))))*((Inputs!$B$29+(Q97-0.5)*2*Inputs!$B$53)/Inputs!$B$29)</f>
        <v>0.99602721912830283</v>
      </c>
      <c r="W97" s="44">
        <f ca="1">(IF(F97&gt;=Inputs!$E$14,1,IF(M97&lt;=Inputs!$C$46,Inputs!$D$46,IF(M97&lt;=Inputs!$C$47,Inputs!$D$47,Inputs!$D$48))))*((Inputs!$B$30+(R97-0.5)*2*Inputs!$B$53)/Inputs!$B$30)</f>
        <v>0.99517191421097873</v>
      </c>
      <c r="X97" s="44">
        <f ca="1">(IF(G97&gt;=Inputs!$E$15,1,IF(N97&lt;=Inputs!$C$46,Inputs!$D$46,IF(N97&lt;=Inputs!$C$47,Inputs!$D$47,Inputs!$D$48))))*((Inputs!$B$31+(S97-0.5)*2*Inputs!$B$53)/Inputs!$B$31)</f>
        <v>0.3008652571000941</v>
      </c>
      <c r="Y97" s="44">
        <f ca="1">(IF(H97&gt;=Inputs!$E$16,1,IF(O97&lt;=Inputs!$C$46,Inputs!$D$46,IF(O97&lt;=Inputs!$C$47,Inputs!$D$47,Inputs!$D$48))))*((Inputs!$B$32+(T97-0.5)*2*Inputs!$B$53)/Inputs!$B$32)</f>
        <v>0.99659265106703543</v>
      </c>
      <c r="Z97" s="45">
        <f ca="1">ILP_C_HighResilience!$C$9*U97+ILP_C_HighResilience!$C$10*V97+ILP_C_HighResilience!$C$11*W97+ILP_C_HighResilience!$C$12*X97+ILP_C_HighResilience!$C$13*Y97</f>
        <v>12961.428081918119</v>
      </c>
      <c r="AA97" s="45">
        <f ca="1">ILP_C_HighResilience!$D$9*U97+ILP_C_HighResilience!$D$10*V97+ILP_C_HighResilience!$D$11*W97+ILP_C_HighResilience!$D$12*X97+ILP_C_HighResilience!$D$13*Y97</f>
        <v>11725.013786816338</v>
      </c>
      <c r="AB97" s="45">
        <f ca="1">ILP_C_HighResilience!$E$9*U97+ILP_C_HighResilience!$E$10*V97+ILP_C_HighResilience!$E$11*W97+ILP_C_HighResilience!$E$12*X97+ILP_C_HighResilience!$E$13*Y97</f>
        <v>11975.238824428234</v>
      </c>
      <c r="AC97" s="45">
        <f ca="1">Inputs!$B$6*$C97</f>
        <v>18000</v>
      </c>
      <c r="AD97" s="45">
        <f ca="1">Inputs!$B$7*$C97</f>
        <v>15000</v>
      </c>
      <c r="AE97" s="45">
        <f ca="1">Inputs!$B$8*$C97</f>
        <v>12000</v>
      </c>
      <c r="AF97" s="45">
        <f t="shared" ca="1" si="53"/>
        <v>5038.5719180818814</v>
      </c>
      <c r="AG97" s="45">
        <f t="shared" ca="1" si="54"/>
        <v>3274.9862131836617</v>
      </c>
      <c r="AH97" s="45">
        <f t="shared" ca="1" si="55"/>
        <v>24.761175571766216</v>
      </c>
      <c r="AI97" s="45">
        <f t="shared" ca="1" si="56"/>
        <v>8338.3193068373093</v>
      </c>
      <c r="AJ97" s="45">
        <f ca="1">U97*(Inputs!$B$12-ILP_C_HighResilience!$F$9)+V97*(Inputs!$B$13-ILP_C_HighResilience!$F$10)+W97*(Inputs!$B$14-ILP_C_HighResilience!$F$11)+X97*(Inputs!$B$15-ILP_C_HighResilience!$F$12)+Y97*(Inputs!$B$16-ILP_C_HighResilience!$F$13)</f>
        <v>24800.319759328602</v>
      </c>
      <c r="AK97" s="45">
        <f t="shared" ca="1" si="57"/>
        <v>8338.3193068373093</v>
      </c>
      <c r="AL97" s="45">
        <f t="shared" ca="1" si="58"/>
        <v>0</v>
      </c>
      <c r="AM97" s="45">
        <f t="shared" ca="1" si="59"/>
        <v>0</v>
      </c>
      <c r="AN97" s="45">
        <f t="shared" ca="1" si="60"/>
        <v>0</v>
      </c>
      <c r="AO97" s="45">
        <f ca="1">MIN(AL97,Inputs!$B$36)</f>
        <v>0</v>
      </c>
      <c r="AP97" s="45">
        <f ca="1">MIN(AN97,Inputs!$B$36-AO97)</f>
        <v>0</v>
      </c>
      <c r="AQ97" s="45">
        <f ca="1">MIN(AM97,Inputs!$B$36-AO97-AP97)</f>
        <v>0</v>
      </c>
      <c r="AR97" s="45">
        <f t="shared" ca="1" si="61"/>
        <v>0</v>
      </c>
      <c r="AS97" s="45">
        <f t="shared" ca="1" si="62"/>
        <v>0</v>
      </c>
      <c r="AT97" s="45">
        <f t="shared" ca="1" si="63"/>
        <v>0</v>
      </c>
      <c r="AU97" s="45">
        <f t="shared" ca="1" si="64"/>
        <v>0</v>
      </c>
      <c r="AV97" s="46">
        <f ca="1">AU97*Inputs!$B$35</f>
        <v>0</v>
      </c>
      <c r="AW97" s="46">
        <f ca="1">AR97*Inputs!$C$6+AT97*Inputs!$C$7+AS97*Inputs!$C$8</f>
        <v>0</v>
      </c>
      <c r="AX97" s="46">
        <f t="shared" ca="1" si="65"/>
        <v>38922387.987885773</v>
      </c>
      <c r="AY97" s="46">
        <f ca="1">IF(J97&gt;1,($CD$4)*Inputs!$B$55*((Z97+AA97+AB97)/(SUM(ILP_C_HighResilience!$C$9:$E$13))),0)</f>
        <v>0</v>
      </c>
      <c r="AZ97" s="46">
        <f t="shared" ca="1" si="66"/>
        <v>0</v>
      </c>
      <c r="BA97" s="41">
        <f t="shared" ca="1" si="67"/>
        <v>0</v>
      </c>
      <c r="BB97" s="41">
        <f t="shared" ca="1" si="68"/>
        <v>1</v>
      </c>
      <c r="BC97" s="41">
        <f t="shared" ca="1" si="69"/>
        <v>1</v>
      </c>
      <c r="BD97" s="41">
        <f t="shared" ca="1" si="70"/>
        <v>1</v>
      </c>
    </row>
    <row r="98" spans="1:56" ht="15" customHeight="1" x14ac:dyDescent="0.3">
      <c r="A98" s="41">
        <v>91</v>
      </c>
      <c r="B98" s="42">
        <f t="shared" ca="1" si="52"/>
        <v>0.39007280671396605</v>
      </c>
      <c r="C98" s="43">
        <f ca="1">IF(B98&lt;=Inputs!$C$40,Inputs!$D$40,IF(B98&lt;=Inputs!$C$41,Inputs!$D$41,Inputs!$D$42))</f>
        <v>1</v>
      </c>
      <c r="D98" s="42">
        <f t="shared" ref="D98:I107" ca="1" si="75">RAND()</f>
        <v>0.26782679076254867</v>
      </c>
      <c r="E98" s="42">
        <f t="shared" ca="1" si="75"/>
        <v>0.88858593283503196</v>
      </c>
      <c r="F98" s="42">
        <f t="shared" ca="1" si="75"/>
        <v>0.91200314630914281</v>
      </c>
      <c r="G98" s="42">
        <f t="shared" ca="1" si="75"/>
        <v>0.24595957778448718</v>
      </c>
      <c r="H98" s="42">
        <f t="shared" ca="1" si="75"/>
        <v>0.62877371720418096</v>
      </c>
      <c r="I98" s="42">
        <f t="shared" ca="1" si="75"/>
        <v>0.79075466625439361</v>
      </c>
      <c r="J98" s="43">
        <f ca="1">IF(I98&lt;Inputs!$B$54,1+Inputs!$B$55,1)</f>
        <v>1</v>
      </c>
      <c r="K98" s="42">
        <f t="shared" ref="K98:T107" ca="1" si="76">RAND()</f>
        <v>0.9400968716554966</v>
      </c>
      <c r="L98" s="42">
        <f t="shared" ca="1" si="76"/>
        <v>0.13718501050659015</v>
      </c>
      <c r="M98" s="42">
        <f t="shared" ca="1" si="76"/>
        <v>0.23526949084719562</v>
      </c>
      <c r="N98" s="42">
        <f t="shared" ca="1" si="76"/>
        <v>0.13491071647136477</v>
      </c>
      <c r="O98" s="42">
        <f t="shared" ca="1" si="76"/>
        <v>6.954226782712114E-2</v>
      </c>
      <c r="P98" s="42">
        <f t="shared" ca="1" si="76"/>
        <v>0.85021534935415743</v>
      </c>
      <c r="Q98" s="42">
        <f t="shared" ca="1" si="76"/>
        <v>0.30868389021533604</v>
      </c>
      <c r="R98" s="42">
        <f t="shared" ca="1" si="76"/>
        <v>0.28778254602599229</v>
      </c>
      <c r="S98" s="42">
        <f t="shared" ca="1" si="76"/>
        <v>0.77032484902723164</v>
      </c>
      <c r="T98" s="42">
        <f t="shared" ca="1" si="76"/>
        <v>0.78616009275421461</v>
      </c>
      <c r="U98" s="44">
        <f ca="1">(IF(D98&gt;=Inputs!$E$12,1,IF(K98&lt;=Inputs!$C$46,Inputs!$D$46,IF(K98&lt;=Inputs!$C$47,Inputs!$D$47,Inputs!$D$48))))*((Inputs!$B$28+(P98-0.5)*2*Inputs!$B$53)/Inputs!$B$28)</f>
        <v>1.0035446897707911</v>
      </c>
      <c r="V98" s="44">
        <f ca="1">(IF(E98&gt;=Inputs!$E$13,1,IF(L98&lt;=Inputs!$C$46,Inputs!$D$46,IF(L98&lt;=Inputs!$C$47,Inputs!$D$47,Inputs!$D$48))))*((Inputs!$B$29+(Q98-0.5)*2*Inputs!$B$53)/Inputs!$B$29)</f>
        <v>0.99807141018362233</v>
      </c>
      <c r="W98" s="44">
        <f ca="1">(IF(F98&gt;=Inputs!$E$14,1,IF(M98&lt;=Inputs!$C$46,Inputs!$D$46,IF(M98&lt;=Inputs!$C$47,Inputs!$D$47,Inputs!$D$48))))*((Inputs!$B$30+(R98-0.5)*2*Inputs!$B$53)/Inputs!$B$30)</f>
        <v>0.99786716126659292</v>
      </c>
      <c r="X98" s="44">
        <f ca="1">(IF(G98&gt;=Inputs!$E$15,1,IF(N98&lt;=Inputs!$C$46,Inputs!$D$46,IF(N98&lt;=Inputs!$C$47,Inputs!$D$47,Inputs!$D$48))))*((Inputs!$B$31+(S98-0.5)*2*Inputs!$B$53)/Inputs!$B$31)</f>
        <v>1.0027444147109363</v>
      </c>
      <c r="Y98" s="44">
        <f ca="1">(IF(H98&gt;=Inputs!$E$16,1,IF(O98&lt;=Inputs!$C$46,Inputs!$D$46,IF(O98&lt;=Inputs!$C$47,Inputs!$D$47,Inputs!$D$48))))*((Inputs!$B$32+(T98-0.5)*2*Inputs!$B$53)/Inputs!$B$32)</f>
        <v>1.0028788741725776</v>
      </c>
      <c r="Z98" s="45">
        <f ca="1">ILP_C_HighResilience!$C$9*U98+ILP_C_HighResilience!$C$10*V98+ILP_C_HighResilience!$C$11*W98+ILP_C_HighResilience!$C$12*X98+ILP_C_HighResilience!$C$13*Y98</f>
        <v>18038.338628929479</v>
      </c>
      <c r="AA98" s="45">
        <f ca="1">ILP_C_HighResilience!$D$9*U98+ILP_C_HighResilience!$D$10*V98+ILP_C_HighResilience!$D$11*W98+ILP_C_HighResilience!$D$12*X98+ILP_C_HighResilience!$D$13*Y98</f>
        <v>14991.765823413938</v>
      </c>
      <c r="AB98" s="45">
        <f ca="1">ILP_C_HighResilience!$E$9*U98+ILP_C_HighResilience!$E$10*V98+ILP_C_HighResilience!$E$11*W98+ILP_C_HighResilience!$E$12*X98+ILP_C_HighResilience!$E$13*Y98</f>
        <v>12002.533891375489</v>
      </c>
      <c r="AC98" s="45">
        <f ca="1">Inputs!$B$6*$C98</f>
        <v>18000</v>
      </c>
      <c r="AD98" s="45">
        <f ca="1">Inputs!$B$7*$C98</f>
        <v>15000</v>
      </c>
      <c r="AE98" s="45">
        <f ca="1">Inputs!$B$8*$C98</f>
        <v>12000</v>
      </c>
      <c r="AF98" s="45">
        <f t="shared" ca="1" si="53"/>
        <v>0</v>
      </c>
      <c r="AG98" s="45">
        <f t="shared" ca="1" si="54"/>
        <v>8.2341765860619489</v>
      </c>
      <c r="AH98" s="45">
        <f t="shared" ca="1" si="55"/>
        <v>0</v>
      </c>
      <c r="AI98" s="45">
        <f t="shared" ca="1" si="56"/>
        <v>8.2341765860619489</v>
      </c>
      <c r="AJ98" s="45">
        <f ca="1">U98*(Inputs!$B$12-ILP_C_HighResilience!$F$9)+V98*(Inputs!$B$13-ILP_C_HighResilience!$F$10)+W98*(Inputs!$B$14-ILP_C_HighResilience!$F$11)+X98*(Inputs!$B$15-ILP_C_HighResilience!$F$12)+Y98*(Inputs!$B$16-ILP_C_HighResilience!$F$13)</f>
        <v>25045.465620770075</v>
      </c>
      <c r="AK98" s="45">
        <f t="shared" ca="1" si="57"/>
        <v>8.2341765860619489</v>
      </c>
      <c r="AL98" s="45">
        <f t="shared" ca="1" si="58"/>
        <v>0</v>
      </c>
      <c r="AM98" s="45">
        <f t="shared" ca="1" si="59"/>
        <v>0</v>
      </c>
      <c r="AN98" s="45">
        <f t="shared" ca="1" si="60"/>
        <v>0</v>
      </c>
      <c r="AO98" s="45">
        <f ca="1">MIN(AL98,Inputs!$B$36)</f>
        <v>0</v>
      </c>
      <c r="AP98" s="45">
        <f ca="1">MIN(AN98,Inputs!$B$36-AO98)</f>
        <v>0</v>
      </c>
      <c r="AQ98" s="45">
        <f ca="1">MIN(AM98,Inputs!$B$36-AO98-AP98)</f>
        <v>0</v>
      </c>
      <c r="AR98" s="45">
        <f t="shared" ca="1" si="61"/>
        <v>0</v>
      </c>
      <c r="AS98" s="45">
        <f t="shared" ca="1" si="62"/>
        <v>0</v>
      </c>
      <c r="AT98" s="45">
        <f t="shared" ca="1" si="63"/>
        <v>0</v>
      </c>
      <c r="AU98" s="45">
        <f t="shared" ca="1" si="64"/>
        <v>0</v>
      </c>
      <c r="AV98" s="46">
        <f ca="1">AU98*Inputs!$B$35</f>
        <v>0</v>
      </c>
      <c r="AW98" s="46">
        <f ca="1">AR98*Inputs!$C$6+AT98*Inputs!$C$7+AS98*Inputs!$C$8</f>
        <v>0</v>
      </c>
      <c r="AX98" s="46">
        <f t="shared" ca="1" si="65"/>
        <v>47666416.102642015</v>
      </c>
      <c r="AY98" s="46">
        <f ca="1">IF(J98&gt;1,($CD$4)*Inputs!$B$55*((Z98+AA98+AB98)/(SUM(ILP_C_HighResilience!$C$9:$E$13))),0)</f>
        <v>0</v>
      </c>
      <c r="AZ98" s="46">
        <f t="shared" ca="1" si="66"/>
        <v>0</v>
      </c>
      <c r="BA98" s="41">
        <f t="shared" ca="1" si="67"/>
        <v>0</v>
      </c>
      <c r="BB98" s="41">
        <f t="shared" ca="1" si="68"/>
        <v>1</v>
      </c>
      <c r="BC98" s="41">
        <f t="shared" ca="1" si="69"/>
        <v>1</v>
      </c>
      <c r="BD98" s="41">
        <f t="shared" ca="1" si="70"/>
        <v>1</v>
      </c>
    </row>
    <row r="99" spans="1:56" ht="15" customHeight="1" x14ac:dyDescent="0.3">
      <c r="A99" s="41">
        <v>92</v>
      </c>
      <c r="B99" s="42">
        <f t="shared" ca="1" si="52"/>
        <v>0.59369686010690181</v>
      </c>
      <c r="C99" s="43">
        <f ca="1">IF(B99&lt;=Inputs!$C$40,Inputs!$D$40,IF(B99&lt;=Inputs!$C$41,Inputs!$D$41,Inputs!$D$42))</f>
        <v>1</v>
      </c>
      <c r="D99" s="42">
        <f t="shared" ca="1" si="75"/>
        <v>0.10979955438230793</v>
      </c>
      <c r="E99" s="42">
        <f t="shared" ca="1" si="75"/>
        <v>0.52080759815286271</v>
      </c>
      <c r="F99" s="42">
        <f t="shared" ca="1" si="75"/>
        <v>0.66002068807246594</v>
      </c>
      <c r="G99" s="42">
        <f t="shared" ca="1" si="75"/>
        <v>0.45119898999463182</v>
      </c>
      <c r="H99" s="42">
        <f t="shared" ca="1" si="75"/>
        <v>0.95494837252940279</v>
      </c>
      <c r="I99" s="42">
        <f t="shared" ca="1" si="75"/>
        <v>0.16406791391717956</v>
      </c>
      <c r="J99" s="43">
        <f ca="1">IF(I99&lt;Inputs!$B$54,1+Inputs!$B$55,1)</f>
        <v>1</v>
      </c>
      <c r="K99" s="42">
        <f t="shared" ca="1" si="76"/>
        <v>0.58268640020287843</v>
      </c>
      <c r="L99" s="42">
        <f t="shared" ca="1" si="76"/>
        <v>1.7753837881599566E-2</v>
      </c>
      <c r="M99" s="42">
        <f t="shared" ca="1" si="76"/>
        <v>0.52846418330568923</v>
      </c>
      <c r="N99" s="42">
        <f t="shared" ca="1" si="76"/>
        <v>7.6454483604109225E-3</v>
      </c>
      <c r="O99" s="42">
        <f t="shared" ca="1" si="76"/>
        <v>0.96522489215617735</v>
      </c>
      <c r="P99" s="42">
        <f t="shared" ca="1" si="76"/>
        <v>0.29379800312386473</v>
      </c>
      <c r="Q99" s="42">
        <f t="shared" ca="1" si="76"/>
        <v>0.49299336315422049</v>
      </c>
      <c r="R99" s="42">
        <f t="shared" ca="1" si="76"/>
        <v>0.72597134991461365</v>
      </c>
      <c r="S99" s="42">
        <f t="shared" ca="1" si="76"/>
        <v>0.75949736990805905</v>
      </c>
      <c r="T99" s="42">
        <f t="shared" ca="1" si="76"/>
        <v>0.46962299174539146</v>
      </c>
      <c r="U99" s="44">
        <f ca="1">(IF(D99&gt;=Inputs!$E$12,1,IF(K99&lt;=Inputs!$C$46,Inputs!$D$46,IF(K99&lt;=Inputs!$C$47,Inputs!$D$47,Inputs!$D$48))))*((Inputs!$B$28+(P99-0.5)*2*Inputs!$B$53)/Inputs!$B$28)</f>
        <v>0.99791293525429015</v>
      </c>
      <c r="V99" s="44">
        <f ca="1">(IF(E99&gt;=Inputs!$E$13,1,IF(L99&lt;=Inputs!$C$46,Inputs!$D$46,IF(L99&lt;=Inputs!$C$47,Inputs!$D$47,Inputs!$D$48))))*((Inputs!$B$29+(Q99-0.5)*2*Inputs!$B$53)/Inputs!$B$29)</f>
        <v>0.99992936858018377</v>
      </c>
      <c r="W99" s="44">
        <f ca="1">(IF(F99&gt;=Inputs!$E$14,1,IF(M99&lt;=Inputs!$C$46,Inputs!$D$46,IF(M99&lt;=Inputs!$C$47,Inputs!$D$47,Inputs!$D$48))))*((Inputs!$B$30+(R99-0.5)*2*Inputs!$B$53)/Inputs!$B$30)</f>
        <v>1.0022710688433629</v>
      </c>
      <c r="X99" s="44">
        <f ca="1">(IF(G99&gt;=Inputs!$E$15,1,IF(N99&lt;=Inputs!$C$46,Inputs!$D$46,IF(N99&lt;=Inputs!$C$47,Inputs!$D$47,Inputs!$D$48))))*((Inputs!$B$31+(S99-0.5)*2*Inputs!$B$53)/Inputs!$B$31)</f>
        <v>1.0026344910650564</v>
      </c>
      <c r="Y99" s="44">
        <f ca="1">(IF(H99&gt;=Inputs!$E$16,1,IF(O99&lt;=Inputs!$C$46,Inputs!$D$46,IF(O99&lt;=Inputs!$C$47,Inputs!$D$47,Inputs!$D$48))))*((Inputs!$B$32+(T99-0.5)*2*Inputs!$B$53)/Inputs!$B$32)</f>
        <v>0.99969439629522527</v>
      </c>
      <c r="Z99" s="45">
        <f ca="1">ILP_C_HighResilience!$C$9*U99+ILP_C_HighResilience!$C$10*V99+ILP_C_HighResilience!$C$11*W99+ILP_C_HighResilience!$C$12*X99+ILP_C_HighResilience!$C$13*Y99</f>
        <v>18003.687196387957</v>
      </c>
      <c r="AA99" s="45">
        <f ca="1">ILP_C_HighResilience!$D$9*U99+ILP_C_HighResilience!$D$10*V99+ILP_C_HighResilience!$D$11*W99+ILP_C_HighResilience!$D$12*X99+ILP_C_HighResilience!$D$13*Y99</f>
        <v>15021.694841735592</v>
      </c>
      <c r="AB99" s="45">
        <f ca="1">ILP_C_HighResilience!$E$9*U99+ILP_C_HighResilience!$E$10*V99+ILP_C_HighResilience!$E$11*W99+ILP_C_HighResilience!$E$12*X99+ILP_C_HighResilience!$E$13*Y99</f>
        <v>11996.292574164294</v>
      </c>
      <c r="AC99" s="45">
        <f ca="1">Inputs!$B$6*$C99</f>
        <v>18000</v>
      </c>
      <c r="AD99" s="45">
        <f ca="1">Inputs!$B$7*$C99</f>
        <v>15000</v>
      </c>
      <c r="AE99" s="45">
        <f ca="1">Inputs!$B$8*$C99</f>
        <v>12000</v>
      </c>
      <c r="AF99" s="45">
        <f t="shared" ca="1" si="53"/>
        <v>0</v>
      </c>
      <c r="AG99" s="45">
        <f t="shared" ca="1" si="54"/>
        <v>0</v>
      </c>
      <c r="AH99" s="45">
        <f t="shared" ca="1" si="55"/>
        <v>3.7074258357060899</v>
      </c>
      <c r="AI99" s="45">
        <f t="shared" ca="1" si="56"/>
        <v>3.7074258357060899</v>
      </c>
      <c r="AJ99" s="45">
        <f ca="1">U99*(Inputs!$B$12-ILP_C_HighResilience!$F$9)+V99*(Inputs!$B$13-ILP_C_HighResilience!$F$10)+W99*(Inputs!$B$14-ILP_C_HighResilience!$F$11)+X99*(Inputs!$B$15-ILP_C_HighResilience!$F$12)+Y99*(Inputs!$B$16-ILP_C_HighResilience!$F$13)</f>
        <v>25000.497244076148</v>
      </c>
      <c r="AK99" s="45">
        <f t="shared" ca="1" si="57"/>
        <v>3.7074258357060899</v>
      </c>
      <c r="AL99" s="45">
        <f t="shared" ca="1" si="58"/>
        <v>0</v>
      </c>
      <c r="AM99" s="45">
        <f t="shared" ca="1" si="59"/>
        <v>0</v>
      </c>
      <c r="AN99" s="45">
        <f t="shared" ca="1" si="60"/>
        <v>0</v>
      </c>
      <c r="AO99" s="45">
        <f ca="1">MIN(AL99,Inputs!$B$36)</f>
        <v>0</v>
      </c>
      <c r="AP99" s="45">
        <f ca="1">MIN(AN99,Inputs!$B$36-AO99)</f>
        <v>0</v>
      </c>
      <c r="AQ99" s="45">
        <f ca="1">MIN(AM99,Inputs!$B$36-AO99-AP99)</f>
        <v>0</v>
      </c>
      <c r="AR99" s="45">
        <f t="shared" ca="1" si="61"/>
        <v>0</v>
      </c>
      <c r="AS99" s="45">
        <f t="shared" ca="1" si="62"/>
        <v>0</v>
      </c>
      <c r="AT99" s="45">
        <f t="shared" ca="1" si="63"/>
        <v>0</v>
      </c>
      <c r="AU99" s="45">
        <f t="shared" ca="1" si="64"/>
        <v>0</v>
      </c>
      <c r="AV99" s="46">
        <f ca="1">AU99*Inputs!$B$35</f>
        <v>0</v>
      </c>
      <c r="AW99" s="46">
        <f ca="1">AR99*Inputs!$C$6+AT99*Inputs!$C$7+AS99*Inputs!$C$8</f>
        <v>0</v>
      </c>
      <c r="AX99" s="46">
        <f t="shared" ca="1" si="65"/>
        <v>47655018.165333405</v>
      </c>
      <c r="AY99" s="46">
        <f ca="1">IF(J99&gt;1,($CD$4)*Inputs!$B$55*((Z99+AA99+AB99)/(SUM(ILP_C_HighResilience!$C$9:$E$13))),0)</f>
        <v>0</v>
      </c>
      <c r="AZ99" s="46">
        <f t="shared" ca="1" si="66"/>
        <v>0</v>
      </c>
      <c r="BA99" s="41">
        <f t="shared" ca="1" si="67"/>
        <v>0</v>
      </c>
      <c r="BB99" s="41">
        <f t="shared" ca="1" si="68"/>
        <v>1</v>
      </c>
      <c r="BC99" s="41">
        <f t="shared" ca="1" si="69"/>
        <v>1</v>
      </c>
      <c r="BD99" s="41">
        <f t="shared" ca="1" si="70"/>
        <v>1</v>
      </c>
    </row>
    <row r="100" spans="1:56" ht="15" customHeight="1" x14ac:dyDescent="0.3">
      <c r="A100" s="41">
        <v>93</v>
      </c>
      <c r="B100" s="42">
        <f t="shared" ca="1" si="52"/>
        <v>0.77986069841751837</v>
      </c>
      <c r="C100" s="43">
        <f ca="1">IF(B100&lt;=Inputs!$C$40,Inputs!$D$40,IF(B100&lt;=Inputs!$C$41,Inputs!$D$41,Inputs!$D$42))</f>
        <v>1.1499999999999999</v>
      </c>
      <c r="D100" s="42">
        <f t="shared" ca="1" si="75"/>
        <v>0.70815117581877374</v>
      </c>
      <c r="E100" s="42">
        <f t="shared" ca="1" si="75"/>
        <v>0.64217930015232683</v>
      </c>
      <c r="F100" s="42">
        <f t="shared" ca="1" si="75"/>
        <v>0.59140764792265865</v>
      </c>
      <c r="G100" s="42">
        <f t="shared" ca="1" si="75"/>
        <v>0.35569851606752534</v>
      </c>
      <c r="H100" s="42">
        <f t="shared" ca="1" si="75"/>
        <v>0.43868535546265341</v>
      </c>
      <c r="I100" s="42">
        <f t="shared" ca="1" si="75"/>
        <v>9.5157129053145217E-2</v>
      </c>
      <c r="J100" s="43">
        <f ca="1">IF(I100&lt;Inputs!$B$54,1+Inputs!$B$55,1)</f>
        <v>1</v>
      </c>
      <c r="K100" s="42">
        <f t="shared" ca="1" si="76"/>
        <v>0.82502365069913675</v>
      </c>
      <c r="L100" s="42">
        <f t="shared" ca="1" si="76"/>
        <v>0.67275532788539549</v>
      </c>
      <c r="M100" s="42">
        <f t="shared" ca="1" si="76"/>
        <v>0.3747712432175575</v>
      </c>
      <c r="N100" s="42">
        <f t="shared" ca="1" si="76"/>
        <v>0.8656743587766953</v>
      </c>
      <c r="O100" s="42">
        <f t="shared" ca="1" si="76"/>
        <v>0.9530509731028568</v>
      </c>
      <c r="P100" s="42">
        <f t="shared" ca="1" si="76"/>
        <v>0.69756450878227094</v>
      </c>
      <c r="Q100" s="42">
        <f t="shared" ca="1" si="76"/>
        <v>0.42441812604846829</v>
      </c>
      <c r="R100" s="42">
        <f t="shared" ca="1" si="76"/>
        <v>0.48035217431400945</v>
      </c>
      <c r="S100" s="42">
        <f t="shared" ca="1" si="76"/>
        <v>0.4709233522914682</v>
      </c>
      <c r="T100" s="42">
        <f t="shared" ca="1" si="76"/>
        <v>0.25897371289529503</v>
      </c>
      <c r="U100" s="44">
        <f ca="1">(IF(D100&gt;=Inputs!$E$12,1,IF(K100&lt;=Inputs!$C$46,Inputs!$D$46,IF(K100&lt;=Inputs!$C$47,Inputs!$D$47,Inputs!$D$48))))*((Inputs!$B$28+(P100-0.5)*2*Inputs!$B$53)/Inputs!$B$28)</f>
        <v>1.0019996407771485</v>
      </c>
      <c r="V100" s="44">
        <f ca="1">(IF(E100&gt;=Inputs!$E$13,1,IF(L100&lt;=Inputs!$C$46,Inputs!$D$46,IF(L100&lt;=Inputs!$C$47,Inputs!$D$47,Inputs!$D$48))))*((Inputs!$B$29+(Q100-0.5)*2*Inputs!$B$53)/Inputs!$B$29)</f>
        <v>0.99923808594806918</v>
      </c>
      <c r="W100" s="44">
        <f ca="1">(IF(F100&gt;=Inputs!$E$14,1,IF(M100&lt;=Inputs!$C$46,Inputs!$D$46,IF(M100&lt;=Inputs!$C$47,Inputs!$D$47,Inputs!$D$48))))*((Inputs!$B$30+(R100-0.5)*2*Inputs!$B$53)/Inputs!$B$30)</f>
        <v>0.99980253441521616</v>
      </c>
      <c r="X100" s="44">
        <f ca="1">(IF(G100&gt;=Inputs!$E$15,1,IF(N100&lt;=Inputs!$C$46,Inputs!$D$46,IF(N100&lt;=Inputs!$C$47,Inputs!$D$47,Inputs!$D$48))))*((Inputs!$B$31+(S100-0.5)*2*Inputs!$B$53)/Inputs!$B$31)</f>
        <v>0.99970480560701991</v>
      </c>
      <c r="Y100" s="44">
        <f ca="1">(IF(H100&gt;=Inputs!$E$16,1,IF(O100&lt;=Inputs!$C$46,Inputs!$D$46,IF(O100&lt;=Inputs!$C$47,Inputs!$D$47,Inputs!$D$48))))*((Inputs!$B$32+(T100-0.5)*2*Inputs!$B$53)/Inputs!$B$32)</f>
        <v>0.997575188258504</v>
      </c>
      <c r="Z100" s="45">
        <f ca="1">ILP_C_HighResilience!$C$9*U100+ILP_C_HighResilience!$C$10*V100+ILP_C_HighResilience!$C$11*W100+ILP_C_HighResilience!$C$12*X100+ILP_C_HighResilience!$C$13*Y100</f>
        <v>18009.529123379063</v>
      </c>
      <c r="AA100" s="45">
        <f ca="1">ILP_C_HighResilience!$D$9*U100+ILP_C_HighResilience!$D$10*V100+ILP_C_HighResilience!$D$11*W100+ILP_C_HighResilience!$D$12*X100+ILP_C_HighResilience!$D$13*Y100</f>
        <v>14993.199818331494</v>
      </c>
      <c r="AB100" s="45">
        <f ca="1">ILP_C_HighResilience!$E$9*U100+ILP_C_HighResilience!$E$10*V100+ILP_C_HighResilience!$E$11*W100+ILP_C_HighResilience!$E$12*X100+ILP_C_HighResilience!$E$13*Y100</f>
        <v>12005.756168492742</v>
      </c>
      <c r="AC100" s="45">
        <f ca="1">Inputs!$B$6*$C100</f>
        <v>20700</v>
      </c>
      <c r="AD100" s="45">
        <f ca="1">Inputs!$B$7*$C100</f>
        <v>17250</v>
      </c>
      <c r="AE100" s="45">
        <f ca="1">Inputs!$B$8*$C100</f>
        <v>13799.999999999998</v>
      </c>
      <c r="AF100" s="45">
        <f t="shared" ca="1" si="53"/>
        <v>2690.4708766209369</v>
      </c>
      <c r="AG100" s="45">
        <f t="shared" ca="1" si="54"/>
        <v>2256.8001816685064</v>
      </c>
      <c r="AH100" s="45">
        <f t="shared" ca="1" si="55"/>
        <v>1794.2438315072559</v>
      </c>
      <c r="AI100" s="45">
        <f t="shared" ca="1" si="56"/>
        <v>6741.5148897966992</v>
      </c>
      <c r="AJ100" s="45">
        <f ca="1">U100*(Inputs!$B$12-ILP_C_HighResilience!$F$9)+V100*(Inputs!$B$13-ILP_C_HighResilience!$F$10)+W100*(Inputs!$B$14-ILP_C_HighResilience!$F$11)+X100*(Inputs!$B$15-ILP_C_HighResilience!$F$12)+Y100*(Inputs!$B$16-ILP_C_HighResilience!$F$13)</f>
        <v>24970.360784063654</v>
      </c>
      <c r="AK100" s="45">
        <f t="shared" ca="1" si="57"/>
        <v>6741.5148897966992</v>
      </c>
      <c r="AL100" s="45">
        <f t="shared" ca="1" si="58"/>
        <v>0</v>
      </c>
      <c r="AM100" s="45">
        <f t="shared" ca="1" si="59"/>
        <v>0</v>
      </c>
      <c r="AN100" s="45">
        <f t="shared" ca="1" si="60"/>
        <v>0</v>
      </c>
      <c r="AO100" s="45">
        <f ca="1">MIN(AL100,Inputs!$B$36)</f>
        <v>0</v>
      </c>
      <c r="AP100" s="45">
        <f ca="1">MIN(AN100,Inputs!$B$36-AO100)</f>
        <v>0</v>
      </c>
      <c r="AQ100" s="45">
        <f ca="1">MIN(AM100,Inputs!$B$36-AO100-AP100)</f>
        <v>0</v>
      </c>
      <c r="AR100" s="45">
        <f t="shared" ca="1" si="61"/>
        <v>0</v>
      </c>
      <c r="AS100" s="45">
        <f t="shared" ca="1" si="62"/>
        <v>0</v>
      </c>
      <c r="AT100" s="45">
        <f t="shared" ca="1" si="63"/>
        <v>0</v>
      </c>
      <c r="AU100" s="45">
        <f t="shared" ca="1" si="64"/>
        <v>0</v>
      </c>
      <c r="AV100" s="46">
        <f ca="1">AU100*Inputs!$B$35</f>
        <v>0</v>
      </c>
      <c r="AW100" s="46">
        <f ca="1">AR100*Inputs!$C$6+AT100*Inputs!$C$7+AS100*Inputs!$C$8</f>
        <v>0</v>
      </c>
      <c r="AX100" s="46">
        <f t="shared" ca="1" si="65"/>
        <v>47641495.743568897</v>
      </c>
      <c r="AY100" s="46">
        <f ca="1">IF(J100&gt;1,($CD$4)*Inputs!$B$55*((Z100+AA100+AB100)/(SUM(ILP_C_HighResilience!$C$9:$E$13))),0)</f>
        <v>0</v>
      </c>
      <c r="AZ100" s="46">
        <f t="shared" ca="1" si="66"/>
        <v>0</v>
      </c>
      <c r="BA100" s="41">
        <f t="shared" ca="1" si="67"/>
        <v>0</v>
      </c>
      <c r="BB100" s="41">
        <f t="shared" ca="1" si="68"/>
        <v>1</v>
      </c>
      <c r="BC100" s="41">
        <f t="shared" ca="1" si="69"/>
        <v>1</v>
      </c>
      <c r="BD100" s="41">
        <f t="shared" ca="1" si="70"/>
        <v>1</v>
      </c>
    </row>
    <row r="101" spans="1:56" ht="15" customHeight="1" x14ac:dyDescent="0.3">
      <c r="A101" s="41">
        <v>94</v>
      </c>
      <c r="B101" s="42">
        <f t="shared" ca="1" si="52"/>
        <v>0.29007763691814947</v>
      </c>
      <c r="C101" s="43">
        <f ca="1">IF(B101&lt;=Inputs!$C$40,Inputs!$D$40,IF(B101&lt;=Inputs!$C$41,Inputs!$D$41,Inputs!$D$42))</f>
        <v>1</v>
      </c>
      <c r="D101" s="42">
        <f t="shared" ca="1" si="75"/>
        <v>0.23491996712484453</v>
      </c>
      <c r="E101" s="42">
        <f t="shared" ca="1" si="75"/>
        <v>0.99991236153168395</v>
      </c>
      <c r="F101" s="42">
        <f t="shared" ca="1" si="75"/>
        <v>0.95265404300407808</v>
      </c>
      <c r="G101" s="42">
        <f t="shared" ca="1" si="75"/>
        <v>0.77484178922510327</v>
      </c>
      <c r="H101" s="42">
        <f t="shared" ca="1" si="75"/>
        <v>0.74483432839910957</v>
      </c>
      <c r="I101" s="42">
        <f t="shared" ca="1" si="75"/>
        <v>0.34229643211804084</v>
      </c>
      <c r="J101" s="43">
        <f ca="1">IF(I101&lt;Inputs!$B$54,1+Inputs!$B$55,1)</f>
        <v>1</v>
      </c>
      <c r="K101" s="42">
        <f t="shared" ca="1" si="76"/>
        <v>0.57649647670504356</v>
      </c>
      <c r="L101" s="42">
        <f t="shared" ca="1" si="76"/>
        <v>0.21640002127175439</v>
      </c>
      <c r="M101" s="42">
        <f t="shared" ca="1" si="76"/>
        <v>0.28053984552819555</v>
      </c>
      <c r="N101" s="42">
        <f t="shared" ca="1" si="76"/>
        <v>0.49500484302110159</v>
      </c>
      <c r="O101" s="42">
        <f t="shared" ca="1" si="76"/>
        <v>0.52412270369458736</v>
      </c>
      <c r="P101" s="42">
        <f t="shared" ca="1" si="76"/>
        <v>0.21538894249697893</v>
      </c>
      <c r="Q101" s="42">
        <f t="shared" ca="1" si="76"/>
        <v>0.73368804954865219</v>
      </c>
      <c r="R101" s="42">
        <f t="shared" ca="1" si="76"/>
        <v>0.89454923512835005</v>
      </c>
      <c r="S101" s="42">
        <f t="shared" ca="1" si="76"/>
        <v>0.723799726800888</v>
      </c>
      <c r="T101" s="42">
        <f t="shared" ca="1" si="76"/>
        <v>0.9879428855113952</v>
      </c>
      <c r="U101" s="44">
        <f ca="1">(IF(D101&gt;=Inputs!$E$12,1,IF(K101&lt;=Inputs!$C$46,Inputs!$D$46,IF(K101&lt;=Inputs!$C$47,Inputs!$D$47,Inputs!$D$48))))*((Inputs!$B$28+(P101-0.5)*2*Inputs!$B$53)/Inputs!$B$28)</f>
        <v>0.99711932128033376</v>
      </c>
      <c r="V101" s="44">
        <f ca="1">(IF(E101&gt;=Inputs!$E$13,1,IF(L101&lt;=Inputs!$C$46,Inputs!$D$46,IF(L101&lt;=Inputs!$C$47,Inputs!$D$47,Inputs!$D$48))))*((Inputs!$B$29+(Q101-0.5)*2*Inputs!$B$53)/Inputs!$B$29)</f>
        <v>1.0023557263059339</v>
      </c>
      <c r="W101" s="44">
        <f ca="1">(IF(F101&gt;=Inputs!$E$14,1,IF(M101&lt;=Inputs!$C$46,Inputs!$D$46,IF(M101&lt;=Inputs!$C$47,Inputs!$D$47,Inputs!$D$48))))*((Inputs!$B$30+(R101-0.5)*2*Inputs!$B$53)/Inputs!$B$30)</f>
        <v>1.0039653189460136</v>
      </c>
      <c r="X101" s="44">
        <f ca="1">(IF(G101&gt;=Inputs!$E$15,1,IF(N101&lt;=Inputs!$C$46,Inputs!$D$46,IF(N101&lt;=Inputs!$C$47,Inputs!$D$47,Inputs!$D$48))))*((Inputs!$B$31+(S101-0.5)*2*Inputs!$B$53)/Inputs!$B$31)</f>
        <v>1.002272078444679</v>
      </c>
      <c r="Y101" s="44">
        <f ca="1">(IF(H101&gt;=Inputs!$E$16,1,IF(O101&lt;=Inputs!$C$46,Inputs!$D$46,IF(O101&lt;=Inputs!$C$47,Inputs!$D$47,Inputs!$D$48))))*((Inputs!$B$32+(T101-0.5)*2*Inputs!$B$53)/Inputs!$B$32)</f>
        <v>1.0049088821480019</v>
      </c>
      <c r="Z101" s="45">
        <f ca="1">ILP_C_HighResilience!$C$9*U101+ILP_C_HighResilience!$C$10*V101+ILP_C_HighResilience!$C$11*W101+ILP_C_HighResilience!$C$12*X101+ILP_C_HighResilience!$C$13*Y101</f>
        <v>18004.098692721454</v>
      </c>
      <c r="AA101" s="45">
        <f ca="1">ILP_C_HighResilience!$D$9*U101+ILP_C_HighResilience!$D$10*V101+ILP_C_HighResilience!$D$11*W101+ILP_C_HighResilience!$D$12*X101+ILP_C_HighResilience!$D$13*Y101</f>
        <v>15041.99945723356</v>
      </c>
      <c r="AB101" s="45">
        <f ca="1">ILP_C_HighResilience!$E$9*U101+ILP_C_HighResilience!$E$10*V101+ILP_C_HighResilience!$E$11*W101+ILP_C_HighResilience!$E$12*X101+ILP_C_HighResilience!$E$13*Y101</f>
        <v>12007.821105316238</v>
      </c>
      <c r="AC101" s="45">
        <f ca="1">Inputs!$B$6*$C101</f>
        <v>18000</v>
      </c>
      <c r="AD101" s="45">
        <f ca="1">Inputs!$B$7*$C101</f>
        <v>15000</v>
      </c>
      <c r="AE101" s="45">
        <f ca="1">Inputs!$B$8*$C101</f>
        <v>12000</v>
      </c>
      <c r="AF101" s="45">
        <f t="shared" ca="1" si="53"/>
        <v>0</v>
      </c>
      <c r="AG101" s="45">
        <f t="shared" ca="1" si="54"/>
        <v>0</v>
      </c>
      <c r="AH101" s="45">
        <f t="shared" ca="1" si="55"/>
        <v>0</v>
      </c>
      <c r="AI101" s="45">
        <f t="shared" ca="1" si="56"/>
        <v>0</v>
      </c>
      <c r="AJ101" s="45">
        <f ca="1">U101*(Inputs!$B$12-ILP_C_HighResilience!$F$9)+V101*(Inputs!$B$13-ILP_C_HighResilience!$F$10)+W101*(Inputs!$B$14-ILP_C_HighResilience!$F$11)+X101*(Inputs!$B$15-ILP_C_HighResilience!$F$12)+Y101*(Inputs!$B$16-ILP_C_HighResilience!$F$13)</f>
        <v>25085.417373351516</v>
      </c>
      <c r="AK101" s="45">
        <f t="shared" ca="1" si="57"/>
        <v>0</v>
      </c>
      <c r="AL101" s="45">
        <f t="shared" ca="1" si="58"/>
        <v>0</v>
      </c>
      <c r="AM101" s="45">
        <f t="shared" ca="1" si="59"/>
        <v>0</v>
      </c>
      <c r="AN101" s="45">
        <f t="shared" ca="1" si="60"/>
        <v>0</v>
      </c>
      <c r="AO101" s="45">
        <f ca="1">MIN(AL101,Inputs!$B$36)</f>
        <v>0</v>
      </c>
      <c r="AP101" s="45">
        <f ca="1">MIN(AN101,Inputs!$B$36-AO101)</f>
        <v>0</v>
      </c>
      <c r="AQ101" s="45">
        <f ca="1">MIN(AM101,Inputs!$B$36-AO101-AP101)</f>
        <v>0</v>
      </c>
      <c r="AR101" s="45">
        <f t="shared" ca="1" si="61"/>
        <v>0</v>
      </c>
      <c r="AS101" s="45">
        <f t="shared" ca="1" si="62"/>
        <v>0</v>
      </c>
      <c r="AT101" s="45">
        <f t="shared" ca="1" si="63"/>
        <v>0</v>
      </c>
      <c r="AU101" s="45">
        <f t="shared" ca="1" si="64"/>
        <v>0</v>
      </c>
      <c r="AV101" s="46">
        <f ca="1">AU101*Inputs!$B$35</f>
        <v>0</v>
      </c>
      <c r="AW101" s="46">
        <f ca="1">AR101*Inputs!$C$6+AT101*Inputs!$C$7+AS101*Inputs!$C$8</f>
        <v>0</v>
      </c>
      <c r="AX101" s="46">
        <f t="shared" ca="1" si="65"/>
        <v>47689422.656845078</v>
      </c>
      <c r="AY101" s="46">
        <f ca="1">IF(J101&gt;1,($CD$4)*Inputs!$B$55*((Z101+AA101+AB101)/(SUM(ILP_C_HighResilience!$C$9:$E$13))),0)</f>
        <v>0</v>
      </c>
      <c r="AZ101" s="46">
        <f t="shared" ca="1" si="66"/>
        <v>0</v>
      </c>
      <c r="BA101" s="41">
        <f t="shared" ca="1" si="67"/>
        <v>0</v>
      </c>
      <c r="BB101" s="41">
        <f t="shared" ca="1" si="68"/>
        <v>1</v>
      </c>
      <c r="BC101" s="41">
        <f t="shared" ca="1" si="69"/>
        <v>1</v>
      </c>
      <c r="BD101" s="41">
        <f t="shared" ca="1" si="70"/>
        <v>1</v>
      </c>
    </row>
    <row r="102" spans="1:56" ht="15" customHeight="1" x14ac:dyDescent="0.3">
      <c r="A102" s="41">
        <v>95</v>
      </c>
      <c r="B102" s="42">
        <f t="shared" ca="1" si="52"/>
        <v>0.79040746685920316</v>
      </c>
      <c r="C102" s="43">
        <f ca="1">IF(B102&lt;=Inputs!$C$40,Inputs!$D$40,IF(B102&lt;=Inputs!$C$41,Inputs!$D$41,Inputs!$D$42))</f>
        <v>1.1499999999999999</v>
      </c>
      <c r="D102" s="42">
        <f t="shared" ca="1" si="75"/>
        <v>0.68439172504918422</v>
      </c>
      <c r="E102" s="42">
        <f t="shared" ca="1" si="75"/>
        <v>0.19873571283149871</v>
      </c>
      <c r="F102" s="42">
        <f t="shared" ca="1" si="75"/>
        <v>0.61248577815550942</v>
      </c>
      <c r="G102" s="42">
        <f t="shared" ca="1" si="75"/>
        <v>0.56381741085645387</v>
      </c>
      <c r="H102" s="42">
        <f t="shared" ca="1" si="75"/>
        <v>0.73326813906206256</v>
      </c>
      <c r="I102" s="42">
        <f t="shared" ca="1" si="75"/>
        <v>0.79199735605243238</v>
      </c>
      <c r="J102" s="43">
        <f ca="1">IF(I102&lt;Inputs!$B$54,1+Inputs!$B$55,1)</f>
        <v>1</v>
      </c>
      <c r="K102" s="42">
        <f t="shared" ca="1" si="76"/>
        <v>0.62568040243528111</v>
      </c>
      <c r="L102" s="42">
        <f t="shared" ca="1" si="76"/>
        <v>0.84575511153964755</v>
      </c>
      <c r="M102" s="42">
        <f t="shared" ca="1" si="76"/>
        <v>0.18124921955917606</v>
      </c>
      <c r="N102" s="42">
        <f t="shared" ca="1" si="76"/>
        <v>0.78894666241959588</v>
      </c>
      <c r="O102" s="42">
        <f t="shared" ca="1" si="76"/>
        <v>0.58232062159648423</v>
      </c>
      <c r="P102" s="42">
        <f t="shared" ca="1" si="76"/>
        <v>6.3375266729102542E-2</v>
      </c>
      <c r="Q102" s="42">
        <f t="shared" ca="1" si="76"/>
        <v>0.17827793978744977</v>
      </c>
      <c r="R102" s="42">
        <f t="shared" ca="1" si="76"/>
        <v>0.65695699427040966</v>
      </c>
      <c r="S102" s="42">
        <f t="shared" ca="1" si="76"/>
        <v>0.50859822997286142</v>
      </c>
      <c r="T102" s="42">
        <f t="shared" ca="1" si="76"/>
        <v>0.19176395646053224</v>
      </c>
      <c r="U102" s="44">
        <f ca="1">(IF(D102&gt;=Inputs!$E$12,1,IF(K102&lt;=Inputs!$C$46,Inputs!$D$46,IF(K102&lt;=Inputs!$C$47,Inputs!$D$47,Inputs!$D$48))))*((Inputs!$B$28+(P102-0.5)*2*Inputs!$B$53)/Inputs!$B$28)</f>
        <v>0.9955807213231691</v>
      </c>
      <c r="V102" s="44">
        <f ca="1">(IF(E102&gt;=Inputs!$E$13,1,IF(L102&lt;=Inputs!$C$46,Inputs!$D$46,IF(L102&lt;=Inputs!$C$47,Inputs!$D$47,Inputs!$D$48))))*((Inputs!$B$29+(Q102-0.5)*2*Inputs!$B$53)/Inputs!$B$29)</f>
        <v>0.99675683407043802</v>
      </c>
      <c r="W102" s="44">
        <f ca="1">(IF(F102&gt;=Inputs!$E$14,1,IF(M102&lt;=Inputs!$C$46,Inputs!$D$46,IF(M102&lt;=Inputs!$C$47,Inputs!$D$47,Inputs!$D$48))))*((Inputs!$B$30+(R102-0.5)*2*Inputs!$B$53)/Inputs!$B$30)</f>
        <v>1.0015774572288483</v>
      </c>
      <c r="X102" s="44">
        <f ca="1">(IF(G102&gt;=Inputs!$E$15,1,IF(N102&lt;=Inputs!$C$46,Inputs!$D$46,IF(N102&lt;=Inputs!$C$47,Inputs!$D$47,Inputs!$D$48))))*((Inputs!$B$31+(S102-0.5)*2*Inputs!$B$53)/Inputs!$B$31)</f>
        <v>1.0000872916748513</v>
      </c>
      <c r="Y102" s="44">
        <f ca="1">(IF(H102&gt;=Inputs!$E$16,1,IF(O102&lt;=Inputs!$C$46,Inputs!$D$46,IF(O102&lt;=Inputs!$C$47,Inputs!$D$47,Inputs!$D$48))))*((Inputs!$B$32+(T102-0.5)*2*Inputs!$B$53)/Inputs!$B$32)</f>
        <v>0.99689903376720856</v>
      </c>
      <c r="Z102" s="45">
        <f ca="1">ILP_C_HighResilience!$C$9*U102+ILP_C_HighResilience!$C$10*V102+ILP_C_HighResilience!$C$11*W102+ILP_C_HighResilience!$C$12*X102+ILP_C_HighResilience!$C$13*Y102</f>
        <v>17957.134296239325</v>
      </c>
      <c r="AA102" s="45">
        <f ca="1">ILP_C_HighResilience!$D$9*U102+ILP_C_HighResilience!$D$10*V102+ILP_C_HighResilience!$D$11*W102+ILP_C_HighResilience!$D$12*X102+ILP_C_HighResilience!$D$13*Y102</f>
        <v>14987.853554622798</v>
      </c>
      <c r="AB102" s="45">
        <f ca="1">ILP_C_HighResilience!$E$9*U102+ILP_C_HighResilience!$E$10*V102+ILP_C_HighResilience!$E$11*W102+ILP_C_HighResilience!$E$12*X102+ILP_C_HighResilience!$E$13*Y102</f>
        <v>11969.474322295657</v>
      </c>
      <c r="AC102" s="45">
        <f ca="1">Inputs!$B$6*$C102</f>
        <v>20700</v>
      </c>
      <c r="AD102" s="45">
        <f ca="1">Inputs!$B$7*$C102</f>
        <v>17250</v>
      </c>
      <c r="AE102" s="45">
        <f ca="1">Inputs!$B$8*$C102</f>
        <v>13799.999999999998</v>
      </c>
      <c r="AF102" s="45">
        <f t="shared" ca="1" si="53"/>
        <v>2742.8657037606754</v>
      </c>
      <c r="AG102" s="45">
        <f t="shared" ca="1" si="54"/>
        <v>2262.1464453772023</v>
      </c>
      <c r="AH102" s="45">
        <f t="shared" ca="1" si="55"/>
        <v>1830.5256777043414</v>
      </c>
      <c r="AI102" s="45">
        <f t="shared" ca="1" si="56"/>
        <v>6835.5378268422191</v>
      </c>
      <c r="AJ102" s="45">
        <f ca="1">U102*(Inputs!$B$12-ILP_C_HighResilience!$F$9)+V102*(Inputs!$B$13-ILP_C_HighResilience!$F$10)+W102*(Inputs!$B$14-ILP_C_HighResilience!$F$11)+X102*(Inputs!$B$15-ILP_C_HighResilience!$F$12)+Y102*(Inputs!$B$16-ILP_C_HighResilience!$F$13)</f>
        <v>24944.464995580434</v>
      </c>
      <c r="AK102" s="45">
        <f t="shared" ca="1" si="57"/>
        <v>6835.5378268422191</v>
      </c>
      <c r="AL102" s="45">
        <f t="shared" ca="1" si="58"/>
        <v>0</v>
      </c>
      <c r="AM102" s="45">
        <f t="shared" ca="1" si="59"/>
        <v>0</v>
      </c>
      <c r="AN102" s="45">
        <f t="shared" ca="1" si="60"/>
        <v>0</v>
      </c>
      <c r="AO102" s="45">
        <f ca="1">MIN(AL102,Inputs!$B$36)</f>
        <v>0</v>
      </c>
      <c r="AP102" s="45">
        <f ca="1">MIN(AN102,Inputs!$B$36-AO102)</f>
        <v>0</v>
      </c>
      <c r="AQ102" s="45">
        <f ca="1">MIN(AM102,Inputs!$B$36-AO102-AP102)</f>
        <v>0</v>
      </c>
      <c r="AR102" s="45">
        <f t="shared" ca="1" si="61"/>
        <v>0</v>
      </c>
      <c r="AS102" s="45">
        <f t="shared" ca="1" si="62"/>
        <v>0</v>
      </c>
      <c r="AT102" s="45">
        <f t="shared" ca="1" si="63"/>
        <v>0</v>
      </c>
      <c r="AU102" s="45">
        <f t="shared" ca="1" si="64"/>
        <v>0</v>
      </c>
      <c r="AV102" s="46">
        <f ca="1">AU102*Inputs!$B$35</f>
        <v>0</v>
      </c>
      <c r="AW102" s="46">
        <f ca="1">AR102*Inputs!$C$6+AT102*Inputs!$C$7+AS102*Inputs!$C$8</f>
        <v>0</v>
      </c>
      <c r="AX102" s="46">
        <f t="shared" ca="1" si="65"/>
        <v>47541654.195196345</v>
      </c>
      <c r="AY102" s="46">
        <f ca="1">IF(J102&gt;1,($CD$4)*Inputs!$B$55*((Z102+AA102+AB102)/(SUM(ILP_C_HighResilience!$C$9:$E$13))),0)</f>
        <v>0</v>
      </c>
      <c r="AZ102" s="46">
        <f t="shared" ca="1" si="66"/>
        <v>0</v>
      </c>
      <c r="BA102" s="41">
        <f t="shared" ca="1" si="67"/>
        <v>0</v>
      </c>
      <c r="BB102" s="41">
        <f t="shared" ca="1" si="68"/>
        <v>1</v>
      </c>
      <c r="BC102" s="41">
        <f t="shared" ca="1" si="69"/>
        <v>1</v>
      </c>
      <c r="BD102" s="41">
        <f t="shared" ca="1" si="70"/>
        <v>1</v>
      </c>
    </row>
    <row r="103" spans="1:56" ht="15" customHeight="1" x14ac:dyDescent="0.3">
      <c r="A103" s="41">
        <v>96</v>
      </c>
      <c r="B103" s="42">
        <f t="shared" ca="1" si="52"/>
        <v>0.56226086328064329</v>
      </c>
      <c r="C103" s="43">
        <f ca="1">IF(B103&lt;=Inputs!$C$40,Inputs!$D$40,IF(B103&lt;=Inputs!$C$41,Inputs!$D$41,Inputs!$D$42))</f>
        <v>1</v>
      </c>
      <c r="D103" s="42">
        <f t="shared" ca="1" si="75"/>
        <v>0.22470378633836108</v>
      </c>
      <c r="E103" s="42">
        <f t="shared" ca="1" si="75"/>
        <v>0.49440662667428659</v>
      </c>
      <c r="F103" s="42">
        <f t="shared" ca="1" si="75"/>
        <v>0.85916349777281775</v>
      </c>
      <c r="G103" s="42">
        <f t="shared" ca="1" si="75"/>
        <v>0.3533557170825915</v>
      </c>
      <c r="H103" s="42">
        <f t="shared" ca="1" si="75"/>
        <v>2.3208717480588392E-3</v>
      </c>
      <c r="I103" s="42">
        <f t="shared" ca="1" si="75"/>
        <v>0.87730985061295241</v>
      </c>
      <c r="J103" s="43">
        <f ca="1">IF(I103&lt;Inputs!$B$54,1+Inputs!$B$55,1)</f>
        <v>1</v>
      </c>
      <c r="K103" s="42">
        <f t="shared" ca="1" si="76"/>
        <v>0.65509945293213812</v>
      </c>
      <c r="L103" s="42">
        <f t="shared" ca="1" si="76"/>
        <v>0.12756359352808222</v>
      </c>
      <c r="M103" s="42">
        <f t="shared" ca="1" si="76"/>
        <v>0.84876339861198269</v>
      </c>
      <c r="N103" s="42">
        <f t="shared" ca="1" si="76"/>
        <v>0.58386921515114509</v>
      </c>
      <c r="O103" s="42">
        <f t="shared" ca="1" si="76"/>
        <v>0.47956149143502591</v>
      </c>
      <c r="P103" s="42">
        <f t="shared" ca="1" si="76"/>
        <v>0.68605204604912551</v>
      </c>
      <c r="Q103" s="42">
        <f t="shared" ca="1" si="76"/>
        <v>0.93227873914015147</v>
      </c>
      <c r="R103" s="42">
        <f t="shared" ca="1" si="76"/>
        <v>0.71762881795509337</v>
      </c>
      <c r="S103" s="42">
        <f t="shared" ca="1" si="76"/>
        <v>0.75724292573291807</v>
      </c>
      <c r="T103" s="42">
        <f t="shared" ca="1" si="76"/>
        <v>0.25341517838958816</v>
      </c>
      <c r="U103" s="44">
        <f ca="1">(IF(D103&gt;=Inputs!$E$12,1,IF(K103&lt;=Inputs!$C$46,Inputs!$D$46,IF(K103&lt;=Inputs!$C$47,Inputs!$D$47,Inputs!$D$48))))*((Inputs!$B$28+(P103-0.5)*2*Inputs!$B$53)/Inputs!$B$28)</f>
        <v>1.0018831178749912</v>
      </c>
      <c r="V103" s="44">
        <f ca="1">(IF(E103&gt;=Inputs!$E$13,1,IF(L103&lt;=Inputs!$C$46,Inputs!$D$46,IF(L103&lt;=Inputs!$C$47,Inputs!$D$47,Inputs!$D$48))))*((Inputs!$B$29+(Q103-0.5)*2*Inputs!$B$53)/Inputs!$B$29)</f>
        <v>1.0043576485800418</v>
      </c>
      <c r="W103" s="44">
        <f ca="1">(IF(F103&gt;=Inputs!$E$14,1,IF(M103&lt;=Inputs!$C$46,Inputs!$D$46,IF(M103&lt;=Inputs!$C$47,Inputs!$D$47,Inputs!$D$48))))*((Inputs!$B$30+(R103-0.5)*2*Inputs!$B$53)/Inputs!$B$30)</f>
        <v>1.0021872243010563</v>
      </c>
      <c r="X103" s="44">
        <f ca="1">(IF(G103&gt;=Inputs!$E$15,1,IF(N103&lt;=Inputs!$C$46,Inputs!$D$46,IF(N103&lt;=Inputs!$C$47,Inputs!$D$47,Inputs!$D$48))))*((Inputs!$B$31+(S103-0.5)*2*Inputs!$B$53)/Inputs!$B$31)</f>
        <v>1.0026116033069332</v>
      </c>
      <c r="Y103" s="44">
        <f ca="1">(IF(H103&gt;=Inputs!$E$16,1,IF(O103&lt;=Inputs!$C$46,Inputs!$D$46,IF(O103&lt;=Inputs!$C$47,Inputs!$D$47,Inputs!$D$48))))*((Inputs!$B$32+(T103-0.5)*2*Inputs!$B$53)/Inputs!$B$32)</f>
        <v>0.29925578021646759</v>
      </c>
      <c r="Z103" s="45">
        <f ca="1">ILP_C_HighResilience!$C$9*U103+ILP_C_HighResilience!$C$10*V103+ILP_C_HighResilience!$C$11*W103+ILP_C_HighResilience!$C$12*X103+ILP_C_HighResilience!$C$13*Y103</f>
        <v>18048.049527398005</v>
      </c>
      <c r="AA103" s="45">
        <f ca="1">ILP_C_HighResilience!$D$9*U103+ILP_C_HighResilience!$D$10*V103+ILP_C_HighResilience!$D$11*W103+ILP_C_HighResilience!$D$12*X103+ILP_C_HighResilience!$D$13*Y103</f>
        <v>15047.79154119691</v>
      </c>
      <c r="AB103" s="45">
        <f ca="1">ILP_C_HighResilience!$E$9*U103+ILP_C_HighResilience!$E$10*V103+ILP_C_HighResilience!$E$11*W103+ILP_C_HighResilience!$E$12*X103+ILP_C_HighResilience!$E$13*Y103</f>
        <v>12034.093760075852</v>
      </c>
      <c r="AC103" s="45">
        <f ca="1">Inputs!$B$6*$C103</f>
        <v>18000</v>
      </c>
      <c r="AD103" s="45">
        <f ca="1">Inputs!$B$7*$C103</f>
        <v>15000</v>
      </c>
      <c r="AE103" s="45">
        <f ca="1">Inputs!$B$8*$C103</f>
        <v>12000</v>
      </c>
      <c r="AF103" s="45">
        <f t="shared" ca="1" si="53"/>
        <v>0</v>
      </c>
      <c r="AG103" s="45">
        <f t="shared" ca="1" si="54"/>
        <v>0</v>
      </c>
      <c r="AH103" s="45">
        <f t="shared" ca="1" si="55"/>
        <v>0</v>
      </c>
      <c r="AI103" s="45">
        <f t="shared" ca="1" si="56"/>
        <v>0</v>
      </c>
      <c r="AJ103" s="45">
        <f ca="1">U103*(Inputs!$B$12-ILP_C_HighResilience!$F$9)+V103*(Inputs!$B$13-ILP_C_HighResilience!$F$10)+W103*(Inputs!$B$14-ILP_C_HighResilience!$F$11)+X103*(Inputs!$B$15-ILP_C_HighResilience!$F$12)+Y103*(Inputs!$B$16-ILP_C_HighResilience!$F$13)</f>
        <v>14509.81199629362</v>
      </c>
      <c r="AK103" s="45">
        <f t="shared" ca="1" si="57"/>
        <v>0</v>
      </c>
      <c r="AL103" s="45">
        <f t="shared" ca="1" si="58"/>
        <v>0</v>
      </c>
      <c r="AM103" s="45">
        <f t="shared" ca="1" si="59"/>
        <v>0</v>
      </c>
      <c r="AN103" s="45">
        <f t="shared" ca="1" si="60"/>
        <v>0</v>
      </c>
      <c r="AO103" s="45">
        <f ca="1">MIN(AL103,Inputs!$B$36)</f>
        <v>0</v>
      </c>
      <c r="AP103" s="45">
        <f ca="1">MIN(AN103,Inputs!$B$36-AO103)</f>
        <v>0</v>
      </c>
      <c r="AQ103" s="45">
        <f ca="1">MIN(AM103,Inputs!$B$36-AO103-AP103)</f>
        <v>0</v>
      </c>
      <c r="AR103" s="45">
        <f t="shared" ca="1" si="61"/>
        <v>0</v>
      </c>
      <c r="AS103" s="45">
        <f t="shared" ca="1" si="62"/>
        <v>0</v>
      </c>
      <c r="AT103" s="45">
        <f t="shared" ca="1" si="63"/>
        <v>0</v>
      </c>
      <c r="AU103" s="45">
        <f t="shared" ca="1" si="64"/>
        <v>0</v>
      </c>
      <c r="AV103" s="46">
        <f ca="1">AU103*Inputs!$B$35</f>
        <v>0</v>
      </c>
      <c r="AW103" s="46">
        <f ca="1">AR103*Inputs!$C$6+AT103*Inputs!$C$7+AS103*Inputs!$C$8</f>
        <v>0</v>
      </c>
      <c r="AX103" s="46">
        <f t="shared" ca="1" si="65"/>
        <v>47769990.002917677</v>
      </c>
      <c r="AY103" s="46">
        <f ca="1">IF(J103&gt;1,($CD$4)*Inputs!$B$55*((Z103+AA103+AB103)/(SUM(ILP_C_HighResilience!$C$9:$E$13))),0)</f>
        <v>0</v>
      </c>
      <c r="AZ103" s="46">
        <f t="shared" ca="1" si="66"/>
        <v>0</v>
      </c>
      <c r="BA103" s="41">
        <f t="shared" ca="1" si="67"/>
        <v>0</v>
      </c>
      <c r="BB103" s="41">
        <f t="shared" ca="1" si="68"/>
        <v>1</v>
      </c>
      <c r="BC103" s="41">
        <f t="shared" ca="1" si="69"/>
        <v>1</v>
      </c>
      <c r="BD103" s="41">
        <f t="shared" ca="1" si="70"/>
        <v>1</v>
      </c>
    </row>
    <row r="104" spans="1:56" ht="15" customHeight="1" x14ac:dyDescent="0.3">
      <c r="A104" s="41">
        <v>97</v>
      </c>
      <c r="B104" s="42">
        <f t="shared" ref="B104:B135" ca="1" si="77">RAND()</f>
        <v>0.22594499107828692</v>
      </c>
      <c r="C104" s="43">
        <f ca="1">IF(B104&lt;=Inputs!$C$40,Inputs!$D$40,IF(B104&lt;=Inputs!$C$41,Inputs!$D$41,Inputs!$D$42))</f>
        <v>1</v>
      </c>
      <c r="D104" s="42">
        <f t="shared" ca="1" si="75"/>
        <v>3.9817608538987193E-2</v>
      </c>
      <c r="E104" s="42">
        <f t="shared" ca="1" si="75"/>
        <v>0.5149996991411232</v>
      </c>
      <c r="F104" s="42">
        <f t="shared" ca="1" si="75"/>
        <v>0.23936043023173648</v>
      </c>
      <c r="G104" s="42">
        <f t="shared" ca="1" si="75"/>
        <v>0.43055616360713234</v>
      </c>
      <c r="H104" s="42">
        <f t="shared" ca="1" si="75"/>
        <v>0.31896948207970943</v>
      </c>
      <c r="I104" s="42">
        <f t="shared" ca="1" si="75"/>
        <v>0.28044318631400522</v>
      </c>
      <c r="J104" s="43">
        <f ca="1">IF(I104&lt;Inputs!$B$54,1+Inputs!$B$55,1)</f>
        <v>1</v>
      </c>
      <c r="K104" s="42">
        <f t="shared" ca="1" si="76"/>
        <v>0.22770436440136599</v>
      </c>
      <c r="L104" s="42">
        <f t="shared" ca="1" si="76"/>
        <v>0.1723422219091636</v>
      </c>
      <c r="M104" s="42">
        <f t="shared" ca="1" si="76"/>
        <v>0.69067080103648659</v>
      </c>
      <c r="N104" s="42">
        <f t="shared" ca="1" si="76"/>
        <v>0.42990307215754398</v>
      </c>
      <c r="O104" s="42">
        <f t="shared" ca="1" si="76"/>
        <v>2.9785848186735242E-2</v>
      </c>
      <c r="P104" s="42">
        <f t="shared" ca="1" si="76"/>
        <v>0.39858963614313603</v>
      </c>
      <c r="Q104" s="42">
        <f t="shared" ca="1" si="76"/>
        <v>0.31516414415796301</v>
      </c>
      <c r="R104" s="42">
        <f t="shared" ca="1" si="76"/>
        <v>0.29767922495099763</v>
      </c>
      <c r="S104" s="42">
        <f t="shared" ca="1" si="76"/>
        <v>0.81495547630972465</v>
      </c>
      <c r="T104" s="42">
        <f t="shared" ca="1" si="76"/>
        <v>4.7416034274803454E-2</v>
      </c>
      <c r="U104" s="44">
        <f ca="1">(IF(D104&gt;=Inputs!$E$12,1,IF(K104&lt;=Inputs!$C$46,Inputs!$D$46,IF(K104&lt;=Inputs!$C$47,Inputs!$D$47,Inputs!$D$48))))*((Inputs!$B$28+(P104-0.5)*2*Inputs!$B$53)/Inputs!$B$28)</f>
        <v>0.59938414758791381</v>
      </c>
      <c r="V104" s="44">
        <f ca="1">(IF(E104&gt;=Inputs!$E$13,1,IF(L104&lt;=Inputs!$C$46,Inputs!$D$46,IF(L104&lt;=Inputs!$C$47,Inputs!$D$47,Inputs!$D$48))))*((Inputs!$B$29+(Q104-0.5)*2*Inputs!$B$53)/Inputs!$B$29)</f>
        <v>0.99813673532417302</v>
      </c>
      <c r="W104" s="44">
        <f ca="1">(IF(F104&gt;=Inputs!$E$14,1,IF(M104&lt;=Inputs!$C$46,Inputs!$D$46,IF(M104&lt;=Inputs!$C$47,Inputs!$D$47,Inputs!$D$48))))*((Inputs!$B$30+(R104-0.5)*2*Inputs!$B$53)/Inputs!$B$30)</f>
        <v>0.99796662537639191</v>
      </c>
      <c r="X104" s="44">
        <f ca="1">(IF(G104&gt;=Inputs!$E$15,1,IF(N104&lt;=Inputs!$C$46,Inputs!$D$46,IF(N104&lt;=Inputs!$C$47,Inputs!$D$47,Inputs!$D$48))))*((Inputs!$B$31+(S104-0.5)*2*Inputs!$B$53)/Inputs!$B$31)</f>
        <v>1.0031975175259871</v>
      </c>
      <c r="Y104" s="44">
        <f ca="1">(IF(H104&gt;=Inputs!$E$16,1,IF(O104&lt;=Inputs!$C$46,Inputs!$D$46,IF(O104&lt;=Inputs!$C$47,Inputs!$D$47,Inputs!$D$48))))*((Inputs!$B$32+(T104-0.5)*2*Inputs!$B$53)/Inputs!$B$32)</f>
        <v>0.99544684139109463</v>
      </c>
      <c r="Z104" s="45">
        <f ca="1">ILP_C_HighResilience!$C$9*U104+ILP_C_HighResilience!$C$10*V104+ILP_C_HighResilience!$C$11*W104+ILP_C_HighResilience!$C$12*X104+ILP_C_HighResilience!$C$13*Y104</f>
        <v>15131.880235987108</v>
      </c>
      <c r="AA104" s="45">
        <f ca="1">ILP_C_HighResilience!$D$9*U104+ILP_C_HighResilience!$D$10*V104+ILP_C_HighResilience!$D$11*W104+ILP_C_HighResilience!$D$12*X104+ILP_C_HighResilience!$D$13*Y104</f>
        <v>14994.686762063695</v>
      </c>
      <c r="AB104" s="45">
        <f ca="1">ILP_C_HighResilience!$E$9*U104+ILP_C_HighResilience!$E$10*V104+ILP_C_HighResilience!$E$11*W104+ILP_C_HighResilience!$E$12*X104+ILP_C_HighResilience!$E$13*Y104</f>
        <v>10063.133042588093</v>
      </c>
      <c r="AC104" s="45">
        <f ca="1">Inputs!$B$6*$C104</f>
        <v>18000</v>
      </c>
      <c r="AD104" s="45">
        <f ca="1">Inputs!$B$7*$C104</f>
        <v>15000</v>
      </c>
      <c r="AE104" s="45">
        <f ca="1">Inputs!$B$8*$C104</f>
        <v>12000</v>
      </c>
      <c r="AF104" s="45">
        <f t="shared" ref="AF104:AF135" ca="1" si="78">MAX(0,AC104-Z104)</f>
        <v>2868.1197640128921</v>
      </c>
      <c r="AG104" s="45">
        <f t="shared" ref="AG104:AG135" ca="1" si="79">MAX(0,AD104-AA104)</f>
        <v>5.3132379363050859</v>
      </c>
      <c r="AH104" s="45">
        <f t="shared" ref="AH104:AH135" ca="1" si="80">MAX(0,AE104-AB104)</f>
        <v>1936.8669574119067</v>
      </c>
      <c r="AI104" s="45">
        <f t="shared" ref="AI104:AI135" ca="1" si="81">SUM(AF104:AH104)</f>
        <v>4810.2999593611039</v>
      </c>
      <c r="AJ104" s="45">
        <f ca="1">U104*(Inputs!$B$12-ILP_C_HighResilience!$F$9)+V104*(Inputs!$B$13-ILP_C_HighResilience!$F$10)+W104*(Inputs!$B$14-ILP_C_HighResilience!$F$11)+X104*(Inputs!$B$15-ILP_C_HighResilience!$F$12)+Y104*(Inputs!$B$16-ILP_C_HighResilience!$F$13)</f>
        <v>23317.999576377508</v>
      </c>
      <c r="AK104" s="45">
        <f t="shared" ref="AK104:AK135" ca="1" si="82">MIN(AI104,MAX(0,AJ104))</f>
        <v>4810.2999593611039</v>
      </c>
      <c r="AL104" s="45">
        <f t="shared" ref="AL104:AL135" ca="1" si="83">AF104*(1-(IF(AI104&gt;0,AK104/AI104,0)))</f>
        <v>0</v>
      </c>
      <c r="AM104" s="45">
        <f t="shared" ref="AM104:AM135" ca="1" si="84">AG104*(1-(IF(AI104&gt;0,AK104/AI104,0)))</f>
        <v>0</v>
      </c>
      <c r="AN104" s="45">
        <f t="shared" ref="AN104:AN135" ca="1" si="85">AH104*(1-(IF(AI104&gt;0,AK104/AI104,0)))</f>
        <v>0</v>
      </c>
      <c r="AO104" s="45">
        <f ca="1">MIN(AL104,Inputs!$B$36)</f>
        <v>0</v>
      </c>
      <c r="AP104" s="45">
        <f ca="1">MIN(AN104,Inputs!$B$36-AO104)</f>
        <v>0</v>
      </c>
      <c r="AQ104" s="45">
        <f ca="1">MIN(AM104,Inputs!$B$36-AO104-AP104)</f>
        <v>0</v>
      </c>
      <c r="AR104" s="45">
        <f t="shared" ref="AR104:AR135" ca="1" si="86">AL104-AO104</f>
        <v>0</v>
      </c>
      <c r="AS104" s="45">
        <f t="shared" ref="AS104:AS135" ca="1" si="87">AN104-AP104</f>
        <v>0</v>
      </c>
      <c r="AT104" s="45">
        <f t="shared" ref="AT104:AT135" ca="1" si="88">AM104-AQ104</f>
        <v>0</v>
      </c>
      <c r="AU104" s="45">
        <f t="shared" ref="AU104:AU135" ca="1" si="89">AO104+AP104+AQ104</f>
        <v>0</v>
      </c>
      <c r="AV104" s="46">
        <f ca="1">AU104*Inputs!$B$35</f>
        <v>0</v>
      </c>
      <c r="AW104" s="46">
        <f ca="1">AR104*Inputs!$C$6+AT104*Inputs!$C$7+AS104*Inputs!$C$8</f>
        <v>0</v>
      </c>
      <c r="AX104" s="46">
        <f t="shared" ref="AX104:AX135" ca="1" si="90">Z104*$CA$4+AA104*$CB$4+AB104*$CC$4</f>
        <v>42523101.101382509</v>
      </c>
      <c r="AY104" s="46">
        <f ca="1">IF(J104&gt;1,($CD$4)*Inputs!$B$55*((Z104+AA104+AB104)/(SUM(ILP_C_HighResilience!$C$9:$E$13))),0)</f>
        <v>0</v>
      </c>
      <c r="AZ104" s="46">
        <f t="shared" ref="AZ104:AZ135" ca="1" si="91">AV104+AW104</f>
        <v>0</v>
      </c>
      <c r="BA104" s="41">
        <f t="shared" ref="BA104:BA135" ca="1" si="92">IF(AR104+AT104+AS104&gt;0,1,0)</f>
        <v>0</v>
      </c>
      <c r="BB104" s="41">
        <f t="shared" ref="BB104:BB135" ca="1" si="93">IF(AR104=0,1,0)</f>
        <v>1</v>
      </c>
      <c r="BC104" s="41">
        <f t="shared" ref="BC104:BC135" ca="1" si="94">IF(AT104=0,1,0)</f>
        <v>1</v>
      </c>
      <c r="BD104" s="41">
        <f t="shared" ref="BD104:BD135" ca="1" si="95">IF(AS104=0,1,0)</f>
        <v>1</v>
      </c>
    </row>
    <row r="105" spans="1:56" ht="15" customHeight="1" x14ac:dyDescent="0.3">
      <c r="A105" s="41">
        <v>98</v>
      </c>
      <c r="B105" s="42">
        <f t="shared" ca="1" si="77"/>
        <v>0.97265784109257292</v>
      </c>
      <c r="C105" s="43">
        <f ca="1">IF(B105&lt;=Inputs!$C$40,Inputs!$D$40,IF(B105&lt;=Inputs!$C$41,Inputs!$D$41,Inputs!$D$42))</f>
        <v>1.1499999999999999</v>
      </c>
      <c r="D105" s="42">
        <f t="shared" ca="1" si="75"/>
        <v>0.91856267851091056</v>
      </c>
      <c r="E105" s="42">
        <f t="shared" ca="1" si="75"/>
        <v>0.1198637661881623</v>
      </c>
      <c r="F105" s="42">
        <f t="shared" ca="1" si="75"/>
        <v>0.86118683184045919</v>
      </c>
      <c r="G105" s="42">
        <f t="shared" ca="1" si="75"/>
        <v>0.15116280001798232</v>
      </c>
      <c r="H105" s="42">
        <f t="shared" ca="1" si="75"/>
        <v>0.1805162799005775</v>
      </c>
      <c r="I105" s="42">
        <f t="shared" ca="1" si="75"/>
        <v>0.22753237276230631</v>
      </c>
      <c r="J105" s="43">
        <f ca="1">IF(I105&lt;Inputs!$B$54,1+Inputs!$B$55,1)</f>
        <v>1</v>
      </c>
      <c r="K105" s="42">
        <f t="shared" ca="1" si="76"/>
        <v>5.7587978587208322E-2</v>
      </c>
      <c r="L105" s="42">
        <f t="shared" ca="1" si="76"/>
        <v>0.17226817828350438</v>
      </c>
      <c r="M105" s="42">
        <f t="shared" ca="1" si="76"/>
        <v>0.26308691730998968</v>
      </c>
      <c r="N105" s="42">
        <f t="shared" ca="1" si="76"/>
        <v>0.55751890763505252</v>
      </c>
      <c r="O105" s="42">
        <f t="shared" ca="1" si="76"/>
        <v>0.77781609299269028</v>
      </c>
      <c r="P105" s="42">
        <f t="shared" ca="1" si="76"/>
        <v>0.63839315380699468</v>
      </c>
      <c r="Q105" s="42">
        <f t="shared" ca="1" si="76"/>
        <v>0.85958155325672725</v>
      </c>
      <c r="R105" s="42">
        <f t="shared" ca="1" si="76"/>
        <v>0.53543905471953679</v>
      </c>
      <c r="S105" s="42">
        <f t="shared" ca="1" si="76"/>
        <v>8.2258182361936161E-3</v>
      </c>
      <c r="T105" s="42">
        <f t="shared" ca="1" si="76"/>
        <v>0.57968602518533641</v>
      </c>
      <c r="U105" s="44">
        <f ca="1">(IF(D105&gt;=Inputs!$E$12,1,IF(K105&lt;=Inputs!$C$46,Inputs!$D$46,IF(K105&lt;=Inputs!$C$47,Inputs!$D$47,Inputs!$D$48))))*((Inputs!$B$28+(P105-0.5)*2*Inputs!$B$53)/Inputs!$B$28)</f>
        <v>1.0014007404231478</v>
      </c>
      <c r="V105" s="44">
        <f ca="1">(IF(E105&gt;=Inputs!$E$13,1,IF(L105&lt;=Inputs!$C$46,Inputs!$D$46,IF(L105&lt;=Inputs!$C$47,Inputs!$D$47,Inputs!$D$48))))*((Inputs!$B$29+(Q105-0.5)*2*Inputs!$B$53)/Inputs!$B$29)</f>
        <v>0.60217488842695599</v>
      </c>
      <c r="W105" s="44">
        <f ca="1">(IF(F105&gt;=Inputs!$E$14,1,IF(M105&lt;=Inputs!$C$46,Inputs!$D$46,IF(M105&lt;=Inputs!$C$47,Inputs!$D$47,Inputs!$D$48))))*((Inputs!$B$30+(R105-0.5)*2*Inputs!$B$53)/Inputs!$B$30)</f>
        <v>1.0003561714042164</v>
      </c>
      <c r="X105" s="44">
        <f ca="1">(IF(G105&gt;=Inputs!$E$15,1,IF(N105&lt;=Inputs!$C$46,Inputs!$D$46,IF(N105&lt;=Inputs!$C$47,Inputs!$D$47,Inputs!$D$48))))*((Inputs!$B$31+(S105-0.5)*2*Inputs!$B$53)/Inputs!$B$31)</f>
        <v>0.29850221061391735</v>
      </c>
      <c r="Y105" s="44">
        <f ca="1">(IF(H105&gt;=Inputs!$E$16,1,IF(O105&lt;=Inputs!$C$46,Inputs!$D$46,IF(O105&lt;=Inputs!$C$47,Inputs!$D$47,Inputs!$D$48))))*((Inputs!$B$32+(T105-0.5)*2*Inputs!$B$53)/Inputs!$B$32)</f>
        <v>1.0008016702734943</v>
      </c>
      <c r="Z105" s="45">
        <f ca="1">ILP_C_HighResilience!$C$9*U105+ILP_C_HighResilience!$C$10*V105+ILP_C_HighResilience!$C$11*W105+ILP_C_HighResilience!$C$12*X105+ILP_C_HighResilience!$C$13*Y105</f>
        <v>11527.130845803909</v>
      </c>
      <c r="AA105" s="45">
        <f ca="1">ILP_C_HighResilience!$D$9*U105+ILP_C_HighResilience!$D$10*V105+ILP_C_HighResilience!$D$11*W105+ILP_C_HighResilience!$D$12*X105+ILP_C_HighResilience!$D$13*Y105</f>
        <v>9373.6895743485002</v>
      </c>
      <c r="AB105" s="45">
        <f ca="1">ILP_C_HighResilience!$E$9*U105+ILP_C_HighResilience!$E$10*V105+ILP_C_HighResilience!$E$11*W105+ILP_C_HighResilience!$E$12*X105+ILP_C_HighResilience!$E$13*Y105</f>
        <v>10301.886646734976</v>
      </c>
      <c r="AC105" s="45">
        <f ca="1">Inputs!$B$6*$C105</f>
        <v>20700</v>
      </c>
      <c r="AD105" s="45">
        <f ca="1">Inputs!$B$7*$C105</f>
        <v>17250</v>
      </c>
      <c r="AE105" s="45">
        <f ca="1">Inputs!$B$8*$C105</f>
        <v>13799.999999999998</v>
      </c>
      <c r="AF105" s="45">
        <f t="shared" ca="1" si="78"/>
        <v>9172.8691541960907</v>
      </c>
      <c r="AG105" s="45">
        <f t="shared" ca="1" si="79"/>
        <v>7876.3104256514998</v>
      </c>
      <c r="AH105" s="45">
        <f t="shared" ca="1" si="80"/>
        <v>3498.1133532650219</v>
      </c>
      <c r="AI105" s="45">
        <f t="shared" ca="1" si="81"/>
        <v>20547.292933112614</v>
      </c>
      <c r="AJ105" s="45">
        <f ca="1">U105*(Inputs!$B$12-ILP_C_HighResilience!$F$9)+V105*(Inputs!$B$13-ILP_C_HighResilience!$F$10)+W105*(Inputs!$B$14-ILP_C_HighResilience!$F$11)+X105*(Inputs!$B$15-ILP_C_HighResilience!$F$12)+Y105*(Inputs!$B$16-ILP_C_HighResilience!$F$13)</f>
        <v>24848.835027584595</v>
      </c>
      <c r="AK105" s="45">
        <f t="shared" ca="1" si="82"/>
        <v>20547.292933112614</v>
      </c>
      <c r="AL105" s="45">
        <f t="shared" ca="1" si="83"/>
        <v>0</v>
      </c>
      <c r="AM105" s="45">
        <f t="shared" ca="1" si="84"/>
        <v>0</v>
      </c>
      <c r="AN105" s="45">
        <f t="shared" ca="1" si="85"/>
        <v>0</v>
      </c>
      <c r="AO105" s="45">
        <f ca="1">MIN(AL105,Inputs!$B$36)</f>
        <v>0</v>
      </c>
      <c r="AP105" s="45">
        <f ca="1">MIN(AN105,Inputs!$B$36-AO105)</f>
        <v>0</v>
      </c>
      <c r="AQ105" s="45">
        <f ca="1">MIN(AM105,Inputs!$B$36-AO105-AP105)</f>
        <v>0</v>
      </c>
      <c r="AR105" s="45">
        <f t="shared" ca="1" si="86"/>
        <v>0</v>
      </c>
      <c r="AS105" s="45">
        <f t="shared" ca="1" si="87"/>
        <v>0</v>
      </c>
      <c r="AT105" s="45">
        <f t="shared" ca="1" si="88"/>
        <v>0</v>
      </c>
      <c r="AU105" s="45">
        <f t="shared" ca="1" si="89"/>
        <v>0</v>
      </c>
      <c r="AV105" s="46">
        <f ca="1">AU105*Inputs!$B$35</f>
        <v>0</v>
      </c>
      <c r="AW105" s="46">
        <f ca="1">AR105*Inputs!$C$6+AT105*Inputs!$C$7+AS105*Inputs!$C$8</f>
        <v>0</v>
      </c>
      <c r="AX105" s="46">
        <f t="shared" ca="1" si="90"/>
        <v>33125825.643697474</v>
      </c>
      <c r="AY105" s="46">
        <f ca="1">IF(J105&gt;1,($CD$4)*Inputs!$B$55*((Z105+AA105+AB105)/(SUM(ILP_C_HighResilience!$C$9:$E$13))),0)</f>
        <v>0</v>
      </c>
      <c r="AZ105" s="46">
        <f t="shared" ca="1" si="91"/>
        <v>0</v>
      </c>
      <c r="BA105" s="41">
        <f t="shared" ca="1" si="92"/>
        <v>0</v>
      </c>
      <c r="BB105" s="41">
        <f t="shared" ca="1" si="93"/>
        <v>1</v>
      </c>
      <c r="BC105" s="41">
        <f t="shared" ca="1" si="94"/>
        <v>1</v>
      </c>
      <c r="BD105" s="41">
        <f t="shared" ca="1" si="95"/>
        <v>1</v>
      </c>
    </row>
    <row r="106" spans="1:56" ht="15" customHeight="1" x14ac:dyDescent="0.3">
      <c r="A106" s="41">
        <v>99</v>
      </c>
      <c r="B106" s="42">
        <f t="shared" ca="1" si="77"/>
        <v>0.199681294743287</v>
      </c>
      <c r="C106" s="43">
        <f ca="1">IF(B106&lt;=Inputs!$C$40,Inputs!$D$40,IF(B106&lt;=Inputs!$C$41,Inputs!$D$41,Inputs!$D$42))</f>
        <v>0.9</v>
      </c>
      <c r="D106" s="42">
        <f t="shared" ca="1" si="75"/>
        <v>0.53522793481755426</v>
      </c>
      <c r="E106" s="42">
        <f t="shared" ca="1" si="75"/>
        <v>0.19775299049017858</v>
      </c>
      <c r="F106" s="42">
        <f t="shared" ca="1" si="75"/>
        <v>0.74952986590550597</v>
      </c>
      <c r="G106" s="42">
        <f t="shared" ca="1" si="75"/>
        <v>0.20070199695662561</v>
      </c>
      <c r="H106" s="42">
        <f t="shared" ca="1" si="75"/>
        <v>0.10914730912333792</v>
      </c>
      <c r="I106" s="42">
        <f t="shared" ca="1" si="75"/>
        <v>0.83135008364937424</v>
      </c>
      <c r="J106" s="43">
        <f ca="1">IF(I106&lt;Inputs!$B$54,1+Inputs!$B$55,1)</f>
        <v>1</v>
      </c>
      <c r="K106" s="42">
        <f t="shared" ca="1" si="76"/>
        <v>0.45411930842047143</v>
      </c>
      <c r="L106" s="42">
        <f t="shared" ca="1" si="76"/>
        <v>0.89335047319097172</v>
      </c>
      <c r="M106" s="42">
        <f t="shared" ca="1" si="76"/>
        <v>0.17767176745420932</v>
      </c>
      <c r="N106" s="42">
        <f t="shared" ca="1" si="76"/>
        <v>0.35332702492439083</v>
      </c>
      <c r="O106" s="42">
        <f t="shared" ca="1" si="76"/>
        <v>0.59939265645693762</v>
      </c>
      <c r="P106" s="42">
        <f t="shared" ca="1" si="76"/>
        <v>0.79529898262982301</v>
      </c>
      <c r="Q106" s="42">
        <f t="shared" ca="1" si="76"/>
        <v>5.1958459350428865E-2</v>
      </c>
      <c r="R106" s="42">
        <f t="shared" ca="1" si="76"/>
        <v>0.51019897272026504</v>
      </c>
      <c r="S106" s="42">
        <f t="shared" ca="1" si="76"/>
        <v>5.0642531516675748E-2</v>
      </c>
      <c r="T106" s="42">
        <f t="shared" ca="1" si="76"/>
        <v>0.18540958449197431</v>
      </c>
      <c r="U106" s="44">
        <f ca="1">(IF(D106&gt;=Inputs!$E$12,1,IF(K106&lt;=Inputs!$C$46,Inputs!$D$46,IF(K106&lt;=Inputs!$C$47,Inputs!$D$47,Inputs!$D$48))))*((Inputs!$B$28+(P106-0.5)*2*Inputs!$B$53)/Inputs!$B$28)</f>
        <v>1.0029888560994922</v>
      </c>
      <c r="V106" s="44">
        <f ca="1">(IF(E106&gt;=Inputs!$E$13,1,IF(L106&lt;=Inputs!$C$46,Inputs!$D$46,IF(L106&lt;=Inputs!$C$47,Inputs!$D$47,Inputs!$D$48))))*((Inputs!$B$29+(Q106-0.5)*2*Inputs!$B$53)/Inputs!$B$29)</f>
        <v>0.99548345221119383</v>
      </c>
      <c r="W106" s="44">
        <f ca="1">(IF(F106&gt;=Inputs!$E$14,1,IF(M106&lt;=Inputs!$C$46,Inputs!$D$46,IF(M106&lt;=Inputs!$C$47,Inputs!$D$47,Inputs!$D$48))))*((Inputs!$B$30+(R106-0.5)*2*Inputs!$B$53)/Inputs!$B$30)</f>
        <v>1.0001025022383947</v>
      </c>
      <c r="X106" s="44">
        <f ca="1">(IF(G106&gt;=Inputs!$E$15,1,IF(N106&lt;=Inputs!$C$46,Inputs!$D$46,IF(N106&lt;=Inputs!$C$47,Inputs!$D$47,Inputs!$D$48))))*((Inputs!$B$31+(S106-0.5)*2*Inputs!$B$53)/Inputs!$B$31)</f>
        <v>0.99543799524382415</v>
      </c>
      <c r="Y106" s="44">
        <f ca="1">(IF(H106&gt;=Inputs!$E$16,1,IF(O106&lt;=Inputs!$C$46,Inputs!$D$46,IF(O106&lt;=Inputs!$C$47,Inputs!$D$47,Inputs!$D$48))))*((Inputs!$B$32+(T106-0.5)*2*Inputs!$B$53)/Inputs!$B$32)</f>
        <v>0.99683510648382279</v>
      </c>
      <c r="Z106" s="45">
        <f ca="1">ILP_C_HighResilience!$C$9*U106+ILP_C_HighResilience!$C$10*V106+ILP_C_HighResilience!$C$11*W106+ILP_C_HighResilience!$C$12*X106+ILP_C_HighResilience!$C$13*Y106</f>
        <v>17972.413757632174</v>
      </c>
      <c r="AA106" s="45">
        <f ca="1">ILP_C_HighResilience!$D$9*U106+ILP_C_HighResilience!$D$10*V106+ILP_C_HighResilience!$D$11*W106+ILP_C_HighResilience!$D$12*X106+ILP_C_HighResilience!$D$13*Y106</f>
        <v>14952.2732110978</v>
      </c>
      <c r="AB106" s="45">
        <f ca="1">ILP_C_HighResilience!$E$9*U106+ILP_C_HighResilience!$E$10*V106+ILP_C_HighResilience!$E$11*W106+ILP_C_HighResilience!$E$12*X106+ILP_C_HighResilience!$E$13*Y106</f>
        <v>11995.278038877364</v>
      </c>
      <c r="AC106" s="45">
        <f ca="1">Inputs!$B$6*$C106</f>
        <v>16200</v>
      </c>
      <c r="AD106" s="45">
        <f ca="1">Inputs!$B$7*$C106</f>
        <v>13500</v>
      </c>
      <c r="AE106" s="45">
        <f ca="1">Inputs!$B$8*$C106</f>
        <v>10800</v>
      </c>
      <c r="AF106" s="45">
        <f t="shared" ca="1" si="78"/>
        <v>0</v>
      </c>
      <c r="AG106" s="45">
        <f t="shared" ca="1" si="79"/>
        <v>0</v>
      </c>
      <c r="AH106" s="45">
        <f t="shared" ca="1" si="80"/>
        <v>0</v>
      </c>
      <c r="AI106" s="45">
        <f t="shared" ca="1" si="81"/>
        <v>0</v>
      </c>
      <c r="AJ106" s="45">
        <f ca="1">U106*(Inputs!$B$12-ILP_C_HighResilience!$F$9)+V106*(Inputs!$B$13-ILP_C_HighResilience!$F$10)+W106*(Inputs!$B$14-ILP_C_HighResilience!$F$11)+X106*(Inputs!$B$15-ILP_C_HighResilience!$F$12)+Y106*(Inputs!$B$16-ILP_C_HighResilience!$F$13)</f>
        <v>24963.740090223608</v>
      </c>
      <c r="AK106" s="45">
        <f t="shared" ca="1" si="82"/>
        <v>0</v>
      </c>
      <c r="AL106" s="45">
        <f t="shared" ca="1" si="83"/>
        <v>0</v>
      </c>
      <c r="AM106" s="45">
        <f t="shared" ca="1" si="84"/>
        <v>0</v>
      </c>
      <c r="AN106" s="45">
        <f t="shared" ca="1" si="85"/>
        <v>0</v>
      </c>
      <c r="AO106" s="45">
        <f ca="1">MIN(AL106,Inputs!$B$36)</f>
        <v>0</v>
      </c>
      <c r="AP106" s="45">
        <f ca="1">MIN(AN106,Inputs!$B$36-AO106)</f>
        <v>0</v>
      </c>
      <c r="AQ106" s="45">
        <f ca="1">MIN(AM106,Inputs!$B$36-AO106-AP106)</f>
        <v>0</v>
      </c>
      <c r="AR106" s="45">
        <f t="shared" ca="1" si="86"/>
        <v>0</v>
      </c>
      <c r="AS106" s="45">
        <f t="shared" ca="1" si="87"/>
        <v>0</v>
      </c>
      <c r="AT106" s="45">
        <f t="shared" ca="1" si="88"/>
        <v>0</v>
      </c>
      <c r="AU106" s="45">
        <f t="shared" ca="1" si="89"/>
        <v>0</v>
      </c>
      <c r="AV106" s="46">
        <f ca="1">AU106*Inputs!$B$35</f>
        <v>0</v>
      </c>
      <c r="AW106" s="46">
        <f ca="1">AR106*Inputs!$C$6+AT106*Inputs!$C$7+AS106*Inputs!$C$8</f>
        <v>0</v>
      </c>
      <c r="AX106" s="46">
        <f t="shared" ca="1" si="90"/>
        <v>47548391.706995077</v>
      </c>
      <c r="AY106" s="46">
        <f ca="1">IF(J106&gt;1,($CD$4)*Inputs!$B$55*((Z106+AA106+AB106)/(SUM(ILP_C_HighResilience!$C$9:$E$13))),0)</f>
        <v>0</v>
      </c>
      <c r="AZ106" s="46">
        <f t="shared" ca="1" si="91"/>
        <v>0</v>
      </c>
      <c r="BA106" s="41">
        <f t="shared" ca="1" si="92"/>
        <v>0</v>
      </c>
      <c r="BB106" s="41">
        <f t="shared" ca="1" si="93"/>
        <v>1</v>
      </c>
      <c r="BC106" s="41">
        <f t="shared" ca="1" si="94"/>
        <v>1</v>
      </c>
      <c r="BD106" s="41">
        <f t="shared" ca="1" si="95"/>
        <v>1</v>
      </c>
    </row>
    <row r="107" spans="1:56" ht="15" customHeight="1" x14ac:dyDescent="0.3">
      <c r="A107" s="41">
        <v>100</v>
      </c>
      <c r="B107" s="42">
        <f t="shared" ca="1" si="77"/>
        <v>7.7548236134622583E-2</v>
      </c>
      <c r="C107" s="43">
        <f ca="1">IF(B107&lt;=Inputs!$C$40,Inputs!$D$40,IF(B107&lt;=Inputs!$C$41,Inputs!$D$41,Inputs!$D$42))</f>
        <v>0.9</v>
      </c>
      <c r="D107" s="42">
        <f t="shared" ca="1" si="75"/>
        <v>0.10165412809442065</v>
      </c>
      <c r="E107" s="42">
        <f t="shared" ca="1" si="75"/>
        <v>0.29266685280035942</v>
      </c>
      <c r="F107" s="42">
        <f t="shared" ca="1" si="75"/>
        <v>0.95190175319731773</v>
      </c>
      <c r="G107" s="42">
        <f t="shared" ca="1" si="75"/>
        <v>0.82713565310820181</v>
      </c>
      <c r="H107" s="42">
        <f t="shared" ca="1" si="75"/>
        <v>0.45116841064252322</v>
      </c>
      <c r="I107" s="42">
        <f t="shared" ca="1" si="75"/>
        <v>0.98637456481146712</v>
      </c>
      <c r="J107" s="43">
        <f ca="1">IF(I107&lt;Inputs!$B$54,1+Inputs!$B$55,1)</f>
        <v>1</v>
      </c>
      <c r="K107" s="42">
        <f t="shared" ca="1" si="76"/>
        <v>0.75399948686103591</v>
      </c>
      <c r="L107" s="42">
        <f t="shared" ca="1" si="76"/>
        <v>0.87020557479420113</v>
      </c>
      <c r="M107" s="42">
        <f t="shared" ca="1" si="76"/>
        <v>0.55072041376753478</v>
      </c>
      <c r="N107" s="42">
        <f t="shared" ca="1" si="76"/>
        <v>0.36941353193487381</v>
      </c>
      <c r="O107" s="42">
        <f t="shared" ca="1" si="76"/>
        <v>0.94550675970428033</v>
      </c>
      <c r="P107" s="42">
        <f t="shared" ca="1" si="76"/>
        <v>8.3720436284968391E-2</v>
      </c>
      <c r="Q107" s="42">
        <f t="shared" ca="1" si="76"/>
        <v>0.51809757746538332</v>
      </c>
      <c r="R107" s="42">
        <f t="shared" ca="1" si="76"/>
        <v>0.51248658755912258</v>
      </c>
      <c r="S107" s="42">
        <f t="shared" ca="1" si="76"/>
        <v>0.91560467867828566</v>
      </c>
      <c r="T107" s="42">
        <f t="shared" ca="1" si="76"/>
        <v>0.29896615477736865</v>
      </c>
      <c r="U107" s="44">
        <f ca="1">(IF(D107&gt;=Inputs!$E$12,1,IF(K107&lt;=Inputs!$C$46,Inputs!$D$46,IF(K107&lt;=Inputs!$C$47,Inputs!$D$47,Inputs!$D$48))))*((Inputs!$B$28+(P107-0.5)*2*Inputs!$B$53)/Inputs!$B$28)</f>
        <v>0.99578664409195317</v>
      </c>
      <c r="V107" s="44">
        <f ca="1">(IF(E107&gt;=Inputs!$E$13,1,IF(L107&lt;=Inputs!$C$46,Inputs!$D$46,IF(L107&lt;=Inputs!$C$47,Inputs!$D$47,Inputs!$D$48))))*((Inputs!$B$29+(Q107-0.5)*2*Inputs!$B$53)/Inputs!$B$29)</f>
        <v>1.0001824352567075</v>
      </c>
      <c r="W107" s="44">
        <f ca="1">(IF(F107&gt;=Inputs!$E$14,1,IF(M107&lt;=Inputs!$C$46,Inputs!$D$46,IF(M107&lt;=Inputs!$C$47,Inputs!$D$47,Inputs!$D$48))))*((Inputs!$B$30+(R107-0.5)*2*Inputs!$B$53)/Inputs!$B$30)</f>
        <v>1.0001254933423027</v>
      </c>
      <c r="X107" s="44">
        <f ca="1">(IF(G107&gt;=Inputs!$E$15,1,IF(N107&lt;=Inputs!$C$46,Inputs!$D$46,IF(N107&lt;=Inputs!$C$47,Inputs!$D$47,Inputs!$D$48))))*((Inputs!$B$31+(S107-0.5)*2*Inputs!$B$53)/Inputs!$B$31)</f>
        <v>1.0042193368393735</v>
      </c>
      <c r="Y107" s="44">
        <f ca="1">(IF(H107&gt;=Inputs!$E$16,1,IF(O107&lt;=Inputs!$C$46,Inputs!$D$46,IF(O107&lt;=Inputs!$C$47,Inputs!$D$47,Inputs!$D$48))))*((Inputs!$B$32+(T107-0.5)*2*Inputs!$B$53)/Inputs!$B$32)</f>
        <v>0.99797752670802187</v>
      </c>
      <c r="Z107" s="45">
        <f ca="1">ILP_C_HighResilience!$C$9*U107+ILP_C_HighResilience!$C$10*V107+ILP_C_HighResilience!$C$11*W107+ILP_C_HighResilience!$C$12*X107+ILP_C_HighResilience!$C$13*Y107</f>
        <v>18000.699829629695</v>
      </c>
      <c r="AA107" s="45">
        <f ca="1">ILP_C_HighResilience!$D$9*U107+ILP_C_HighResilience!$D$10*V107+ILP_C_HighResilience!$D$11*W107+ILP_C_HighResilience!$D$12*X107+ILP_C_HighResilience!$D$13*Y107</f>
        <v>15021.137608577435</v>
      </c>
      <c r="AB107" s="45">
        <f ca="1">ILP_C_HighResilience!$E$9*U107+ILP_C_HighResilience!$E$10*V107+ILP_C_HighResilience!$E$11*W107+ILP_C_HighResilience!$E$12*X107+ILP_C_HighResilience!$E$13*Y107</f>
        <v>11980.923610634924</v>
      </c>
      <c r="AC107" s="45">
        <f ca="1">Inputs!$B$6*$C107</f>
        <v>16200</v>
      </c>
      <c r="AD107" s="45">
        <f ca="1">Inputs!$B$7*$C107</f>
        <v>13500</v>
      </c>
      <c r="AE107" s="45">
        <f ca="1">Inputs!$B$8*$C107</f>
        <v>10800</v>
      </c>
      <c r="AF107" s="45">
        <f t="shared" ca="1" si="78"/>
        <v>0</v>
      </c>
      <c r="AG107" s="45">
        <f t="shared" ca="1" si="79"/>
        <v>0</v>
      </c>
      <c r="AH107" s="45">
        <f t="shared" ca="1" si="80"/>
        <v>0</v>
      </c>
      <c r="AI107" s="45">
        <f t="shared" ca="1" si="81"/>
        <v>0</v>
      </c>
      <c r="AJ107" s="45">
        <f ca="1">U107*(Inputs!$B$12-ILP_C_HighResilience!$F$9)+V107*(Inputs!$B$13-ILP_C_HighResilience!$F$10)+W107*(Inputs!$B$14-ILP_C_HighResilience!$F$11)+X107*(Inputs!$B$15-ILP_C_HighResilience!$F$12)+Y107*(Inputs!$B$16-ILP_C_HighResilience!$F$13)</f>
        <v>24954.305706365842</v>
      </c>
      <c r="AK107" s="45">
        <f t="shared" ca="1" si="82"/>
        <v>0</v>
      </c>
      <c r="AL107" s="45">
        <f t="shared" ca="1" si="83"/>
        <v>0</v>
      </c>
      <c r="AM107" s="45">
        <f t="shared" ca="1" si="84"/>
        <v>0</v>
      </c>
      <c r="AN107" s="45">
        <f t="shared" ca="1" si="85"/>
        <v>0</v>
      </c>
      <c r="AO107" s="45">
        <f ca="1">MIN(AL107,Inputs!$B$36)</f>
        <v>0</v>
      </c>
      <c r="AP107" s="45">
        <f ca="1">MIN(AN107,Inputs!$B$36-AO107)</f>
        <v>0</v>
      </c>
      <c r="AQ107" s="45">
        <f ca="1">MIN(AM107,Inputs!$B$36-AO107-AP107)</f>
        <v>0</v>
      </c>
      <c r="AR107" s="45">
        <f t="shared" ca="1" si="86"/>
        <v>0</v>
      </c>
      <c r="AS107" s="45">
        <f t="shared" ca="1" si="87"/>
        <v>0</v>
      </c>
      <c r="AT107" s="45">
        <f t="shared" ca="1" si="88"/>
        <v>0</v>
      </c>
      <c r="AU107" s="45">
        <f t="shared" ca="1" si="89"/>
        <v>0</v>
      </c>
      <c r="AV107" s="46">
        <f ca="1">AU107*Inputs!$B$35</f>
        <v>0</v>
      </c>
      <c r="AW107" s="46">
        <f ca="1">AR107*Inputs!$C$6+AT107*Inputs!$C$7+AS107*Inputs!$C$8</f>
        <v>0</v>
      </c>
      <c r="AX107" s="46">
        <f t="shared" ca="1" si="90"/>
        <v>47634493.02488932</v>
      </c>
      <c r="AY107" s="46">
        <f ca="1">IF(J107&gt;1,($CD$4)*Inputs!$B$55*((Z107+AA107+AB107)/(SUM(ILP_C_HighResilience!$C$9:$E$13))),0)</f>
        <v>0</v>
      </c>
      <c r="AZ107" s="46">
        <f t="shared" ca="1" si="91"/>
        <v>0</v>
      </c>
      <c r="BA107" s="41">
        <f t="shared" ca="1" si="92"/>
        <v>0</v>
      </c>
      <c r="BB107" s="41">
        <f t="shared" ca="1" si="93"/>
        <v>1</v>
      </c>
      <c r="BC107" s="41">
        <f t="shared" ca="1" si="94"/>
        <v>1</v>
      </c>
      <c r="BD107" s="41">
        <f t="shared" ca="1" si="95"/>
        <v>1</v>
      </c>
    </row>
    <row r="108" spans="1:56" ht="15" customHeight="1" x14ac:dyDescent="0.3">
      <c r="A108" s="41">
        <v>101</v>
      </c>
      <c r="B108" s="42">
        <f t="shared" ca="1" si="77"/>
        <v>0.76522318782628185</v>
      </c>
      <c r="C108" s="43">
        <f ca="1">IF(B108&lt;=Inputs!$C$40,Inputs!$D$40,IF(B108&lt;=Inputs!$C$41,Inputs!$D$41,Inputs!$D$42))</f>
        <v>1.1499999999999999</v>
      </c>
      <c r="D108" s="42">
        <f t="shared" ref="D108:I117" ca="1" si="96">RAND()</f>
        <v>0.57195128794394456</v>
      </c>
      <c r="E108" s="42">
        <f t="shared" ca="1" si="96"/>
        <v>0.63622248060945386</v>
      </c>
      <c r="F108" s="42">
        <f t="shared" ca="1" si="96"/>
        <v>0.63410584529326708</v>
      </c>
      <c r="G108" s="42">
        <f t="shared" ca="1" si="96"/>
        <v>0.29678711625554099</v>
      </c>
      <c r="H108" s="42">
        <f t="shared" ca="1" si="96"/>
        <v>0.96738519079020269</v>
      </c>
      <c r="I108" s="42">
        <f t="shared" ca="1" si="96"/>
        <v>7.2567890242656863E-2</v>
      </c>
      <c r="J108" s="43">
        <f ca="1">IF(I108&lt;Inputs!$B$54,1+Inputs!$B$55,1)</f>
        <v>1.25</v>
      </c>
      <c r="K108" s="42">
        <f t="shared" ref="K108:T117" ca="1" si="97">RAND()</f>
        <v>0.13453809400246997</v>
      </c>
      <c r="L108" s="42">
        <f t="shared" ca="1" si="97"/>
        <v>0.28195133224822133</v>
      </c>
      <c r="M108" s="42">
        <f t="shared" ca="1" si="97"/>
        <v>0.84910494830635308</v>
      </c>
      <c r="N108" s="42">
        <f t="shared" ca="1" si="97"/>
        <v>0.26359234991216651</v>
      </c>
      <c r="O108" s="42">
        <f t="shared" ca="1" si="97"/>
        <v>0.47494992920418677</v>
      </c>
      <c r="P108" s="42">
        <f t="shared" ca="1" si="97"/>
        <v>0.41497311289560779</v>
      </c>
      <c r="Q108" s="42">
        <f t="shared" ca="1" si="97"/>
        <v>0.84388389344520598</v>
      </c>
      <c r="R108" s="42">
        <f t="shared" ca="1" si="97"/>
        <v>0.48345178437497116</v>
      </c>
      <c r="S108" s="42">
        <f t="shared" ca="1" si="97"/>
        <v>0.6814995948859609</v>
      </c>
      <c r="T108" s="42">
        <f t="shared" ca="1" si="97"/>
        <v>0.88697352379060468</v>
      </c>
      <c r="U108" s="44">
        <f ca="1">(IF(D108&gt;=Inputs!$E$12,1,IF(K108&lt;=Inputs!$C$46,Inputs!$D$46,IF(K108&lt;=Inputs!$C$47,Inputs!$D$47,Inputs!$D$48))))*((Inputs!$B$28+(P108-0.5)*2*Inputs!$B$53)/Inputs!$B$28)</f>
        <v>0.99913940397667622</v>
      </c>
      <c r="V108" s="44">
        <f ca="1">(IF(E108&gt;=Inputs!$E$13,1,IF(L108&lt;=Inputs!$C$46,Inputs!$D$46,IF(L108&lt;=Inputs!$C$47,Inputs!$D$47,Inputs!$D$48))))*((Inputs!$B$29+(Q108-0.5)*2*Inputs!$B$53)/Inputs!$B$29)</f>
        <v>1.0034665715065041</v>
      </c>
      <c r="W108" s="44">
        <f ca="1">(IF(F108&gt;=Inputs!$E$14,1,IF(M108&lt;=Inputs!$C$46,Inputs!$D$46,IF(M108&lt;=Inputs!$C$47,Inputs!$D$47,Inputs!$D$48))))*((Inputs!$B$30+(R108-0.5)*2*Inputs!$B$53)/Inputs!$B$30)</f>
        <v>0.99983368627512526</v>
      </c>
      <c r="X108" s="44">
        <f ca="1">(IF(G108&gt;=Inputs!$E$15,1,IF(N108&lt;=Inputs!$C$46,Inputs!$D$46,IF(N108&lt;=Inputs!$C$47,Inputs!$D$47,Inputs!$D$48))))*((Inputs!$B$31+(S108-0.5)*2*Inputs!$B$53)/Inputs!$B$31)</f>
        <v>1.0018426354810757</v>
      </c>
      <c r="Y108" s="44">
        <f ca="1">(IF(H108&gt;=Inputs!$E$16,1,IF(O108&lt;=Inputs!$C$46,Inputs!$D$46,IF(O108&lt;=Inputs!$C$47,Inputs!$D$47,Inputs!$D$48))))*((Inputs!$B$32+(T108-0.5)*2*Inputs!$B$53)/Inputs!$B$32)</f>
        <v>1.0038930938007102</v>
      </c>
      <c r="Z108" s="45">
        <f ca="1">ILP_C_HighResilience!$C$9*U108+ILP_C_HighResilience!$C$10*V108+ILP_C_HighResilience!$C$11*W108+ILP_C_HighResilience!$C$12*X108+ILP_C_HighResilience!$C$13*Y108</f>
        <v>18019.550341519229</v>
      </c>
      <c r="AA108" s="45">
        <f ca="1">ILP_C_HighResilience!$D$9*U108+ILP_C_HighResilience!$D$10*V108+ILP_C_HighResilience!$D$11*W108+ILP_C_HighResilience!$D$12*X108+ILP_C_HighResilience!$D$13*Y108</f>
        <v>15028.583950846643</v>
      </c>
      <c r="AB108" s="45">
        <f ca="1">ILP_C_HighResilience!$E$9*U108+ILP_C_HighResilience!$E$10*V108+ILP_C_HighResilience!$E$11*W108+ILP_C_HighResilience!$E$12*X108+ILP_C_HighResilience!$E$13*Y108</f>
        <v>12010.2494921411</v>
      </c>
      <c r="AC108" s="45">
        <f ca="1">Inputs!$B$6*$C108</f>
        <v>20700</v>
      </c>
      <c r="AD108" s="45">
        <f ca="1">Inputs!$B$7*$C108</f>
        <v>17250</v>
      </c>
      <c r="AE108" s="45">
        <f ca="1">Inputs!$B$8*$C108</f>
        <v>13799.999999999998</v>
      </c>
      <c r="AF108" s="45">
        <f t="shared" ca="1" si="78"/>
        <v>2680.4496584807712</v>
      </c>
      <c r="AG108" s="45">
        <f t="shared" ca="1" si="79"/>
        <v>2221.4160491533567</v>
      </c>
      <c r="AH108" s="45">
        <f t="shared" ca="1" si="80"/>
        <v>1789.7505078588983</v>
      </c>
      <c r="AI108" s="45">
        <f t="shared" ca="1" si="81"/>
        <v>6691.6162154930262</v>
      </c>
      <c r="AJ108" s="45">
        <f ca="1">U108*(Inputs!$B$12-ILP_C_HighResilience!$F$9)+V108*(Inputs!$B$13-ILP_C_HighResilience!$F$10)+W108*(Inputs!$B$14-ILP_C_HighResilience!$F$11)+X108*(Inputs!$B$15-ILP_C_HighResilience!$F$12)+Y108*(Inputs!$B$16-ILP_C_HighResilience!$F$13)</f>
        <v>25054.724634571096</v>
      </c>
      <c r="AK108" s="45">
        <f t="shared" ca="1" si="82"/>
        <v>6691.6162154930262</v>
      </c>
      <c r="AL108" s="45">
        <f t="shared" ca="1" si="83"/>
        <v>0</v>
      </c>
      <c r="AM108" s="45">
        <f t="shared" ca="1" si="84"/>
        <v>0</v>
      </c>
      <c r="AN108" s="45">
        <f t="shared" ca="1" si="85"/>
        <v>0</v>
      </c>
      <c r="AO108" s="45">
        <f ca="1">MIN(AL108,Inputs!$B$36)</f>
        <v>0</v>
      </c>
      <c r="AP108" s="45">
        <f ca="1">MIN(AN108,Inputs!$B$36-AO108)</f>
        <v>0</v>
      </c>
      <c r="AQ108" s="45">
        <f ca="1">MIN(AM108,Inputs!$B$36-AO108-AP108)</f>
        <v>0</v>
      </c>
      <c r="AR108" s="45">
        <f t="shared" ca="1" si="86"/>
        <v>0</v>
      </c>
      <c r="AS108" s="45">
        <f t="shared" ca="1" si="87"/>
        <v>0</v>
      </c>
      <c r="AT108" s="45">
        <f t="shared" ca="1" si="88"/>
        <v>0</v>
      </c>
      <c r="AU108" s="45">
        <f t="shared" ca="1" si="89"/>
        <v>0</v>
      </c>
      <c r="AV108" s="46">
        <f ca="1">AU108*Inputs!$B$35</f>
        <v>0</v>
      </c>
      <c r="AW108" s="46">
        <f ca="1">AR108*Inputs!$C$6+AT108*Inputs!$C$7+AS108*Inputs!$C$8</f>
        <v>0</v>
      </c>
      <c r="AX108" s="46">
        <f t="shared" ca="1" si="90"/>
        <v>47694043.432883345</v>
      </c>
      <c r="AY108" s="46">
        <f ca="1">IF(J108&gt;1,($CD$4)*Inputs!$B$55*((Z108+AA108+AB108)/(SUM(ILP_C_HighResilience!$C$9:$E$13))),0)</f>
        <v>601824.80626131094</v>
      </c>
      <c r="AZ108" s="46">
        <f t="shared" ca="1" si="91"/>
        <v>0</v>
      </c>
      <c r="BA108" s="41">
        <f t="shared" ca="1" si="92"/>
        <v>0</v>
      </c>
      <c r="BB108" s="41">
        <f t="shared" ca="1" si="93"/>
        <v>1</v>
      </c>
      <c r="BC108" s="41">
        <f t="shared" ca="1" si="94"/>
        <v>1</v>
      </c>
      <c r="BD108" s="41">
        <f t="shared" ca="1" si="95"/>
        <v>1</v>
      </c>
    </row>
    <row r="109" spans="1:56" ht="15" customHeight="1" x14ac:dyDescent="0.3">
      <c r="A109" s="41">
        <v>102</v>
      </c>
      <c r="B109" s="42">
        <f t="shared" ca="1" si="77"/>
        <v>0.752839064786753</v>
      </c>
      <c r="C109" s="43">
        <f ca="1">IF(B109&lt;=Inputs!$C$40,Inputs!$D$40,IF(B109&lt;=Inputs!$C$41,Inputs!$D$41,Inputs!$D$42))</f>
        <v>1.1499999999999999</v>
      </c>
      <c r="D109" s="42">
        <f t="shared" ca="1" si="96"/>
        <v>0.33917595053513372</v>
      </c>
      <c r="E109" s="42">
        <f t="shared" ca="1" si="96"/>
        <v>0.82164616145894542</v>
      </c>
      <c r="F109" s="42">
        <f t="shared" ca="1" si="96"/>
        <v>0.48206944503674864</v>
      </c>
      <c r="G109" s="42">
        <f t="shared" ca="1" si="96"/>
        <v>0.58132928533567896</v>
      </c>
      <c r="H109" s="42">
        <f t="shared" ca="1" si="96"/>
        <v>0.47312291253055527</v>
      </c>
      <c r="I109" s="42">
        <f t="shared" ca="1" si="96"/>
        <v>0.71789130208932617</v>
      </c>
      <c r="J109" s="43">
        <f ca="1">IF(I109&lt;Inputs!$B$54,1+Inputs!$B$55,1)</f>
        <v>1</v>
      </c>
      <c r="K109" s="42">
        <f t="shared" ca="1" si="97"/>
        <v>0.47433144097937707</v>
      </c>
      <c r="L109" s="42">
        <f t="shared" ca="1" si="97"/>
        <v>0.52048602817347089</v>
      </c>
      <c r="M109" s="42">
        <f t="shared" ca="1" si="97"/>
        <v>0.13197542059031753</v>
      </c>
      <c r="N109" s="42">
        <f t="shared" ca="1" si="97"/>
        <v>0.92795010345775986</v>
      </c>
      <c r="O109" s="42">
        <f t="shared" ca="1" si="97"/>
        <v>0.97041387888711139</v>
      </c>
      <c r="P109" s="42">
        <f t="shared" ca="1" si="97"/>
        <v>0.60537569864030127</v>
      </c>
      <c r="Q109" s="42">
        <f t="shared" ca="1" si="97"/>
        <v>0.41294861368735158</v>
      </c>
      <c r="R109" s="42">
        <f t="shared" ca="1" si="97"/>
        <v>0.45177286202972999</v>
      </c>
      <c r="S109" s="42">
        <f t="shared" ca="1" si="97"/>
        <v>0.63676532626966997</v>
      </c>
      <c r="T109" s="42">
        <f t="shared" ca="1" si="97"/>
        <v>0.28221256810426987</v>
      </c>
      <c r="U109" s="44">
        <f ca="1">(IF(D109&gt;=Inputs!$E$12,1,IF(K109&lt;=Inputs!$C$46,Inputs!$D$46,IF(K109&lt;=Inputs!$C$47,Inputs!$D$47,Inputs!$D$48))))*((Inputs!$B$28+(P109-0.5)*2*Inputs!$B$53)/Inputs!$B$28)</f>
        <v>1.001066555654254</v>
      </c>
      <c r="V109" s="44">
        <f ca="1">(IF(E109&gt;=Inputs!$E$13,1,IF(L109&lt;=Inputs!$C$46,Inputs!$D$46,IF(L109&lt;=Inputs!$C$47,Inputs!$D$47,Inputs!$D$48))))*((Inputs!$B$29+(Q109-0.5)*2*Inputs!$B$53)/Inputs!$B$29)</f>
        <v>0.99912246586378373</v>
      </c>
      <c r="W109" s="44">
        <f ca="1">(IF(F109&gt;=Inputs!$E$14,1,IF(M109&lt;=Inputs!$C$46,Inputs!$D$46,IF(M109&lt;=Inputs!$C$47,Inputs!$D$47,Inputs!$D$48))))*((Inputs!$B$30+(R109-0.5)*2*Inputs!$B$53)/Inputs!$B$30)</f>
        <v>0.99951530514602749</v>
      </c>
      <c r="X109" s="44">
        <f ca="1">(IF(G109&gt;=Inputs!$E$15,1,IF(N109&lt;=Inputs!$C$46,Inputs!$D$46,IF(N109&lt;=Inputs!$C$47,Inputs!$D$47,Inputs!$D$48))))*((Inputs!$B$31+(S109-0.5)*2*Inputs!$B$53)/Inputs!$B$31)</f>
        <v>1.0013884804697428</v>
      </c>
      <c r="Y109" s="44">
        <f ca="1">(IF(H109&gt;=Inputs!$E$16,1,IF(O109&lt;=Inputs!$C$46,Inputs!$D$46,IF(O109&lt;=Inputs!$C$47,Inputs!$D$47,Inputs!$D$48))))*((Inputs!$B$32+(T109-0.5)*2*Inputs!$B$53)/Inputs!$B$32)</f>
        <v>0.99780897955839298</v>
      </c>
      <c r="Z109" s="45">
        <f ca="1">ILP_C_HighResilience!$C$9*U109+ILP_C_HighResilience!$C$10*V109+ILP_C_HighResilience!$C$11*W109+ILP_C_HighResilience!$C$12*X109+ILP_C_HighResilience!$C$13*Y109</f>
        <v>18014.517137202398</v>
      </c>
      <c r="AA109" s="45">
        <f ca="1">ILP_C_HighResilience!$D$9*U109+ILP_C_HighResilience!$D$10*V109+ILP_C_HighResilience!$D$11*W109+ILP_C_HighResilience!$D$12*X109+ILP_C_HighResilience!$D$13*Y109</f>
        <v>14999.026611492514</v>
      </c>
      <c r="AB109" s="45">
        <f ca="1">ILP_C_HighResilience!$E$9*U109+ILP_C_HighResilience!$E$10*V109+ILP_C_HighResilience!$E$11*W109+ILP_C_HighResilience!$E$12*X109+ILP_C_HighResilience!$E$13*Y109</f>
        <v>11999.945169349556</v>
      </c>
      <c r="AC109" s="45">
        <f ca="1">Inputs!$B$6*$C109</f>
        <v>20700</v>
      </c>
      <c r="AD109" s="45">
        <f ca="1">Inputs!$B$7*$C109</f>
        <v>17250</v>
      </c>
      <c r="AE109" s="45">
        <f ca="1">Inputs!$B$8*$C109</f>
        <v>13799.999999999998</v>
      </c>
      <c r="AF109" s="45">
        <f t="shared" ca="1" si="78"/>
        <v>2685.4828627976021</v>
      </c>
      <c r="AG109" s="45">
        <f t="shared" ca="1" si="79"/>
        <v>2250.9733885074857</v>
      </c>
      <c r="AH109" s="45">
        <f t="shared" ca="1" si="80"/>
        <v>1800.0548306504425</v>
      </c>
      <c r="AI109" s="45">
        <f t="shared" ca="1" si="81"/>
        <v>6736.5110819555302</v>
      </c>
      <c r="AJ109" s="45">
        <f ca="1">U109*(Inputs!$B$12-ILP_C_HighResilience!$F$9)+V109*(Inputs!$B$13-ILP_C_HighResilience!$F$10)+W109*(Inputs!$B$14-ILP_C_HighResilience!$F$11)+X109*(Inputs!$B$15-ILP_C_HighResilience!$F$12)+Y109*(Inputs!$B$16-ILP_C_HighResilience!$F$13)</f>
        <v>24968.785920427734</v>
      </c>
      <c r="AK109" s="45">
        <f t="shared" ca="1" si="82"/>
        <v>6736.5110819555302</v>
      </c>
      <c r="AL109" s="45">
        <f t="shared" ca="1" si="83"/>
        <v>0</v>
      </c>
      <c r="AM109" s="45">
        <f t="shared" ca="1" si="84"/>
        <v>0</v>
      </c>
      <c r="AN109" s="45">
        <f t="shared" ca="1" si="85"/>
        <v>0</v>
      </c>
      <c r="AO109" s="45">
        <f ca="1">MIN(AL109,Inputs!$B$36)</f>
        <v>0</v>
      </c>
      <c r="AP109" s="45">
        <f ca="1">MIN(AN109,Inputs!$B$36-AO109)</f>
        <v>0</v>
      </c>
      <c r="AQ109" s="45">
        <f ca="1">MIN(AM109,Inputs!$B$36-AO109-AP109)</f>
        <v>0</v>
      </c>
      <c r="AR109" s="45">
        <f t="shared" ca="1" si="86"/>
        <v>0</v>
      </c>
      <c r="AS109" s="45">
        <f t="shared" ca="1" si="87"/>
        <v>0</v>
      </c>
      <c r="AT109" s="45">
        <f t="shared" ca="1" si="88"/>
        <v>0</v>
      </c>
      <c r="AU109" s="45">
        <f t="shared" ca="1" si="89"/>
        <v>0</v>
      </c>
      <c r="AV109" s="46">
        <f ca="1">AU109*Inputs!$B$35</f>
        <v>0</v>
      </c>
      <c r="AW109" s="46">
        <f ca="1">AR109*Inputs!$C$6+AT109*Inputs!$C$7+AS109*Inputs!$C$8</f>
        <v>0</v>
      </c>
      <c r="AX109" s="46">
        <f t="shared" ca="1" si="90"/>
        <v>47646444.798904076</v>
      </c>
      <c r="AY109" s="46">
        <f ca="1">IF(J109&gt;1,($CD$4)*Inputs!$B$55*((Z109+AA109+AB109)/(SUM(ILP_C_HighResilience!$C$9:$E$13))),0)</f>
        <v>0</v>
      </c>
      <c r="AZ109" s="46">
        <f t="shared" ca="1" si="91"/>
        <v>0</v>
      </c>
      <c r="BA109" s="41">
        <f t="shared" ca="1" si="92"/>
        <v>0</v>
      </c>
      <c r="BB109" s="41">
        <f t="shared" ca="1" si="93"/>
        <v>1</v>
      </c>
      <c r="BC109" s="41">
        <f t="shared" ca="1" si="94"/>
        <v>1</v>
      </c>
      <c r="BD109" s="41">
        <f t="shared" ca="1" si="95"/>
        <v>1</v>
      </c>
    </row>
    <row r="110" spans="1:56" ht="15" customHeight="1" x14ac:dyDescent="0.3">
      <c r="A110" s="41">
        <v>103</v>
      </c>
      <c r="B110" s="42">
        <f t="shared" ca="1" si="77"/>
        <v>0.11381637225183694</v>
      </c>
      <c r="C110" s="43">
        <f ca="1">IF(B110&lt;=Inputs!$C$40,Inputs!$D$40,IF(B110&lt;=Inputs!$C$41,Inputs!$D$41,Inputs!$D$42))</f>
        <v>0.9</v>
      </c>
      <c r="D110" s="42">
        <f t="shared" ca="1" si="96"/>
        <v>0.12141945903072915</v>
      </c>
      <c r="E110" s="42">
        <f t="shared" ca="1" si="96"/>
        <v>2.4234390211080092E-2</v>
      </c>
      <c r="F110" s="42">
        <f t="shared" ca="1" si="96"/>
        <v>0.99063495459646189</v>
      </c>
      <c r="G110" s="42">
        <f t="shared" ca="1" si="96"/>
        <v>0.64146795106165289</v>
      </c>
      <c r="H110" s="42">
        <f t="shared" ca="1" si="96"/>
        <v>0.7680842221326174</v>
      </c>
      <c r="I110" s="42">
        <f t="shared" ca="1" si="96"/>
        <v>0.23702613113693771</v>
      </c>
      <c r="J110" s="43">
        <f ca="1">IF(I110&lt;Inputs!$B$54,1+Inputs!$B$55,1)</f>
        <v>1</v>
      </c>
      <c r="K110" s="42">
        <f t="shared" ca="1" si="97"/>
        <v>5.2519310645667061E-2</v>
      </c>
      <c r="L110" s="42">
        <f t="shared" ca="1" si="97"/>
        <v>0.14364085662620774</v>
      </c>
      <c r="M110" s="42">
        <f t="shared" ca="1" si="97"/>
        <v>0.76136322575704007</v>
      </c>
      <c r="N110" s="42">
        <f t="shared" ca="1" si="97"/>
        <v>0.24482254903443601</v>
      </c>
      <c r="O110" s="42">
        <f t="shared" ca="1" si="97"/>
        <v>0.83753126317546345</v>
      </c>
      <c r="P110" s="42">
        <f t="shared" ca="1" si="97"/>
        <v>0.53590078520636442</v>
      </c>
      <c r="Q110" s="42">
        <f t="shared" ca="1" si="97"/>
        <v>0.5514102784513929</v>
      </c>
      <c r="R110" s="42">
        <f t="shared" ca="1" si="97"/>
        <v>0.82266392379899655</v>
      </c>
      <c r="S110" s="42">
        <f t="shared" ca="1" si="97"/>
        <v>0.22346559485399276</v>
      </c>
      <c r="T110" s="42">
        <f t="shared" ca="1" si="97"/>
        <v>2.6752799146389061E-2</v>
      </c>
      <c r="U110" s="44">
        <f ca="1">(IF(D110&gt;=Inputs!$E$12,1,IF(K110&lt;=Inputs!$C$46,Inputs!$D$46,IF(K110&lt;=Inputs!$C$47,Inputs!$D$47,Inputs!$D$48))))*((Inputs!$B$28+(P110-0.5)*2*Inputs!$B$53)/Inputs!$B$28)</f>
        <v>1.0003633682713196</v>
      </c>
      <c r="V110" s="44">
        <f ca="1">(IF(E110&gt;=Inputs!$E$13,1,IF(L110&lt;=Inputs!$C$46,Inputs!$D$46,IF(L110&lt;=Inputs!$C$47,Inputs!$D$47,Inputs!$D$48))))*((Inputs!$B$29+(Q110-0.5)*2*Inputs!$B$53)/Inputs!$B$29)</f>
        <v>0.60031094926482687</v>
      </c>
      <c r="W110" s="44">
        <f ca="1">(IF(F110&gt;=Inputs!$E$14,1,IF(M110&lt;=Inputs!$C$46,Inputs!$D$46,IF(M110&lt;=Inputs!$C$47,Inputs!$D$47,Inputs!$D$48))))*((Inputs!$B$30+(R110-0.5)*2*Inputs!$B$53)/Inputs!$B$30)</f>
        <v>1.0032428535055176</v>
      </c>
      <c r="X110" s="44">
        <f ca="1">(IF(G110&gt;=Inputs!$E$15,1,IF(N110&lt;=Inputs!$C$46,Inputs!$D$46,IF(N110&lt;=Inputs!$C$47,Inputs!$D$47,Inputs!$D$48))))*((Inputs!$B$31+(S110-0.5)*2*Inputs!$B$53)/Inputs!$B$31)</f>
        <v>0.99719254411019276</v>
      </c>
      <c r="Y110" s="44">
        <f ca="1">(IF(H110&gt;=Inputs!$E$16,1,IF(O110&lt;=Inputs!$C$46,Inputs!$D$46,IF(O110&lt;=Inputs!$C$47,Inputs!$D$47,Inputs!$D$48))))*((Inputs!$B$32+(T110-0.5)*2*Inputs!$B$53)/Inputs!$B$32)</f>
        <v>0.99523896176203608</v>
      </c>
      <c r="Z110" s="45">
        <f ca="1">ILP_C_HighResilience!$C$9*U110+ILP_C_HighResilience!$C$10*V110+ILP_C_HighResilience!$C$11*W110+ILP_C_HighResilience!$C$12*X110+ILP_C_HighResilience!$C$13*Y110</f>
        <v>16543.521986500265</v>
      </c>
      <c r="AA110" s="45">
        <f ca="1">ILP_C_HighResilience!$D$9*U110+ILP_C_HighResilience!$D$10*V110+ILP_C_HighResilience!$D$11*W110+ILP_C_HighResilience!$D$12*X110+ILP_C_HighResilience!$D$13*Y110</f>
        <v>12603.098947732218</v>
      </c>
      <c r="AB110" s="45">
        <f ca="1">ILP_C_HighResilience!$E$9*U110+ILP_C_HighResilience!$E$10*V110+ILP_C_HighResilience!$E$11*W110+ILP_C_HighResilience!$E$12*X110+ILP_C_HighResilience!$E$13*Y110</f>
        <v>10297.320707557978</v>
      </c>
      <c r="AC110" s="45">
        <f ca="1">Inputs!$B$6*$C110</f>
        <v>16200</v>
      </c>
      <c r="AD110" s="45">
        <f ca="1">Inputs!$B$7*$C110</f>
        <v>13500</v>
      </c>
      <c r="AE110" s="45">
        <f ca="1">Inputs!$B$8*$C110</f>
        <v>10800</v>
      </c>
      <c r="AF110" s="45">
        <f t="shared" ca="1" si="78"/>
        <v>0</v>
      </c>
      <c r="AG110" s="45">
        <f t="shared" ca="1" si="79"/>
        <v>896.90105226778178</v>
      </c>
      <c r="AH110" s="45">
        <f t="shared" ca="1" si="80"/>
        <v>502.67929244202242</v>
      </c>
      <c r="AI110" s="45">
        <f t="shared" ca="1" si="81"/>
        <v>1399.5803447098042</v>
      </c>
      <c r="AJ110" s="45">
        <f ca="1">U110*(Inputs!$B$12-ILP_C_HighResilience!$F$9)+V110*(Inputs!$B$13-ILP_C_HighResilience!$F$10)+W110*(Inputs!$B$14-ILP_C_HighResilience!$F$11)+X110*(Inputs!$B$15-ILP_C_HighResilience!$F$12)+Y110*(Inputs!$B$16-ILP_C_HighResilience!$F$13)</f>
        <v>24903.27759158281</v>
      </c>
      <c r="AK110" s="45">
        <f t="shared" ca="1" si="82"/>
        <v>1399.5803447098042</v>
      </c>
      <c r="AL110" s="45">
        <f t="shared" ca="1" si="83"/>
        <v>0</v>
      </c>
      <c r="AM110" s="45">
        <f t="shared" ca="1" si="84"/>
        <v>0</v>
      </c>
      <c r="AN110" s="45">
        <f t="shared" ca="1" si="85"/>
        <v>0</v>
      </c>
      <c r="AO110" s="45">
        <f ca="1">MIN(AL110,Inputs!$B$36)</f>
        <v>0</v>
      </c>
      <c r="AP110" s="45">
        <f ca="1">MIN(AN110,Inputs!$B$36-AO110)</f>
        <v>0</v>
      </c>
      <c r="AQ110" s="45">
        <f ca="1">MIN(AM110,Inputs!$B$36-AO110-AP110)</f>
        <v>0</v>
      </c>
      <c r="AR110" s="45">
        <f t="shared" ca="1" si="86"/>
        <v>0</v>
      </c>
      <c r="AS110" s="45">
        <f t="shared" ca="1" si="87"/>
        <v>0</v>
      </c>
      <c r="AT110" s="45">
        <f t="shared" ca="1" si="88"/>
        <v>0</v>
      </c>
      <c r="AU110" s="45">
        <f t="shared" ca="1" si="89"/>
        <v>0</v>
      </c>
      <c r="AV110" s="46">
        <f ca="1">AU110*Inputs!$B$35</f>
        <v>0</v>
      </c>
      <c r="AW110" s="46">
        <f ca="1">AR110*Inputs!$C$6+AT110*Inputs!$C$7+AS110*Inputs!$C$8</f>
        <v>0</v>
      </c>
      <c r="AX110" s="46">
        <f t="shared" ca="1" si="90"/>
        <v>41732762.097850546</v>
      </c>
      <c r="AY110" s="46">
        <f ca="1">IF(J110&gt;1,($CD$4)*Inputs!$B$55*((Z110+AA110+AB110)/(SUM(ILP_C_HighResilience!$C$9:$E$13))),0)</f>
        <v>0</v>
      </c>
      <c r="AZ110" s="46">
        <f t="shared" ca="1" si="91"/>
        <v>0</v>
      </c>
      <c r="BA110" s="41">
        <f t="shared" ca="1" si="92"/>
        <v>0</v>
      </c>
      <c r="BB110" s="41">
        <f t="shared" ca="1" si="93"/>
        <v>1</v>
      </c>
      <c r="BC110" s="41">
        <f t="shared" ca="1" si="94"/>
        <v>1</v>
      </c>
      <c r="BD110" s="41">
        <f t="shared" ca="1" si="95"/>
        <v>1</v>
      </c>
    </row>
    <row r="111" spans="1:56" ht="15" customHeight="1" x14ac:dyDescent="0.3">
      <c r="A111" s="41">
        <v>104</v>
      </c>
      <c r="B111" s="42">
        <f t="shared" ca="1" si="77"/>
        <v>0.53530470531751773</v>
      </c>
      <c r="C111" s="43">
        <f ca="1">IF(B111&lt;=Inputs!$C$40,Inputs!$D$40,IF(B111&lt;=Inputs!$C$41,Inputs!$D$41,Inputs!$D$42))</f>
        <v>1</v>
      </c>
      <c r="D111" s="42">
        <f t="shared" ca="1" si="96"/>
        <v>0.61183495107178654</v>
      </c>
      <c r="E111" s="42">
        <f t="shared" ca="1" si="96"/>
        <v>0.17721117562240329</v>
      </c>
      <c r="F111" s="42">
        <f t="shared" ca="1" si="96"/>
        <v>0.70203276282451199</v>
      </c>
      <c r="G111" s="42">
        <f t="shared" ca="1" si="96"/>
        <v>0.11099552245626265</v>
      </c>
      <c r="H111" s="42">
        <f t="shared" ca="1" si="96"/>
        <v>0.77928897232117489</v>
      </c>
      <c r="I111" s="42">
        <f t="shared" ca="1" si="96"/>
        <v>0.76450182730402239</v>
      </c>
      <c r="J111" s="43">
        <f ca="1">IF(I111&lt;Inputs!$B$54,1+Inputs!$B$55,1)</f>
        <v>1</v>
      </c>
      <c r="K111" s="42">
        <f t="shared" ca="1" si="97"/>
        <v>0.46016209777337935</v>
      </c>
      <c r="L111" s="42">
        <f t="shared" ca="1" si="97"/>
        <v>0.79139936037822656</v>
      </c>
      <c r="M111" s="42">
        <f t="shared" ca="1" si="97"/>
        <v>0.70260548282152602</v>
      </c>
      <c r="N111" s="42">
        <f t="shared" ca="1" si="97"/>
        <v>0.30105918793515984</v>
      </c>
      <c r="O111" s="42">
        <f t="shared" ca="1" si="97"/>
        <v>0.41235317821177953</v>
      </c>
      <c r="P111" s="42">
        <f t="shared" ca="1" si="97"/>
        <v>0.10799646309803668</v>
      </c>
      <c r="Q111" s="42">
        <f t="shared" ca="1" si="97"/>
        <v>0.17682785249563282</v>
      </c>
      <c r="R111" s="42">
        <f t="shared" ca="1" si="97"/>
        <v>0.64545853848743995</v>
      </c>
      <c r="S111" s="42">
        <f t="shared" ca="1" si="97"/>
        <v>0.12210914833038589</v>
      </c>
      <c r="T111" s="42">
        <f t="shared" ca="1" si="97"/>
        <v>0.10507739540177308</v>
      </c>
      <c r="U111" s="44">
        <f ca="1">(IF(D111&gt;=Inputs!$E$12,1,IF(K111&lt;=Inputs!$C$46,Inputs!$D$46,IF(K111&lt;=Inputs!$C$47,Inputs!$D$47,Inputs!$D$48))))*((Inputs!$B$28+(P111-0.5)*2*Inputs!$B$53)/Inputs!$B$28)</f>
        <v>0.99603235286536473</v>
      </c>
      <c r="V111" s="44">
        <f ca="1">(IF(E111&gt;=Inputs!$E$13,1,IF(L111&lt;=Inputs!$C$46,Inputs!$D$46,IF(L111&lt;=Inputs!$C$47,Inputs!$D$47,Inputs!$D$48))))*((Inputs!$B$29+(Q111-0.5)*2*Inputs!$B$53)/Inputs!$B$29)</f>
        <v>0.99674221625499626</v>
      </c>
      <c r="W111" s="44">
        <f ca="1">(IF(F111&gt;=Inputs!$E$14,1,IF(M111&lt;=Inputs!$C$46,Inputs!$D$46,IF(M111&lt;=Inputs!$C$47,Inputs!$D$47,Inputs!$D$48))))*((Inputs!$B$30+(R111-0.5)*2*Inputs!$B$53)/Inputs!$B$30)</f>
        <v>1.0014618948591703</v>
      </c>
      <c r="X111" s="44">
        <f ca="1">(IF(G111&gt;=Inputs!$E$15,1,IF(N111&lt;=Inputs!$C$46,Inputs!$D$46,IF(N111&lt;=Inputs!$C$47,Inputs!$D$47,Inputs!$D$48))))*((Inputs!$B$31+(S111-0.5)*2*Inputs!$B$53)/Inputs!$B$31)</f>
        <v>0.59769812679186018</v>
      </c>
      <c r="Y111" s="44">
        <f ca="1">(IF(H111&gt;=Inputs!$E$16,1,IF(O111&lt;=Inputs!$C$46,Inputs!$D$46,IF(O111&lt;=Inputs!$C$47,Inputs!$D$47,Inputs!$D$48))))*((Inputs!$B$32+(T111-0.5)*2*Inputs!$B$53)/Inputs!$B$32)</f>
        <v>0.99602693556742228</v>
      </c>
      <c r="Z111" s="45">
        <f ca="1">ILP_C_HighResilience!$C$9*U111+ILP_C_HighResilience!$C$10*V111+ILP_C_HighResilience!$C$11*W111+ILP_C_HighResilience!$C$12*X111+ILP_C_HighResilience!$C$13*Y111</f>
        <v>15063.131432050006</v>
      </c>
      <c r="AA111" s="45">
        <f ca="1">ILP_C_HighResilience!$D$9*U111+ILP_C_HighResilience!$D$10*V111+ILP_C_HighResilience!$D$11*W111+ILP_C_HighResilience!$D$12*X111+ILP_C_HighResilience!$D$13*Y111</f>
        <v>13128.221742791538</v>
      </c>
      <c r="AB111" s="45">
        <f ca="1">ILP_C_HighResilience!$E$9*U111+ILP_C_HighResilience!$E$10*V111+ILP_C_HighResilience!$E$11*W111+ILP_C_HighResilience!$E$12*X111+ILP_C_HighResilience!$E$13*Y111</f>
        <v>11971.24295488508</v>
      </c>
      <c r="AC111" s="45">
        <f ca="1">Inputs!$B$6*$C111</f>
        <v>18000</v>
      </c>
      <c r="AD111" s="45">
        <f ca="1">Inputs!$B$7*$C111</f>
        <v>15000</v>
      </c>
      <c r="AE111" s="45">
        <f ca="1">Inputs!$B$8*$C111</f>
        <v>12000</v>
      </c>
      <c r="AF111" s="45">
        <f t="shared" ca="1" si="78"/>
        <v>2936.868567949994</v>
      </c>
      <c r="AG111" s="45">
        <f t="shared" ca="1" si="79"/>
        <v>1871.7782572084616</v>
      </c>
      <c r="AH111" s="45">
        <f t="shared" ca="1" si="80"/>
        <v>28.757045114920402</v>
      </c>
      <c r="AI111" s="45">
        <f t="shared" ca="1" si="81"/>
        <v>4837.403870273376</v>
      </c>
      <c r="AJ111" s="45">
        <f ca="1">U111*(Inputs!$B$12-ILP_C_HighResilience!$F$9)+V111*(Inputs!$B$13-ILP_C_HighResilience!$F$10)+W111*(Inputs!$B$14-ILP_C_HighResilience!$F$11)+X111*(Inputs!$B$15-ILP_C_HighResilience!$F$12)+Y111*(Inputs!$B$16-ILP_C_HighResilience!$F$13)</f>
        <v>24860.098731872033</v>
      </c>
      <c r="AK111" s="45">
        <f t="shared" ca="1" si="82"/>
        <v>4837.403870273376</v>
      </c>
      <c r="AL111" s="45">
        <f t="shared" ca="1" si="83"/>
        <v>0</v>
      </c>
      <c r="AM111" s="45">
        <f t="shared" ca="1" si="84"/>
        <v>0</v>
      </c>
      <c r="AN111" s="45">
        <f t="shared" ca="1" si="85"/>
        <v>0</v>
      </c>
      <c r="AO111" s="45">
        <f ca="1">MIN(AL111,Inputs!$B$36)</f>
        <v>0</v>
      </c>
      <c r="AP111" s="45">
        <f ca="1">MIN(AN111,Inputs!$B$36-AO111)</f>
        <v>0</v>
      </c>
      <c r="AQ111" s="45">
        <f ca="1">MIN(AM111,Inputs!$B$36-AO111-AP111)</f>
        <v>0</v>
      </c>
      <c r="AR111" s="45">
        <f t="shared" ca="1" si="86"/>
        <v>0</v>
      </c>
      <c r="AS111" s="45">
        <f t="shared" ca="1" si="87"/>
        <v>0</v>
      </c>
      <c r="AT111" s="45">
        <f t="shared" ca="1" si="88"/>
        <v>0</v>
      </c>
      <c r="AU111" s="45">
        <f t="shared" ca="1" si="89"/>
        <v>0</v>
      </c>
      <c r="AV111" s="46">
        <f ca="1">AU111*Inputs!$B$35</f>
        <v>0</v>
      </c>
      <c r="AW111" s="46">
        <f ca="1">AR111*Inputs!$C$6+AT111*Inputs!$C$7+AS111*Inputs!$C$8</f>
        <v>0</v>
      </c>
      <c r="AX111" s="46">
        <f t="shared" ca="1" si="90"/>
        <v>42578906.232962579</v>
      </c>
      <c r="AY111" s="46">
        <f ca="1">IF(J111&gt;1,($CD$4)*Inputs!$B$55*((Z111+AA111+AB111)/(SUM(ILP_C_HighResilience!$C$9:$E$13))),0)</f>
        <v>0</v>
      </c>
      <c r="AZ111" s="46">
        <f t="shared" ca="1" si="91"/>
        <v>0</v>
      </c>
      <c r="BA111" s="41">
        <f t="shared" ca="1" si="92"/>
        <v>0</v>
      </c>
      <c r="BB111" s="41">
        <f t="shared" ca="1" si="93"/>
        <v>1</v>
      </c>
      <c r="BC111" s="41">
        <f t="shared" ca="1" si="94"/>
        <v>1</v>
      </c>
      <c r="BD111" s="41">
        <f t="shared" ca="1" si="95"/>
        <v>1</v>
      </c>
    </row>
    <row r="112" spans="1:56" ht="15" customHeight="1" x14ac:dyDescent="0.3">
      <c r="A112" s="41">
        <v>105</v>
      </c>
      <c r="B112" s="42">
        <f t="shared" ca="1" si="77"/>
        <v>0.10769262184023931</v>
      </c>
      <c r="C112" s="43">
        <f ca="1">IF(B112&lt;=Inputs!$C$40,Inputs!$D$40,IF(B112&lt;=Inputs!$C$41,Inputs!$D$41,Inputs!$D$42))</f>
        <v>0.9</v>
      </c>
      <c r="D112" s="42">
        <f t="shared" ca="1" si="96"/>
        <v>0.46313826756369114</v>
      </c>
      <c r="E112" s="42">
        <f t="shared" ca="1" si="96"/>
        <v>0.37502966940843763</v>
      </c>
      <c r="F112" s="42">
        <f t="shared" ca="1" si="96"/>
        <v>0.62179338924720573</v>
      </c>
      <c r="G112" s="42">
        <f t="shared" ca="1" si="96"/>
        <v>0.31062435580924941</v>
      </c>
      <c r="H112" s="42">
        <f t="shared" ca="1" si="96"/>
        <v>0.65481814556254181</v>
      </c>
      <c r="I112" s="42">
        <f t="shared" ca="1" si="96"/>
        <v>0.45461489058582016</v>
      </c>
      <c r="J112" s="43">
        <f ca="1">IF(I112&lt;Inputs!$B$54,1+Inputs!$B$55,1)</f>
        <v>1</v>
      </c>
      <c r="K112" s="42">
        <f t="shared" ca="1" si="97"/>
        <v>0.59499584060025223</v>
      </c>
      <c r="L112" s="42">
        <f t="shared" ca="1" si="97"/>
        <v>0.59736003774166269</v>
      </c>
      <c r="M112" s="42">
        <f t="shared" ca="1" si="97"/>
        <v>0.53003393177644298</v>
      </c>
      <c r="N112" s="42">
        <f t="shared" ca="1" si="97"/>
        <v>0.65012655185845336</v>
      </c>
      <c r="O112" s="42">
        <f t="shared" ca="1" si="97"/>
        <v>0.19842678326981844</v>
      </c>
      <c r="P112" s="42">
        <f t="shared" ca="1" si="97"/>
        <v>7.3527939521325081E-3</v>
      </c>
      <c r="Q112" s="42">
        <f t="shared" ca="1" si="97"/>
        <v>0.32590939568595134</v>
      </c>
      <c r="R112" s="42">
        <f t="shared" ca="1" si="97"/>
        <v>0.91130679336752118</v>
      </c>
      <c r="S112" s="42">
        <f t="shared" ca="1" si="97"/>
        <v>5.2452538837953311E-2</v>
      </c>
      <c r="T112" s="42">
        <f t="shared" ca="1" si="97"/>
        <v>0.61529121529195863</v>
      </c>
      <c r="U112" s="44">
        <f ca="1">(IF(D112&gt;=Inputs!$E$12,1,IF(K112&lt;=Inputs!$C$46,Inputs!$D$46,IF(K112&lt;=Inputs!$C$47,Inputs!$D$47,Inputs!$D$48))))*((Inputs!$B$28+(P112-0.5)*2*Inputs!$B$53)/Inputs!$B$28)</f>
        <v>0.99501369224647906</v>
      </c>
      <c r="V112" s="44">
        <f ca="1">(IF(E112&gt;=Inputs!$E$13,1,IF(L112&lt;=Inputs!$C$46,Inputs!$D$46,IF(L112&lt;=Inputs!$C$47,Inputs!$D$47,Inputs!$D$48))))*((Inputs!$B$29+(Q112-0.5)*2*Inputs!$B$53)/Inputs!$B$29)</f>
        <v>0.99824505439199551</v>
      </c>
      <c r="W112" s="44">
        <f ca="1">(IF(F112&gt;=Inputs!$E$14,1,IF(M112&lt;=Inputs!$C$46,Inputs!$D$46,IF(M112&lt;=Inputs!$C$47,Inputs!$D$47,Inputs!$D$48))))*((Inputs!$B$30+(R112-0.5)*2*Inputs!$B$53)/Inputs!$B$30)</f>
        <v>1.0041337366167589</v>
      </c>
      <c r="X112" s="44">
        <f ca="1">(IF(G112&gt;=Inputs!$E$15,1,IF(N112&lt;=Inputs!$C$46,Inputs!$D$46,IF(N112&lt;=Inputs!$C$47,Inputs!$D$47,Inputs!$D$48))))*((Inputs!$B$31+(S112-0.5)*2*Inputs!$B$53)/Inputs!$B$31)</f>
        <v>0.99545637095266959</v>
      </c>
      <c r="Y112" s="44">
        <f ca="1">(IF(H112&gt;=Inputs!$E$16,1,IF(O112&lt;=Inputs!$C$46,Inputs!$D$46,IF(O112&lt;=Inputs!$C$47,Inputs!$D$47,Inputs!$D$48))))*((Inputs!$B$32+(T112-0.5)*2*Inputs!$B$53)/Inputs!$B$32)</f>
        <v>1.0011598713812069</v>
      </c>
      <c r="Z112" s="45">
        <f ca="1">ILP_C_HighResilience!$C$9*U112+ILP_C_HighResilience!$C$10*V112+ILP_C_HighResilience!$C$11*W112+ILP_C_HighResilience!$C$12*X112+ILP_C_HighResilience!$C$13*Y112</f>
        <v>17925.066650845052</v>
      </c>
      <c r="AA112" s="45">
        <f ca="1">ILP_C_HighResilience!$D$9*U112+ILP_C_HighResilience!$D$10*V112+ILP_C_HighResilience!$D$11*W112+ILP_C_HighResilience!$D$12*X112+ILP_C_HighResilience!$D$13*Y112</f>
        <v>14986.584526534709</v>
      </c>
      <c r="AB112" s="45">
        <f ca="1">ILP_C_HighResilience!$E$9*U112+ILP_C_HighResilience!$E$10*V112+ILP_C_HighResilience!$E$11*W112+ILP_C_HighResilience!$E$12*X112+ILP_C_HighResilience!$E$13*Y112</f>
        <v>11980.577957043977</v>
      </c>
      <c r="AC112" s="45">
        <f ca="1">Inputs!$B$6*$C112</f>
        <v>16200</v>
      </c>
      <c r="AD112" s="45">
        <f ca="1">Inputs!$B$7*$C112</f>
        <v>13500</v>
      </c>
      <c r="AE112" s="45">
        <f ca="1">Inputs!$B$8*$C112</f>
        <v>10800</v>
      </c>
      <c r="AF112" s="45">
        <f t="shared" ca="1" si="78"/>
        <v>0</v>
      </c>
      <c r="AG112" s="45">
        <f t="shared" ca="1" si="79"/>
        <v>0</v>
      </c>
      <c r="AH112" s="45">
        <f t="shared" ca="1" si="80"/>
        <v>0</v>
      </c>
      <c r="AI112" s="45">
        <f t="shared" ca="1" si="81"/>
        <v>0</v>
      </c>
      <c r="AJ112" s="45">
        <f ca="1">U112*(Inputs!$B$12-ILP_C_HighResilience!$F$9)+V112*(Inputs!$B$13-ILP_C_HighResilience!$F$10)+W112*(Inputs!$B$14-ILP_C_HighResilience!$F$11)+X112*(Inputs!$B$15-ILP_C_HighResilience!$F$12)+Y112*(Inputs!$B$16-ILP_C_HighResilience!$F$13)</f>
        <v>25020.033801175865</v>
      </c>
      <c r="AK112" s="45">
        <f t="shared" ca="1" si="82"/>
        <v>0</v>
      </c>
      <c r="AL112" s="45">
        <f t="shared" ca="1" si="83"/>
        <v>0</v>
      </c>
      <c r="AM112" s="45">
        <f t="shared" ca="1" si="84"/>
        <v>0</v>
      </c>
      <c r="AN112" s="45">
        <f t="shared" ca="1" si="85"/>
        <v>0</v>
      </c>
      <c r="AO112" s="45">
        <f ca="1">MIN(AL112,Inputs!$B$36)</f>
        <v>0</v>
      </c>
      <c r="AP112" s="45">
        <f ca="1">MIN(AN112,Inputs!$B$36-AO112)</f>
        <v>0</v>
      </c>
      <c r="AQ112" s="45">
        <f ca="1">MIN(AM112,Inputs!$B$36-AO112-AP112)</f>
        <v>0</v>
      </c>
      <c r="AR112" s="45">
        <f t="shared" ca="1" si="86"/>
        <v>0</v>
      </c>
      <c r="AS112" s="45">
        <f t="shared" ca="1" si="87"/>
        <v>0</v>
      </c>
      <c r="AT112" s="45">
        <f t="shared" ca="1" si="88"/>
        <v>0</v>
      </c>
      <c r="AU112" s="45">
        <f t="shared" ca="1" si="89"/>
        <v>0</v>
      </c>
      <c r="AV112" s="46">
        <f ca="1">AU112*Inputs!$B$35</f>
        <v>0</v>
      </c>
      <c r="AW112" s="46">
        <f ca="1">AR112*Inputs!$C$6+AT112*Inputs!$C$7+AS112*Inputs!$C$8</f>
        <v>0</v>
      </c>
      <c r="AX112" s="46">
        <f t="shared" ca="1" si="90"/>
        <v>47519135.732382998</v>
      </c>
      <c r="AY112" s="46">
        <f ca="1">IF(J112&gt;1,($CD$4)*Inputs!$B$55*((Z112+AA112+AB112)/(SUM(ILP_C_HighResilience!$C$9:$E$13))),0)</f>
        <v>0</v>
      </c>
      <c r="AZ112" s="46">
        <f t="shared" ca="1" si="91"/>
        <v>0</v>
      </c>
      <c r="BA112" s="41">
        <f t="shared" ca="1" si="92"/>
        <v>0</v>
      </c>
      <c r="BB112" s="41">
        <f t="shared" ca="1" si="93"/>
        <v>1</v>
      </c>
      <c r="BC112" s="41">
        <f t="shared" ca="1" si="94"/>
        <v>1</v>
      </c>
      <c r="BD112" s="41">
        <f t="shared" ca="1" si="95"/>
        <v>1</v>
      </c>
    </row>
    <row r="113" spans="1:56" ht="15" customHeight="1" x14ac:dyDescent="0.3">
      <c r="A113" s="41">
        <v>106</v>
      </c>
      <c r="B113" s="42">
        <f t="shared" ca="1" si="77"/>
        <v>0.36361268462503782</v>
      </c>
      <c r="C113" s="43">
        <f ca="1">IF(B113&lt;=Inputs!$C$40,Inputs!$D$40,IF(B113&lt;=Inputs!$C$41,Inputs!$D$41,Inputs!$D$42))</f>
        <v>1</v>
      </c>
      <c r="D113" s="42">
        <f t="shared" ca="1" si="96"/>
        <v>0.42929552967302365</v>
      </c>
      <c r="E113" s="42">
        <f t="shared" ca="1" si="96"/>
        <v>0.55731843825514371</v>
      </c>
      <c r="F113" s="42">
        <f t="shared" ca="1" si="96"/>
        <v>0.89656309925900834</v>
      </c>
      <c r="G113" s="42">
        <f t="shared" ca="1" si="96"/>
        <v>0.48679659579123113</v>
      </c>
      <c r="H113" s="42">
        <f t="shared" ca="1" si="96"/>
        <v>0.75391913592177262</v>
      </c>
      <c r="I113" s="42">
        <f t="shared" ca="1" si="96"/>
        <v>0.2543609467127329</v>
      </c>
      <c r="J113" s="43">
        <f ca="1">IF(I113&lt;Inputs!$B$54,1+Inputs!$B$55,1)</f>
        <v>1</v>
      </c>
      <c r="K113" s="42">
        <f t="shared" ca="1" si="97"/>
        <v>0.75589921357600021</v>
      </c>
      <c r="L113" s="42">
        <f t="shared" ca="1" si="97"/>
        <v>0.60154354753410721</v>
      </c>
      <c r="M113" s="42">
        <f t="shared" ca="1" si="97"/>
        <v>0.98457325715719446</v>
      </c>
      <c r="N113" s="42">
        <f t="shared" ca="1" si="97"/>
        <v>0.46702906019786805</v>
      </c>
      <c r="O113" s="42">
        <f t="shared" ca="1" si="97"/>
        <v>0.99183900442247319</v>
      </c>
      <c r="P113" s="42">
        <f t="shared" ca="1" si="97"/>
        <v>0.30289416872735941</v>
      </c>
      <c r="Q113" s="42">
        <f t="shared" ca="1" si="97"/>
        <v>0.22057554996428097</v>
      </c>
      <c r="R113" s="42">
        <f t="shared" ca="1" si="97"/>
        <v>0.3847118477035717</v>
      </c>
      <c r="S113" s="42">
        <f t="shared" ca="1" si="97"/>
        <v>0.33402945346244228</v>
      </c>
      <c r="T113" s="42">
        <f t="shared" ca="1" si="97"/>
        <v>0.54544765162776765</v>
      </c>
      <c r="U113" s="44">
        <f ca="1">(IF(D113&gt;=Inputs!$E$12,1,IF(K113&lt;=Inputs!$C$46,Inputs!$D$46,IF(K113&lt;=Inputs!$C$47,Inputs!$D$47,Inputs!$D$48))))*((Inputs!$B$28+(P113-0.5)*2*Inputs!$B$53)/Inputs!$B$28)</f>
        <v>0.99800500170776685</v>
      </c>
      <c r="V113" s="44">
        <f ca="1">(IF(E113&gt;=Inputs!$E$13,1,IF(L113&lt;=Inputs!$C$46,Inputs!$D$46,IF(L113&lt;=Inputs!$C$47,Inputs!$D$47,Inputs!$D$48))))*((Inputs!$B$29+(Q113-0.5)*2*Inputs!$B$53)/Inputs!$B$29)</f>
        <v>0.9971832212698013</v>
      </c>
      <c r="W113" s="44">
        <f ca="1">(IF(F113&gt;=Inputs!$E$14,1,IF(M113&lt;=Inputs!$C$46,Inputs!$D$46,IF(M113&lt;=Inputs!$C$47,Inputs!$D$47,Inputs!$D$48))))*((Inputs!$B$30+(R113-0.5)*2*Inputs!$B$53)/Inputs!$B$30)</f>
        <v>0.99884132510254842</v>
      </c>
      <c r="X113" s="44">
        <f ca="1">(IF(G113&gt;=Inputs!$E$15,1,IF(N113&lt;=Inputs!$C$46,Inputs!$D$46,IF(N113&lt;=Inputs!$C$47,Inputs!$D$47,Inputs!$D$48))))*((Inputs!$B$31+(S113-0.5)*2*Inputs!$B$53)/Inputs!$B$31)</f>
        <v>0.99831501983210602</v>
      </c>
      <c r="Y113" s="44">
        <f ca="1">(IF(H113&gt;=Inputs!$E$16,1,IF(O113&lt;=Inputs!$C$46,Inputs!$D$46,IF(O113&lt;=Inputs!$C$47,Inputs!$D$47,Inputs!$D$48))))*((Inputs!$B$32+(T113-0.5)*2*Inputs!$B$53)/Inputs!$B$32)</f>
        <v>1.0004572198352895</v>
      </c>
      <c r="Z113" s="45">
        <f ca="1">ILP_C_HighResilience!$C$9*U113+ILP_C_HighResilience!$C$10*V113+ILP_C_HighResilience!$C$11*W113+ILP_C_HighResilience!$C$12*X113+ILP_C_HighResilience!$C$13*Y113</f>
        <v>17963.363751658369</v>
      </c>
      <c r="AA113" s="45">
        <f ca="1">ILP_C_HighResilience!$D$9*U113+ILP_C_HighResilience!$D$10*V113+ILP_C_HighResilience!$D$11*W113+ILP_C_HighResilience!$D$12*X113+ILP_C_HighResilience!$D$13*Y113</f>
        <v>14970.239723192299</v>
      </c>
      <c r="AB113" s="45">
        <f ca="1">ILP_C_HighResilience!$E$9*U113+ILP_C_HighResilience!$E$10*V113+ILP_C_HighResilience!$E$11*W113+ILP_C_HighResilience!$E$12*X113+ILP_C_HighResilience!$E$13*Y113</f>
        <v>11974.97159970081</v>
      </c>
      <c r="AC113" s="45">
        <f ca="1">Inputs!$B$6*$C113</f>
        <v>18000</v>
      </c>
      <c r="AD113" s="45">
        <f ca="1">Inputs!$B$7*$C113</f>
        <v>15000</v>
      </c>
      <c r="AE113" s="45">
        <f ca="1">Inputs!$B$8*$C113</f>
        <v>12000</v>
      </c>
      <c r="AF113" s="45">
        <f t="shared" ca="1" si="78"/>
        <v>36.636248341630562</v>
      </c>
      <c r="AG113" s="45">
        <f t="shared" ca="1" si="79"/>
        <v>29.760276807701302</v>
      </c>
      <c r="AH113" s="45">
        <f t="shared" ca="1" si="80"/>
        <v>25.028400299190253</v>
      </c>
      <c r="AI113" s="45">
        <f t="shared" ca="1" si="81"/>
        <v>91.424925448522117</v>
      </c>
      <c r="AJ113" s="45">
        <f ca="1">U113*(Inputs!$B$12-ILP_C_HighResilience!$F$9)+V113*(Inputs!$B$13-ILP_C_HighResilience!$F$10)+W113*(Inputs!$B$14-ILP_C_HighResilience!$F$11)+X113*(Inputs!$B$15-ILP_C_HighResilience!$F$12)+Y113*(Inputs!$B$16-ILP_C_HighResilience!$F$13)</f>
        <v>24991.64581239775</v>
      </c>
      <c r="AK113" s="45">
        <f t="shared" ca="1" si="82"/>
        <v>91.424925448522117</v>
      </c>
      <c r="AL113" s="45">
        <f t="shared" ca="1" si="83"/>
        <v>0</v>
      </c>
      <c r="AM113" s="45">
        <f t="shared" ca="1" si="84"/>
        <v>0</v>
      </c>
      <c r="AN113" s="45">
        <f t="shared" ca="1" si="85"/>
        <v>0</v>
      </c>
      <c r="AO113" s="45">
        <f ca="1">MIN(AL113,Inputs!$B$36)</f>
        <v>0</v>
      </c>
      <c r="AP113" s="45">
        <f ca="1">MIN(AN113,Inputs!$B$36-AO113)</f>
        <v>0</v>
      </c>
      <c r="AQ113" s="45">
        <f ca="1">MIN(AM113,Inputs!$B$36-AO113-AP113)</f>
        <v>0</v>
      </c>
      <c r="AR113" s="45">
        <f t="shared" ca="1" si="86"/>
        <v>0</v>
      </c>
      <c r="AS113" s="45">
        <f t="shared" ca="1" si="87"/>
        <v>0</v>
      </c>
      <c r="AT113" s="45">
        <f t="shared" ca="1" si="88"/>
        <v>0</v>
      </c>
      <c r="AU113" s="45">
        <f t="shared" ca="1" si="89"/>
        <v>0</v>
      </c>
      <c r="AV113" s="46">
        <f ca="1">AU113*Inputs!$B$35</f>
        <v>0</v>
      </c>
      <c r="AW113" s="46">
        <f ca="1">AR113*Inputs!$C$6+AT113*Inputs!$C$7+AS113*Inputs!$C$8</f>
        <v>0</v>
      </c>
      <c r="AX113" s="46">
        <f t="shared" ca="1" si="90"/>
        <v>47535632.053493574</v>
      </c>
      <c r="AY113" s="46">
        <f ca="1">IF(J113&gt;1,($CD$4)*Inputs!$B$55*((Z113+AA113+AB113)/(SUM(ILP_C_HighResilience!$C$9:$E$13))),0)</f>
        <v>0</v>
      </c>
      <c r="AZ113" s="46">
        <f t="shared" ca="1" si="91"/>
        <v>0</v>
      </c>
      <c r="BA113" s="41">
        <f t="shared" ca="1" si="92"/>
        <v>0</v>
      </c>
      <c r="BB113" s="41">
        <f t="shared" ca="1" si="93"/>
        <v>1</v>
      </c>
      <c r="BC113" s="41">
        <f t="shared" ca="1" si="94"/>
        <v>1</v>
      </c>
      <c r="BD113" s="41">
        <f t="shared" ca="1" si="95"/>
        <v>1</v>
      </c>
    </row>
    <row r="114" spans="1:56" ht="15" customHeight="1" x14ac:dyDescent="0.3">
      <c r="A114" s="41">
        <v>107</v>
      </c>
      <c r="B114" s="42">
        <f t="shared" ca="1" si="77"/>
        <v>0.38067353750961774</v>
      </c>
      <c r="C114" s="43">
        <f ca="1">IF(B114&lt;=Inputs!$C$40,Inputs!$D$40,IF(B114&lt;=Inputs!$C$41,Inputs!$D$41,Inputs!$D$42))</f>
        <v>1</v>
      </c>
      <c r="D114" s="42">
        <f t="shared" ca="1" si="96"/>
        <v>0.52445319067798668</v>
      </c>
      <c r="E114" s="42">
        <f t="shared" ca="1" si="96"/>
        <v>0.76389058941228261</v>
      </c>
      <c r="F114" s="42">
        <f t="shared" ca="1" si="96"/>
        <v>0.1708789217917781</v>
      </c>
      <c r="G114" s="42">
        <f t="shared" ca="1" si="96"/>
        <v>0.61201815437094298</v>
      </c>
      <c r="H114" s="42">
        <f t="shared" ca="1" si="96"/>
        <v>0.22925568248572603</v>
      </c>
      <c r="I114" s="42">
        <f t="shared" ca="1" si="96"/>
        <v>0.77153219908870529</v>
      </c>
      <c r="J114" s="43">
        <f ca="1">IF(I114&lt;Inputs!$B$54,1+Inputs!$B$55,1)</f>
        <v>1</v>
      </c>
      <c r="K114" s="42">
        <f t="shared" ca="1" si="97"/>
        <v>0.94582347082015272</v>
      </c>
      <c r="L114" s="42">
        <f t="shared" ca="1" si="97"/>
        <v>0.76188914618954595</v>
      </c>
      <c r="M114" s="42">
        <f t="shared" ca="1" si="97"/>
        <v>0.52315094007669094</v>
      </c>
      <c r="N114" s="42">
        <f t="shared" ca="1" si="97"/>
        <v>0.65644445242475868</v>
      </c>
      <c r="O114" s="42">
        <f t="shared" ca="1" si="97"/>
        <v>0.43094180496873313</v>
      </c>
      <c r="P114" s="42">
        <f t="shared" ca="1" si="97"/>
        <v>0.88514541513284128</v>
      </c>
      <c r="Q114" s="42">
        <f t="shared" ca="1" si="97"/>
        <v>0.78583534623621343</v>
      </c>
      <c r="R114" s="42">
        <f t="shared" ca="1" si="97"/>
        <v>0.64721377777518729</v>
      </c>
      <c r="S114" s="42">
        <f t="shared" ca="1" si="97"/>
        <v>0.28329669464691543</v>
      </c>
      <c r="T114" s="42">
        <f t="shared" ca="1" si="97"/>
        <v>0.38344424653832254</v>
      </c>
      <c r="U114" s="44">
        <f ca="1">(IF(D114&gt;=Inputs!$E$12,1,IF(K114&lt;=Inputs!$C$46,Inputs!$D$46,IF(K114&lt;=Inputs!$C$47,Inputs!$D$47,Inputs!$D$48))))*((Inputs!$B$28+(P114-0.5)*2*Inputs!$B$53)/Inputs!$B$28)</f>
        <v>1.0038982329466886</v>
      </c>
      <c r="V114" s="44">
        <f ca="1">(IF(E114&gt;=Inputs!$E$13,1,IF(L114&lt;=Inputs!$C$46,Inputs!$D$46,IF(L114&lt;=Inputs!$C$47,Inputs!$D$47,Inputs!$D$48))))*((Inputs!$B$29+(Q114-0.5)*2*Inputs!$B$53)/Inputs!$B$29)</f>
        <v>1.0028814046999619</v>
      </c>
      <c r="W114" s="44">
        <f ca="1">(IF(F114&gt;=Inputs!$E$14,1,IF(M114&lt;=Inputs!$C$46,Inputs!$D$46,IF(M114&lt;=Inputs!$C$47,Inputs!$D$47,Inputs!$D$48))))*((Inputs!$B$30+(R114-0.5)*2*Inputs!$B$53)/Inputs!$B$30)</f>
        <v>1.001479535455027</v>
      </c>
      <c r="X114" s="44">
        <f ca="1">(IF(G114&gt;=Inputs!$E$15,1,IF(N114&lt;=Inputs!$C$46,Inputs!$D$46,IF(N114&lt;=Inputs!$C$47,Inputs!$D$47,Inputs!$D$48))))*((Inputs!$B$31+(S114-0.5)*2*Inputs!$B$53)/Inputs!$B$31)</f>
        <v>0.99779996644311586</v>
      </c>
      <c r="Y114" s="44">
        <f ca="1">(IF(H114&gt;=Inputs!$E$16,1,IF(O114&lt;=Inputs!$C$46,Inputs!$D$46,IF(O114&lt;=Inputs!$C$47,Inputs!$D$47,Inputs!$D$48))))*((Inputs!$B$32+(T114-0.5)*2*Inputs!$B$53)/Inputs!$B$32)</f>
        <v>0.99882740690682414</v>
      </c>
      <c r="Z114" s="45">
        <f ca="1">ILP_C_HighResilience!$C$9*U114+ILP_C_HighResilience!$C$10*V114+ILP_C_HighResilience!$C$11*W114+ILP_C_HighResilience!$C$12*X114+ILP_C_HighResilience!$C$13*Y114</f>
        <v>18022.600092526456</v>
      </c>
      <c r="AA114" s="45">
        <f ca="1">ILP_C_HighResilience!$D$9*U114+ILP_C_HighResilience!$D$10*V114+ILP_C_HighResilience!$D$11*W114+ILP_C_HighResilience!$D$12*X114+ILP_C_HighResilience!$D$13*Y114</f>
        <v>15013.604638459983</v>
      </c>
      <c r="AB114" s="45">
        <f ca="1">ILP_C_HighResilience!$E$9*U114+ILP_C_HighResilience!$E$10*V114+ILP_C_HighResilience!$E$11*W114+ILP_C_HighResilience!$E$12*X114+ILP_C_HighResilience!$E$13*Y114</f>
        <v>12035.375388742579</v>
      </c>
      <c r="AC114" s="45">
        <f ca="1">Inputs!$B$6*$C114</f>
        <v>18000</v>
      </c>
      <c r="AD114" s="45">
        <f ca="1">Inputs!$B$7*$C114</f>
        <v>15000</v>
      </c>
      <c r="AE114" s="45">
        <f ca="1">Inputs!$B$8*$C114</f>
        <v>12000</v>
      </c>
      <c r="AF114" s="45">
        <f t="shared" ca="1" si="78"/>
        <v>0</v>
      </c>
      <c r="AG114" s="45">
        <f t="shared" ca="1" si="79"/>
        <v>0</v>
      </c>
      <c r="AH114" s="45">
        <f t="shared" ca="1" si="80"/>
        <v>0</v>
      </c>
      <c r="AI114" s="45">
        <f t="shared" ca="1" si="81"/>
        <v>0</v>
      </c>
      <c r="AJ114" s="45">
        <f ca="1">U114*(Inputs!$B$12-ILP_C_HighResilience!$F$9)+V114*(Inputs!$B$13-ILP_C_HighResilience!$F$10)+W114*(Inputs!$B$14-ILP_C_HighResilience!$F$11)+X114*(Inputs!$B$15-ILP_C_HighResilience!$F$12)+Y114*(Inputs!$B$16-ILP_C_HighResilience!$F$13)</f>
        <v>25006.375935052565</v>
      </c>
      <c r="AK114" s="45">
        <f t="shared" ca="1" si="82"/>
        <v>0</v>
      </c>
      <c r="AL114" s="45">
        <f t="shared" ca="1" si="83"/>
        <v>0</v>
      </c>
      <c r="AM114" s="45">
        <f t="shared" ca="1" si="84"/>
        <v>0</v>
      </c>
      <c r="AN114" s="45">
        <f t="shared" ca="1" si="85"/>
        <v>0</v>
      </c>
      <c r="AO114" s="45">
        <f ca="1">MIN(AL114,Inputs!$B$36)</f>
        <v>0</v>
      </c>
      <c r="AP114" s="45">
        <f ca="1">MIN(AN114,Inputs!$B$36-AO114)</f>
        <v>0</v>
      </c>
      <c r="AQ114" s="45">
        <f ca="1">MIN(AM114,Inputs!$B$36-AO114-AP114)</f>
        <v>0</v>
      </c>
      <c r="AR114" s="45">
        <f t="shared" ca="1" si="86"/>
        <v>0</v>
      </c>
      <c r="AS114" s="45">
        <f t="shared" ca="1" si="87"/>
        <v>0</v>
      </c>
      <c r="AT114" s="45">
        <f t="shared" ca="1" si="88"/>
        <v>0</v>
      </c>
      <c r="AU114" s="45">
        <f t="shared" ca="1" si="89"/>
        <v>0</v>
      </c>
      <c r="AV114" s="46">
        <f ca="1">AU114*Inputs!$B$35</f>
        <v>0</v>
      </c>
      <c r="AW114" s="46">
        <f ca="1">AR114*Inputs!$C$6+AT114*Inputs!$C$7+AS114*Inputs!$C$8</f>
        <v>0</v>
      </c>
      <c r="AX114" s="46">
        <f t="shared" ca="1" si="90"/>
        <v>47708983.256997801</v>
      </c>
      <c r="AY114" s="46">
        <f ca="1">IF(J114&gt;1,($CD$4)*Inputs!$B$55*((Z114+AA114+AB114)/(SUM(ILP_C_HighResilience!$C$9:$E$13))),0)</f>
        <v>0</v>
      </c>
      <c r="AZ114" s="46">
        <f t="shared" ca="1" si="91"/>
        <v>0</v>
      </c>
      <c r="BA114" s="41">
        <f t="shared" ca="1" si="92"/>
        <v>0</v>
      </c>
      <c r="BB114" s="41">
        <f t="shared" ca="1" si="93"/>
        <v>1</v>
      </c>
      <c r="BC114" s="41">
        <f t="shared" ca="1" si="94"/>
        <v>1</v>
      </c>
      <c r="BD114" s="41">
        <f t="shared" ca="1" si="95"/>
        <v>1</v>
      </c>
    </row>
    <row r="115" spans="1:56" ht="15" customHeight="1" x14ac:dyDescent="0.3">
      <c r="A115" s="41">
        <v>108</v>
      </c>
      <c r="B115" s="42">
        <f t="shared" ca="1" si="77"/>
        <v>0.10911027264871209</v>
      </c>
      <c r="C115" s="43">
        <f ca="1">IF(B115&lt;=Inputs!$C$40,Inputs!$D$40,IF(B115&lt;=Inputs!$C$41,Inputs!$D$41,Inputs!$D$42))</f>
        <v>0.9</v>
      </c>
      <c r="D115" s="42">
        <f t="shared" ca="1" si="96"/>
        <v>0.28069453640295527</v>
      </c>
      <c r="E115" s="42">
        <f t="shared" ca="1" si="96"/>
        <v>0.91167540862095786</v>
      </c>
      <c r="F115" s="42">
        <f t="shared" ca="1" si="96"/>
        <v>0.764231278602435</v>
      </c>
      <c r="G115" s="42">
        <f t="shared" ca="1" si="96"/>
        <v>0.55655933058888107</v>
      </c>
      <c r="H115" s="42">
        <f t="shared" ca="1" si="96"/>
        <v>0.86822184051823248</v>
      </c>
      <c r="I115" s="42">
        <f t="shared" ca="1" si="96"/>
        <v>0.27151734746156486</v>
      </c>
      <c r="J115" s="43">
        <f ca="1">IF(I115&lt;Inputs!$B$54,1+Inputs!$B$55,1)</f>
        <v>1</v>
      </c>
      <c r="K115" s="42">
        <f t="shared" ca="1" si="97"/>
        <v>0.74479085439266346</v>
      </c>
      <c r="L115" s="42">
        <f t="shared" ca="1" si="97"/>
        <v>0.51568947774324003</v>
      </c>
      <c r="M115" s="42">
        <f t="shared" ca="1" si="97"/>
        <v>0.91080093314011512</v>
      </c>
      <c r="N115" s="42">
        <f t="shared" ca="1" si="97"/>
        <v>0.57089926307941041</v>
      </c>
      <c r="O115" s="42">
        <f t="shared" ca="1" si="97"/>
        <v>8.4376572369254443E-2</v>
      </c>
      <c r="P115" s="42">
        <f t="shared" ca="1" si="97"/>
        <v>0.11544031343556849</v>
      </c>
      <c r="Q115" s="42">
        <f t="shared" ca="1" si="97"/>
        <v>0.22269014482056804</v>
      </c>
      <c r="R115" s="42">
        <f t="shared" ca="1" si="97"/>
        <v>0.67867363299078198</v>
      </c>
      <c r="S115" s="42">
        <f t="shared" ca="1" si="97"/>
        <v>0.32537094943408107</v>
      </c>
      <c r="T115" s="42">
        <f t="shared" ca="1" si="97"/>
        <v>0.12379059675994297</v>
      </c>
      <c r="U115" s="44">
        <f ca="1">(IF(D115&gt;=Inputs!$E$12,1,IF(K115&lt;=Inputs!$C$46,Inputs!$D$46,IF(K115&lt;=Inputs!$C$47,Inputs!$D$47,Inputs!$D$48))))*((Inputs!$B$28+(P115-0.5)*2*Inputs!$B$53)/Inputs!$B$28)</f>
        <v>0.99610769548011702</v>
      </c>
      <c r="V115" s="44">
        <f ca="1">(IF(E115&gt;=Inputs!$E$13,1,IF(L115&lt;=Inputs!$C$46,Inputs!$D$46,IF(L115&lt;=Inputs!$C$47,Inputs!$D$47,Inputs!$D$48))))*((Inputs!$B$29+(Q115-0.5)*2*Inputs!$B$53)/Inputs!$B$29)</f>
        <v>0.99720453775020734</v>
      </c>
      <c r="W115" s="44">
        <f ca="1">(IF(F115&gt;=Inputs!$E$14,1,IF(M115&lt;=Inputs!$C$46,Inputs!$D$46,IF(M115&lt;=Inputs!$C$47,Inputs!$D$47,Inputs!$D$48))))*((Inputs!$B$30+(R115-0.5)*2*Inputs!$B$53)/Inputs!$B$30)</f>
        <v>1.0017957149044299</v>
      </c>
      <c r="X115" s="44">
        <f ca="1">(IF(G115&gt;=Inputs!$E$15,1,IF(N115&lt;=Inputs!$C$46,Inputs!$D$46,IF(N115&lt;=Inputs!$C$47,Inputs!$D$47,Inputs!$D$48))))*((Inputs!$B$31+(S115-0.5)*2*Inputs!$B$53)/Inputs!$B$31)</f>
        <v>0.99822711623790938</v>
      </c>
      <c r="Y115" s="44">
        <f ca="1">(IF(H115&gt;=Inputs!$E$16,1,IF(O115&lt;=Inputs!$C$46,Inputs!$D$46,IF(O115&lt;=Inputs!$C$47,Inputs!$D$47,Inputs!$D$48))))*((Inputs!$B$32+(T115-0.5)*2*Inputs!$B$53)/Inputs!$B$32)</f>
        <v>0.99621519715050244</v>
      </c>
      <c r="Z115" s="45">
        <f ca="1">ILP_C_HighResilience!$C$9*U115+ILP_C_HighResilience!$C$10*V115+ILP_C_HighResilience!$C$11*W115+ILP_C_HighResilience!$C$12*X115+ILP_C_HighResilience!$C$13*Y115</f>
        <v>17949.146980270536</v>
      </c>
      <c r="AA115" s="45">
        <f ca="1">ILP_C_HighResilience!$D$9*U115+ILP_C_HighResilience!$D$10*V115+ILP_C_HighResilience!$D$11*W115+ILP_C_HighResilience!$D$12*X115+ILP_C_HighResilience!$D$13*Y115</f>
        <v>14982.90173480179</v>
      </c>
      <c r="AB115" s="45">
        <f ca="1">ILP_C_HighResilience!$E$9*U115+ILP_C_HighResilience!$E$10*V115+ILP_C_HighResilience!$E$11*W115+ILP_C_HighResilience!$E$12*X115+ILP_C_HighResilience!$E$13*Y115</f>
        <v>11974.55911797915</v>
      </c>
      <c r="AC115" s="45">
        <f ca="1">Inputs!$B$6*$C115</f>
        <v>16200</v>
      </c>
      <c r="AD115" s="45">
        <f ca="1">Inputs!$B$7*$C115</f>
        <v>13500</v>
      </c>
      <c r="AE115" s="45">
        <f ca="1">Inputs!$B$8*$C115</f>
        <v>10800</v>
      </c>
      <c r="AF115" s="45">
        <f t="shared" ca="1" si="78"/>
        <v>0</v>
      </c>
      <c r="AG115" s="45">
        <f t="shared" ca="1" si="79"/>
        <v>0</v>
      </c>
      <c r="AH115" s="45">
        <f t="shared" ca="1" si="80"/>
        <v>0</v>
      </c>
      <c r="AI115" s="45">
        <f t="shared" ca="1" si="81"/>
        <v>0</v>
      </c>
      <c r="AJ115" s="45">
        <f ca="1">U115*(Inputs!$B$12-ILP_C_HighResilience!$F$9)+V115*(Inputs!$B$13-ILP_C_HighResilience!$F$10)+W115*(Inputs!$B$14-ILP_C_HighResilience!$F$11)+X115*(Inputs!$B$15-ILP_C_HighResilience!$F$12)+Y115*(Inputs!$B$16-ILP_C_HighResilience!$F$13)</f>
        <v>24937.276469003336</v>
      </c>
      <c r="AK115" s="45">
        <f t="shared" ca="1" si="82"/>
        <v>0</v>
      </c>
      <c r="AL115" s="45">
        <f t="shared" ca="1" si="83"/>
        <v>0</v>
      </c>
      <c r="AM115" s="45">
        <f t="shared" ca="1" si="84"/>
        <v>0</v>
      </c>
      <c r="AN115" s="45">
        <f t="shared" ca="1" si="85"/>
        <v>0</v>
      </c>
      <c r="AO115" s="45">
        <f ca="1">MIN(AL115,Inputs!$B$36)</f>
        <v>0</v>
      </c>
      <c r="AP115" s="45">
        <f ca="1">MIN(AN115,Inputs!$B$36-AO115)</f>
        <v>0</v>
      </c>
      <c r="AQ115" s="45">
        <f ca="1">MIN(AM115,Inputs!$B$36-AO115-AP115)</f>
        <v>0</v>
      </c>
      <c r="AR115" s="45">
        <f t="shared" ca="1" si="86"/>
        <v>0</v>
      </c>
      <c r="AS115" s="45">
        <f t="shared" ca="1" si="87"/>
        <v>0</v>
      </c>
      <c r="AT115" s="45">
        <f t="shared" ca="1" si="88"/>
        <v>0</v>
      </c>
      <c r="AU115" s="45">
        <f t="shared" ca="1" si="89"/>
        <v>0</v>
      </c>
      <c r="AV115" s="46">
        <f ca="1">AU115*Inputs!$B$35</f>
        <v>0</v>
      </c>
      <c r="AW115" s="46">
        <f ca="1">AR115*Inputs!$C$6+AT115*Inputs!$C$7+AS115*Inputs!$C$8</f>
        <v>0</v>
      </c>
      <c r="AX115" s="46">
        <f t="shared" ca="1" si="90"/>
        <v>47533710.983840376</v>
      </c>
      <c r="AY115" s="46">
        <f ca="1">IF(J115&gt;1,($CD$4)*Inputs!$B$55*((Z115+AA115+AB115)/(SUM(ILP_C_HighResilience!$C$9:$E$13))),0)</f>
        <v>0</v>
      </c>
      <c r="AZ115" s="46">
        <f t="shared" ca="1" si="91"/>
        <v>0</v>
      </c>
      <c r="BA115" s="41">
        <f t="shared" ca="1" si="92"/>
        <v>0</v>
      </c>
      <c r="BB115" s="41">
        <f t="shared" ca="1" si="93"/>
        <v>1</v>
      </c>
      <c r="BC115" s="41">
        <f t="shared" ca="1" si="94"/>
        <v>1</v>
      </c>
      <c r="BD115" s="41">
        <f t="shared" ca="1" si="95"/>
        <v>1</v>
      </c>
    </row>
    <row r="116" spans="1:56" ht="15" customHeight="1" x14ac:dyDescent="0.3">
      <c r="A116" s="41">
        <v>109</v>
      </c>
      <c r="B116" s="42">
        <f t="shared" ca="1" si="77"/>
        <v>0.27924850103735921</v>
      </c>
      <c r="C116" s="43">
        <f ca="1">IF(B116&lt;=Inputs!$C$40,Inputs!$D$40,IF(B116&lt;=Inputs!$C$41,Inputs!$D$41,Inputs!$D$42))</f>
        <v>1</v>
      </c>
      <c r="D116" s="42">
        <f t="shared" ca="1" si="96"/>
        <v>0.38397267936977519</v>
      </c>
      <c r="E116" s="42">
        <f t="shared" ca="1" si="96"/>
        <v>0.16271859746713191</v>
      </c>
      <c r="F116" s="42">
        <f t="shared" ca="1" si="96"/>
        <v>0.95814873947738433</v>
      </c>
      <c r="G116" s="42">
        <f t="shared" ca="1" si="96"/>
        <v>0.67850250983830152</v>
      </c>
      <c r="H116" s="42">
        <f t="shared" ca="1" si="96"/>
        <v>0.73763021192134348</v>
      </c>
      <c r="I116" s="42">
        <f t="shared" ca="1" si="96"/>
        <v>0.66995713678320667</v>
      </c>
      <c r="J116" s="43">
        <f ca="1">IF(I116&lt;Inputs!$B$54,1+Inputs!$B$55,1)</f>
        <v>1</v>
      </c>
      <c r="K116" s="42">
        <f t="shared" ca="1" si="97"/>
        <v>0.45734432602237052</v>
      </c>
      <c r="L116" s="42">
        <f t="shared" ca="1" si="97"/>
        <v>0.1097282528294713</v>
      </c>
      <c r="M116" s="42">
        <f t="shared" ca="1" si="97"/>
        <v>0.19179893502149192</v>
      </c>
      <c r="N116" s="42">
        <f t="shared" ca="1" si="97"/>
        <v>0.1055323234265515</v>
      </c>
      <c r="O116" s="42">
        <f t="shared" ca="1" si="97"/>
        <v>0.91907953641206286</v>
      </c>
      <c r="P116" s="42">
        <f t="shared" ca="1" si="97"/>
        <v>0.18784485499159609</v>
      </c>
      <c r="Q116" s="42">
        <f t="shared" ca="1" si="97"/>
        <v>6.8633328124774517E-2</v>
      </c>
      <c r="R116" s="42">
        <f t="shared" ca="1" si="97"/>
        <v>0.73444713201905587</v>
      </c>
      <c r="S116" s="42">
        <f t="shared" ca="1" si="97"/>
        <v>0.73045382876540921</v>
      </c>
      <c r="T116" s="42">
        <f t="shared" ca="1" si="97"/>
        <v>0.54172298943982045</v>
      </c>
      <c r="U116" s="44">
        <f ca="1">(IF(D116&gt;=Inputs!$E$12,1,IF(K116&lt;=Inputs!$C$46,Inputs!$D$46,IF(K116&lt;=Inputs!$C$47,Inputs!$D$47,Inputs!$D$48))))*((Inputs!$B$28+(P116-0.5)*2*Inputs!$B$53)/Inputs!$B$28)</f>
        <v>0.9968405349695505</v>
      </c>
      <c r="V116" s="44">
        <f ca="1">(IF(E116&gt;=Inputs!$E$13,1,IF(L116&lt;=Inputs!$C$46,Inputs!$D$46,IF(L116&lt;=Inputs!$C$47,Inputs!$D$47,Inputs!$D$48))))*((Inputs!$B$29+(Q116-0.5)*2*Inputs!$B$53)/Inputs!$B$29)</f>
        <v>0.99565154564641911</v>
      </c>
      <c r="W116" s="44">
        <f ca="1">(IF(F116&gt;=Inputs!$E$14,1,IF(M116&lt;=Inputs!$C$46,Inputs!$D$46,IF(M116&lt;=Inputs!$C$47,Inputs!$D$47,Inputs!$D$48))))*((Inputs!$B$30+(R116-0.5)*2*Inputs!$B$53)/Inputs!$B$30)</f>
        <v>1.002356252583106</v>
      </c>
      <c r="X116" s="44">
        <f ca="1">(IF(G116&gt;=Inputs!$E$15,1,IF(N116&lt;=Inputs!$C$46,Inputs!$D$46,IF(N116&lt;=Inputs!$C$47,Inputs!$D$47,Inputs!$D$48))))*((Inputs!$B$31+(S116-0.5)*2*Inputs!$B$53)/Inputs!$B$31)</f>
        <v>1.0023396327793443</v>
      </c>
      <c r="Y116" s="44">
        <f ca="1">(IF(H116&gt;=Inputs!$E$16,1,IF(O116&lt;=Inputs!$C$46,Inputs!$D$46,IF(O116&lt;=Inputs!$C$47,Inputs!$D$47,Inputs!$D$48))))*((Inputs!$B$32+(T116-0.5)*2*Inputs!$B$53)/Inputs!$B$32)</f>
        <v>1.0004197483847064</v>
      </c>
      <c r="Z116" s="45">
        <f ca="1">ILP_C_HighResilience!$C$9*U116+ILP_C_HighResilience!$C$10*V116+ILP_C_HighResilience!$C$11*W116+ILP_C_HighResilience!$C$12*X116+ILP_C_HighResilience!$C$13*Y116</f>
        <v>17978.442772119153</v>
      </c>
      <c r="AA116" s="45">
        <f ca="1">ILP_C_HighResilience!$D$9*U116+ILP_C_HighResilience!$D$10*V116+ILP_C_HighResilience!$D$11*W116+ILP_C_HighResilience!$D$12*X116+ILP_C_HighResilience!$D$13*Y116</f>
        <v>14995.038763633089</v>
      </c>
      <c r="AB116" s="45">
        <f ca="1">ILP_C_HighResilience!$E$9*U116+ILP_C_HighResilience!$E$10*V116+ILP_C_HighResilience!$E$11*W116+ILP_C_HighResilience!$E$12*X116+ILP_C_HighResilience!$E$13*Y116</f>
        <v>11973.049803107691</v>
      </c>
      <c r="AC116" s="45">
        <f ca="1">Inputs!$B$6*$C116</f>
        <v>18000</v>
      </c>
      <c r="AD116" s="45">
        <f ca="1">Inputs!$B$7*$C116</f>
        <v>15000</v>
      </c>
      <c r="AE116" s="45">
        <f ca="1">Inputs!$B$8*$C116</f>
        <v>12000</v>
      </c>
      <c r="AF116" s="45">
        <f t="shared" ca="1" si="78"/>
        <v>21.557227880846767</v>
      </c>
      <c r="AG116" s="45">
        <f t="shared" ca="1" si="79"/>
        <v>4.9612363669111801</v>
      </c>
      <c r="AH116" s="45">
        <f t="shared" ca="1" si="80"/>
        <v>26.950196892308668</v>
      </c>
      <c r="AI116" s="45">
        <f t="shared" ca="1" si="81"/>
        <v>53.468661140066615</v>
      </c>
      <c r="AJ116" s="45">
        <f ca="1">U116*(Inputs!$B$12-ILP_C_HighResilience!$F$9)+V116*(Inputs!$B$13-ILP_C_HighResilience!$F$10)+W116*(Inputs!$B$14-ILP_C_HighResilience!$F$11)+X116*(Inputs!$B$15-ILP_C_HighResilience!$F$12)+Y116*(Inputs!$B$16-ILP_C_HighResilience!$F$13)</f>
        <v>25007.041962405849</v>
      </c>
      <c r="AK116" s="45">
        <f t="shared" ca="1" si="82"/>
        <v>53.468661140066615</v>
      </c>
      <c r="AL116" s="45">
        <f t="shared" ca="1" si="83"/>
        <v>0</v>
      </c>
      <c r="AM116" s="45">
        <f t="shared" ca="1" si="84"/>
        <v>0</v>
      </c>
      <c r="AN116" s="45">
        <f t="shared" ca="1" si="85"/>
        <v>0</v>
      </c>
      <c r="AO116" s="45">
        <f ca="1">MIN(AL116,Inputs!$B$36)</f>
        <v>0</v>
      </c>
      <c r="AP116" s="45">
        <f ca="1">MIN(AN116,Inputs!$B$36-AO116)</f>
        <v>0</v>
      </c>
      <c r="AQ116" s="45">
        <f ca="1">MIN(AM116,Inputs!$B$36-AO116-AP116)</f>
        <v>0</v>
      </c>
      <c r="AR116" s="45">
        <f t="shared" ca="1" si="86"/>
        <v>0</v>
      </c>
      <c r="AS116" s="45">
        <f t="shared" ca="1" si="87"/>
        <v>0</v>
      </c>
      <c r="AT116" s="45">
        <f t="shared" ca="1" si="88"/>
        <v>0</v>
      </c>
      <c r="AU116" s="45">
        <f t="shared" ca="1" si="89"/>
        <v>0</v>
      </c>
      <c r="AV116" s="46">
        <f ca="1">AU116*Inputs!$B$35</f>
        <v>0</v>
      </c>
      <c r="AW116" s="46">
        <f ca="1">AR116*Inputs!$C$6+AT116*Inputs!$C$7+AS116*Inputs!$C$8</f>
        <v>0</v>
      </c>
      <c r="AX116" s="46">
        <f t="shared" ca="1" si="90"/>
        <v>47575282.852070555</v>
      </c>
      <c r="AY116" s="46">
        <f ca="1">IF(J116&gt;1,($CD$4)*Inputs!$B$55*((Z116+AA116+AB116)/(SUM(ILP_C_HighResilience!$C$9:$E$13))),0)</f>
        <v>0</v>
      </c>
      <c r="AZ116" s="46">
        <f t="shared" ca="1" si="91"/>
        <v>0</v>
      </c>
      <c r="BA116" s="41">
        <f t="shared" ca="1" si="92"/>
        <v>0</v>
      </c>
      <c r="BB116" s="41">
        <f t="shared" ca="1" si="93"/>
        <v>1</v>
      </c>
      <c r="BC116" s="41">
        <f t="shared" ca="1" si="94"/>
        <v>1</v>
      </c>
      <c r="BD116" s="41">
        <f t="shared" ca="1" si="95"/>
        <v>1</v>
      </c>
    </row>
    <row r="117" spans="1:56" ht="15" customHeight="1" x14ac:dyDescent="0.3">
      <c r="A117" s="41">
        <v>110</v>
      </c>
      <c r="B117" s="42">
        <f t="shared" ca="1" si="77"/>
        <v>0.17795960957935641</v>
      </c>
      <c r="C117" s="43">
        <f ca="1">IF(B117&lt;=Inputs!$C$40,Inputs!$D$40,IF(B117&lt;=Inputs!$C$41,Inputs!$D$41,Inputs!$D$42))</f>
        <v>0.9</v>
      </c>
      <c r="D117" s="42">
        <f t="shared" ca="1" si="96"/>
        <v>0.4401134878954559</v>
      </c>
      <c r="E117" s="42">
        <f t="shared" ca="1" si="96"/>
        <v>0.46860648312101483</v>
      </c>
      <c r="F117" s="42">
        <f t="shared" ca="1" si="96"/>
        <v>0.58099195720999164</v>
      </c>
      <c r="G117" s="42">
        <f t="shared" ca="1" si="96"/>
        <v>0.4958370834079312</v>
      </c>
      <c r="H117" s="42">
        <f t="shared" ca="1" si="96"/>
        <v>0.4081141754496258</v>
      </c>
      <c r="I117" s="42">
        <f t="shared" ca="1" si="96"/>
        <v>0.61968988830209271</v>
      </c>
      <c r="J117" s="43">
        <f ca="1">IF(I117&lt;Inputs!$B$54,1+Inputs!$B$55,1)</f>
        <v>1</v>
      </c>
      <c r="K117" s="42">
        <f t="shared" ca="1" si="97"/>
        <v>0.21513620721904791</v>
      </c>
      <c r="L117" s="42">
        <f t="shared" ca="1" si="97"/>
        <v>0.32685190427500244</v>
      </c>
      <c r="M117" s="42">
        <f t="shared" ca="1" si="97"/>
        <v>0.98873095144906975</v>
      </c>
      <c r="N117" s="42">
        <f t="shared" ca="1" si="97"/>
        <v>0.18406855637340624</v>
      </c>
      <c r="O117" s="42">
        <f t="shared" ca="1" si="97"/>
        <v>0.72145259589975708</v>
      </c>
      <c r="P117" s="42">
        <f t="shared" ca="1" si="97"/>
        <v>0.12807712085843548</v>
      </c>
      <c r="Q117" s="42">
        <f t="shared" ca="1" si="97"/>
        <v>0.99393522042763227</v>
      </c>
      <c r="R117" s="42">
        <f t="shared" ca="1" si="97"/>
        <v>4.379436824718963E-2</v>
      </c>
      <c r="S117" s="42">
        <f t="shared" ca="1" si="97"/>
        <v>0.38293491504676525</v>
      </c>
      <c r="T117" s="42">
        <f t="shared" ca="1" si="97"/>
        <v>0.53972803243347411</v>
      </c>
      <c r="U117" s="44">
        <f ca="1">(IF(D117&gt;=Inputs!$E$12,1,IF(K117&lt;=Inputs!$C$46,Inputs!$D$46,IF(K117&lt;=Inputs!$C$47,Inputs!$D$47,Inputs!$D$48))))*((Inputs!$B$28+(P117-0.5)*2*Inputs!$B$53)/Inputs!$B$28)</f>
        <v>0.99623559838925546</v>
      </c>
      <c r="V117" s="44">
        <f ca="1">(IF(E117&gt;=Inputs!$E$13,1,IF(L117&lt;=Inputs!$C$46,Inputs!$D$46,IF(L117&lt;=Inputs!$C$47,Inputs!$D$47,Inputs!$D$48))))*((Inputs!$B$29+(Q117-0.5)*2*Inputs!$B$53)/Inputs!$B$29)</f>
        <v>1.0049791856897947</v>
      </c>
      <c r="W117" s="44">
        <f ca="1">(IF(F117&gt;=Inputs!$E$14,1,IF(M117&lt;=Inputs!$C$46,Inputs!$D$46,IF(M117&lt;=Inputs!$C$47,Inputs!$D$47,Inputs!$D$48))))*((Inputs!$B$30+(R117-0.5)*2*Inputs!$B$53)/Inputs!$B$30)</f>
        <v>0.99541501877635363</v>
      </c>
      <c r="X117" s="44">
        <f ca="1">(IF(G117&gt;=Inputs!$E$15,1,IF(N117&lt;=Inputs!$C$46,Inputs!$D$46,IF(N117&lt;=Inputs!$C$47,Inputs!$D$47,Inputs!$D$48))))*((Inputs!$B$31+(S117-0.5)*2*Inputs!$B$53)/Inputs!$B$31)</f>
        <v>0.9988115219801702</v>
      </c>
      <c r="Y117" s="44">
        <f ca="1">(IF(H117&gt;=Inputs!$E$16,1,IF(O117&lt;=Inputs!$C$46,Inputs!$D$46,IF(O117&lt;=Inputs!$C$47,Inputs!$D$47,Inputs!$D$48))))*((Inputs!$B$32+(T117-0.5)*2*Inputs!$B$53)/Inputs!$B$32)</f>
        <v>1.0003996783947029</v>
      </c>
      <c r="Z117" s="45">
        <f ca="1">ILP_C_HighResilience!$C$9*U117+ILP_C_HighResilience!$C$10*V117+ILP_C_HighResilience!$C$11*W117+ILP_C_HighResilience!$C$12*X117+ILP_C_HighResilience!$C$13*Y117</f>
        <v>17982.264335143125</v>
      </c>
      <c r="AA117" s="45">
        <f ca="1">ILP_C_HighResilience!$D$9*U117+ILP_C_HighResilience!$D$10*V117+ILP_C_HighResilience!$D$11*W117+ILP_C_HighResilience!$D$12*X117+ILP_C_HighResilience!$D$13*Y117</f>
        <v>15004.302127927582</v>
      </c>
      <c r="AB117" s="45">
        <f ca="1">ILP_C_HighResilience!$E$9*U117+ILP_C_HighResilience!$E$10*V117+ILP_C_HighResilience!$E$11*W117+ILP_C_HighResilience!$E$12*X117+ILP_C_HighResilience!$E$13*Y117</f>
        <v>11989.930155183009</v>
      </c>
      <c r="AC117" s="45">
        <f ca="1">Inputs!$B$6*$C117</f>
        <v>16200</v>
      </c>
      <c r="AD117" s="45">
        <f ca="1">Inputs!$B$7*$C117</f>
        <v>13500</v>
      </c>
      <c r="AE117" s="45">
        <f ca="1">Inputs!$B$8*$C117</f>
        <v>10800</v>
      </c>
      <c r="AF117" s="45">
        <f t="shared" ca="1" si="78"/>
        <v>0</v>
      </c>
      <c r="AG117" s="45">
        <f t="shared" ca="1" si="79"/>
        <v>0</v>
      </c>
      <c r="AH117" s="45">
        <f t="shared" ca="1" si="80"/>
        <v>0</v>
      </c>
      <c r="AI117" s="45">
        <f t="shared" ca="1" si="81"/>
        <v>0</v>
      </c>
      <c r="AJ117" s="45">
        <f ca="1">U117*(Inputs!$B$12-ILP_C_HighResilience!$F$9)+V117*(Inputs!$B$13-ILP_C_HighResilience!$F$10)+W117*(Inputs!$B$14-ILP_C_HighResilience!$F$11)+X117*(Inputs!$B$15-ILP_C_HighResilience!$F$12)+Y117*(Inputs!$B$16-ILP_C_HighResilience!$F$13)</f>
        <v>24965.11023940668</v>
      </c>
      <c r="AK117" s="45">
        <f t="shared" ca="1" si="82"/>
        <v>0</v>
      </c>
      <c r="AL117" s="45">
        <f t="shared" ca="1" si="83"/>
        <v>0</v>
      </c>
      <c r="AM117" s="45">
        <f t="shared" ca="1" si="84"/>
        <v>0</v>
      </c>
      <c r="AN117" s="45">
        <f t="shared" ca="1" si="85"/>
        <v>0</v>
      </c>
      <c r="AO117" s="45">
        <f ca="1">MIN(AL117,Inputs!$B$36)</f>
        <v>0</v>
      </c>
      <c r="AP117" s="45">
        <f ca="1">MIN(AN117,Inputs!$B$36-AO117)</f>
        <v>0</v>
      </c>
      <c r="AQ117" s="45">
        <f ca="1">MIN(AM117,Inputs!$B$36-AO117-AP117)</f>
        <v>0</v>
      </c>
      <c r="AR117" s="45">
        <f t="shared" ca="1" si="86"/>
        <v>0</v>
      </c>
      <c r="AS117" s="45">
        <f t="shared" ca="1" si="87"/>
        <v>0</v>
      </c>
      <c r="AT117" s="45">
        <f t="shared" ca="1" si="88"/>
        <v>0</v>
      </c>
      <c r="AU117" s="45">
        <f t="shared" ca="1" si="89"/>
        <v>0</v>
      </c>
      <c r="AV117" s="46">
        <f ca="1">AU117*Inputs!$B$35</f>
        <v>0</v>
      </c>
      <c r="AW117" s="46">
        <f ca="1">AR117*Inputs!$C$6+AT117*Inputs!$C$7+AS117*Inputs!$C$8</f>
        <v>0</v>
      </c>
      <c r="AX117" s="46">
        <f t="shared" ca="1" si="90"/>
        <v>47607485.138295442</v>
      </c>
      <c r="AY117" s="46">
        <f ca="1">IF(J117&gt;1,($CD$4)*Inputs!$B$55*((Z117+AA117+AB117)/(SUM(ILP_C_HighResilience!$C$9:$E$13))),0)</f>
        <v>0</v>
      </c>
      <c r="AZ117" s="46">
        <f t="shared" ca="1" si="91"/>
        <v>0</v>
      </c>
      <c r="BA117" s="41">
        <f t="shared" ca="1" si="92"/>
        <v>0</v>
      </c>
      <c r="BB117" s="41">
        <f t="shared" ca="1" si="93"/>
        <v>1</v>
      </c>
      <c r="BC117" s="41">
        <f t="shared" ca="1" si="94"/>
        <v>1</v>
      </c>
      <c r="BD117" s="41">
        <f t="shared" ca="1" si="95"/>
        <v>1</v>
      </c>
    </row>
    <row r="118" spans="1:56" ht="15" customHeight="1" x14ac:dyDescent="0.3">
      <c r="A118" s="41">
        <v>111</v>
      </c>
      <c r="B118" s="42">
        <f t="shared" ca="1" si="77"/>
        <v>0.42671700777959565</v>
      </c>
      <c r="C118" s="43">
        <f ca="1">IF(B118&lt;=Inputs!$C$40,Inputs!$D$40,IF(B118&lt;=Inputs!$C$41,Inputs!$D$41,Inputs!$D$42))</f>
        <v>1</v>
      </c>
      <c r="D118" s="42">
        <f t="shared" ref="D118:I127" ca="1" si="98">RAND()</f>
        <v>0.28786126417544533</v>
      </c>
      <c r="E118" s="42">
        <f t="shared" ca="1" si="98"/>
        <v>0.27191914085474167</v>
      </c>
      <c r="F118" s="42">
        <f t="shared" ca="1" si="98"/>
        <v>0.95985300657796679</v>
      </c>
      <c r="G118" s="42">
        <f t="shared" ca="1" si="98"/>
        <v>0.4226135532309464</v>
      </c>
      <c r="H118" s="42">
        <f t="shared" ca="1" si="98"/>
        <v>0.60131784242006614</v>
      </c>
      <c r="I118" s="42">
        <f t="shared" ca="1" si="98"/>
        <v>0.24444898615710697</v>
      </c>
      <c r="J118" s="43">
        <f ca="1">IF(I118&lt;Inputs!$B$54,1+Inputs!$B$55,1)</f>
        <v>1</v>
      </c>
      <c r="K118" s="42">
        <f t="shared" ref="K118:T127" ca="1" si="99">RAND()</f>
        <v>0.15266276227781761</v>
      </c>
      <c r="L118" s="42">
        <f t="shared" ca="1" si="99"/>
        <v>6.1235849441100609E-2</v>
      </c>
      <c r="M118" s="42">
        <f t="shared" ca="1" si="99"/>
        <v>0.58424881457293942</v>
      </c>
      <c r="N118" s="42">
        <f t="shared" ca="1" si="99"/>
        <v>0.67512590802099393</v>
      </c>
      <c r="O118" s="42">
        <f t="shared" ca="1" si="99"/>
        <v>0.95596979689713357</v>
      </c>
      <c r="P118" s="42">
        <f t="shared" ca="1" si="99"/>
        <v>0.97249605432363284</v>
      </c>
      <c r="Q118" s="42">
        <f t="shared" ca="1" si="99"/>
        <v>0.93280053962709286</v>
      </c>
      <c r="R118" s="42">
        <f t="shared" ca="1" si="99"/>
        <v>0.10780348964460718</v>
      </c>
      <c r="S118" s="42">
        <f t="shared" ca="1" si="99"/>
        <v>0.6700814734883358</v>
      </c>
      <c r="T118" s="42">
        <f t="shared" ca="1" si="99"/>
        <v>0.12439232646440213</v>
      </c>
      <c r="U118" s="44">
        <f ca="1">(IF(D118&gt;=Inputs!$E$12,1,IF(K118&lt;=Inputs!$C$46,Inputs!$D$46,IF(K118&lt;=Inputs!$C$47,Inputs!$D$47,Inputs!$D$48))))*((Inputs!$B$28+(P118-0.5)*2*Inputs!$B$53)/Inputs!$B$28)</f>
        <v>1.0047823487279721</v>
      </c>
      <c r="V118" s="44">
        <f ca="1">(IF(E118&gt;=Inputs!$E$13,1,IF(L118&lt;=Inputs!$C$46,Inputs!$D$46,IF(L118&lt;=Inputs!$C$47,Inputs!$D$47,Inputs!$D$48))))*((Inputs!$B$29+(Q118-0.5)*2*Inputs!$B$53)/Inputs!$B$29)</f>
        <v>1.0043629086655956</v>
      </c>
      <c r="W118" s="44">
        <f ca="1">(IF(F118&gt;=Inputs!$E$14,1,IF(M118&lt;=Inputs!$C$46,Inputs!$D$46,IF(M118&lt;=Inputs!$C$47,Inputs!$D$47,Inputs!$D$48))))*((Inputs!$B$30+(R118-0.5)*2*Inputs!$B$53)/Inputs!$B$30)</f>
        <v>0.99605832652909154</v>
      </c>
      <c r="X118" s="44">
        <f ca="1">(IF(G118&gt;=Inputs!$E$15,1,IF(N118&lt;=Inputs!$C$46,Inputs!$D$46,IF(N118&lt;=Inputs!$C$47,Inputs!$D$47,Inputs!$D$48))))*((Inputs!$B$31+(S118-0.5)*2*Inputs!$B$53)/Inputs!$B$31)</f>
        <v>1.0017267154668867</v>
      </c>
      <c r="Y118" s="44">
        <f ca="1">(IF(H118&gt;=Inputs!$E$16,1,IF(O118&lt;=Inputs!$C$46,Inputs!$D$46,IF(O118&lt;=Inputs!$C$47,Inputs!$D$47,Inputs!$D$48))))*((Inputs!$B$32+(T118-0.5)*2*Inputs!$B$53)/Inputs!$B$32)</f>
        <v>0.9962212507692596</v>
      </c>
      <c r="Z118" s="45">
        <f ca="1">ILP_C_HighResilience!$C$9*U118+ILP_C_HighResilience!$C$10*V118+ILP_C_HighResilience!$C$11*W118+ILP_C_HighResilience!$C$12*X118+ILP_C_HighResilience!$C$13*Y118</f>
        <v>18062.571733399127</v>
      </c>
      <c r="AA118" s="45">
        <f ca="1">ILP_C_HighResilience!$D$9*U118+ILP_C_HighResilience!$D$10*V118+ILP_C_HighResilience!$D$11*W118+ILP_C_HighResilience!$D$12*X118+ILP_C_HighResilience!$D$13*Y118</f>
        <v>15016.89034764801</v>
      </c>
      <c r="AB118" s="45">
        <f ca="1">ILP_C_HighResilience!$E$9*U118+ILP_C_HighResilience!$E$10*V118+ILP_C_HighResilience!$E$11*W118+ILP_C_HighResilience!$E$12*X118+ILP_C_HighResilience!$E$13*Y118</f>
        <v>12030.185273105055</v>
      </c>
      <c r="AC118" s="45">
        <f ca="1">Inputs!$B$6*$C118</f>
        <v>18000</v>
      </c>
      <c r="AD118" s="45">
        <f ca="1">Inputs!$B$7*$C118</f>
        <v>15000</v>
      </c>
      <c r="AE118" s="45">
        <f ca="1">Inputs!$B$8*$C118</f>
        <v>12000</v>
      </c>
      <c r="AF118" s="45">
        <f t="shared" ca="1" si="78"/>
        <v>0</v>
      </c>
      <c r="AG118" s="45">
        <f t="shared" ca="1" si="79"/>
        <v>0</v>
      </c>
      <c r="AH118" s="45">
        <f t="shared" ca="1" si="80"/>
        <v>0</v>
      </c>
      <c r="AI118" s="45">
        <f t="shared" ca="1" si="81"/>
        <v>0</v>
      </c>
      <c r="AJ118" s="45">
        <f ca="1">U118*(Inputs!$B$12-ILP_C_HighResilience!$F$9)+V118*(Inputs!$B$13-ILP_C_HighResilience!$F$10)+W118*(Inputs!$B$14-ILP_C_HighResilience!$F$11)+X118*(Inputs!$B$15-ILP_C_HighResilience!$F$12)+Y118*(Inputs!$B$16-ILP_C_HighResilience!$F$13)</f>
        <v>24940.748538833424</v>
      </c>
      <c r="AK118" s="45">
        <f t="shared" ca="1" si="82"/>
        <v>0</v>
      </c>
      <c r="AL118" s="45">
        <f t="shared" ca="1" si="83"/>
        <v>0</v>
      </c>
      <c r="AM118" s="45">
        <f t="shared" ca="1" si="84"/>
        <v>0</v>
      </c>
      <c r="AN118" s="45">
        <f t="shared" ca="1" si="85"/>
        <v>0</v>
      </c>
      <c r="AO118" s="45">
        <f ca="1">MIN(AL118,Inputs!$B$36)</f>
        <v>0</v>
      </c>
      <c r="AP118" s="45">
        <f ca="1">MIN(AN118,Inputs!$B$36-AO118)</f>
        <v>0</v>
      </c>
      <c r="AQ118" s="45">
        <f ca="1">MIN(AM118,Inputs!$B$36-AO118-AP118)</f>
        <v>0</v>
      </c>
      <c r="AR118" s="45">
        <f t="shared" ca="1" si="86"/>
        <v>0</v>
      </c>
      <c r="AS118" s="45">
        <f t="shared" ca="1" si="87"/>
        <v>0</v>
      </c>
      <c r="AT118" s="45">
        <f t="shared" ca="1" si="88"/>
        <v>0</v>
      </c>
      <c r="AU118" s="45">
        <f t="shared" ca="1" si="89"/>
        <v>0</v>
      </c>
      <c r="AV118" s="46">
        <f ca="1">AU118*Inputs!$B$35</f>
        <v>0</v>
      </c>
      <c r="AW118" s="46">
        <f ca="1">AR118*Inputs!$C$6+AT118*Inputs!$C$7+AS118*Inputs!$C$8</f>
        <v>0</v>
      </c>
      <c r="AX118" s="46">
        <f t="shared" ca="1" si="90"/>
        <v>47748317.916947603</v>
      </c>
      <c r="AY118" s="46">
        <f ca="1">IF(J118&gt;1,($CD$4)*Inputs!$B$55*((Z118+AA118+AB118)/(SUM(ILP_C_HighResilience!$C$9:$E$13))),0)</f>
        <v>0</v>
      </c>
      <c r="AZ118" s="46">
        <f t="shared" ca="1" si="91"/>
        <v>0</v>
      </c>
      <c r="BA118" s="41">
        <f t="shared" ca="1" si="92"/>
        <v>0</v>
      </c>
      <c r="BB118" s="41">
        <f t="shared" ca="1" si="93"/>
        <v>1</v>
      </c>
      <c r="BC118" s="41">
        <f t="shared" ca="1" si="94"/>
        <v>1</v>
      </c>
      <c r="BD118" s="41">
        <f t="shared" ca="1" si="95"/>
        <v>1</v>
      </c>
    </row>
    <row r="119" spans="1:56" ht="15" customHeight="1" x14ac:dyDescent="0.3">
      <c r="A119" s="41">
        <v>112</v>
      </c>
      <c r="B119" s="42">
        <f t="shared" ca="1" si="77"/>
        <v>0.60579956620501896</v>
      </c>
      <c r="C119" s="43">
        <f ca="1">IF(B119&lt;=Inputs!$C$40,Inputs!$D$40,IF(B119&lt;=Inputs!$C$41,Inputs!$D$41,Inputs!$D$42))</f>
        <v>1</v>
      </c>
      <c r="D119" s="42">
        <f t="shared" ca="1" si="98"/>
        <v>0.85777784131800994</v>
      </c>
      <c r="E119" s="42">
        <f t="shared" ca="1" si="98"/>
        <v>0.16589868540114872</v>
      </c>
      <c r="F119" s="42">
        <f t="shared" ca="1" si="98"/>
        <v>0.83364217925730044</v>
      </c>
      <c r="G119" s="42">
        <f t="shared" ca="1" si="98"/>
        <v>0.94185080662923537</v>
      </c>
      <c r="H119" s="42">
        <f t="shared" ca="1" si="98"/>
        <v>0.18837771061942676</v>
      </c>
      <c r="I119" s="42">
        <f t="shared" ca="1" si="98"/>
        <v>0.15361730615961477</v>
      </c>
      <c r="J119" s="43">
        <f ca="1">IF(I119&lt;Inputs!$B$54,1+Inputs!$B$55,1)</f>
        <v>1</v>
      </c>
      <c r="K119" s="42">
        <f t="shared" ca="1" si="99"/>
        <v>3.2420192722379393E-2</v>
      </c>
      <c r="L119" s="42">
        <f t="shared" ca="1" si="99"/>
        <v>0.33049390598792128</v>
      </c>
      <c r="M119" s="42">
        <f t="shared" ca="1" si="99"/>
        <v>0.69303918180590585</v>
      </c>
      <c r="N119" s="42">
        <f t="shared" ca="1" si="99"/>
        <v>0.23134115850197734</v>
      </c>
      <c r="O119" s="42">
        <f t="shared" ca="1" si="99"/>
        <v>0.47198102902240946</v>
      </c>
      <c r="P119" s="42">
        <f t="shared" ca="1" si="99"/>
        <v>0.32192866003811471</v>
      </c>
      <c r="Q119" s="42">
        <f t="shared" ca="1" si="99"/>
        <v>0.17194886920022889</v>
      </c>
      <c r="R119" s="42">
        <f t="shared" ca="1" si="99"/>
        <v>7.1237455384480786E-2</v>
      </c>
      <c r="S119" s="42">
        <f t="shared" ca="1" si="99"/>
        <v>0.45876286197352412</v>
      </c>
      <c r="T119" s="42">
        <f t="shared" ca="1" si="99"/>
        <v>0.47114372336126709</v>
      </c>
      <c r="U119" s="44">
        <f ca="1">(IF(D119&gt;=Inputs!$E$12,1,IF(K119&lt;=Inputs!$C$46,Inputs!$D$46,IF(K119&lt;=Inputs!$C$47,Inputs!$D$47,Inputs!$D$48))))*((Inputs!$B$28+(P119-0.5)*2*Inputs!$B$53)/Inputs!$B$28)</f>
        <v>0.99819765850241005</v>
      </c>
      <c r="V119" s="44">
        <f ca="1">(IF(E119&gt;=Inputs!$E$13,1,IF(L119&lt;=Inputs!$C$46,Inputs!$D$46,IF(L119&lt;=Inputs!$C$47,Inputs!$D$47,Inputs!$D$48))))*((Inputs!$B$29+(Q119-0.5)*2*Inputs!$B$53)/Inputs!$B$29)</f>
        <v>0.99669303295564748</v>
      </c>
      <c r="W119" s="44">
        <f ca="1">(IF(F119&gt;=Inputs!$E$14,1,IF(M119&lt;=Inputs!$C$46,Inputs!$D$46,IF(M119&lt;=Inputs!$C$47,Inputs!$D$47,Inputs!$D$48))))*((Inputs!$B$30+(R119-0.5)*2*Inputs!$B$53)/Inputs!$B$30)</f>
        <v>0.99569082869733139</v>
      </c>
      <c r="X119" s="44">
        <f ca="1">(IF(G119&gt;=Inputs!$E$15,1,IF(N119&lt;=Inputs!$C$46,Inputs!$D$46,IF(N119&lt;=Inputs!$C$47,Inputs!$D$47,Inputs!$D$48))))*((Inputs!$B$31+(S119-0.5)*2*Inputs!$B$53)/Inputs!$B$31)</f>
        <v>0.99958134885252314</v>
      </c>
      <c r="Y119" s="44">
        <f ca="1">(IF(H119&gt;=Inputs!$E$16,1,IF(O119&lt;=Inputs!$C$46,Inputs!$D$46,IF(O119&lt;=Inputs!$C$47,Inputs!$D$47,Inputs!$D$48))))*((Inputs!$B$32+(T119-0.5)*2*Inputs!$B$53)/Inputs!$B$32)</f>
        <v>0.99970969540604893</v>
      </c>
      <c r="Z119" s="45">
        <f ca="1">ILP_C_HighResilience!$C$9*U119+ILP_C_HighResilience!$C$10*V119+ILP_C_HighResilience!$C$11*W119+ILP_C_HighResilience!$C$12*X119+ILP_C_HighResilience!$C$13*Y119</f>
        <v>17972.103771595852</v>
      </c>
      <c r="AA119" s="45">
        <f ca="1">ILP_C_HighResilience!$D$9*U119+ILP_C_HighResilience!$D$10*V119+ILP_C_HighResilience!$D$11*W119+ILP_C_HighResilience!$D$12*X119+ILP_C_HighResilience!$D$13*Y119</f>
        <v>14959.349859126853</v>
      </c>
      <c r="AB119" s="45">
        <f ca="1">ILP_C_HighResilience!$E$9*U119+ILP_C_HighResilience!$E$10*V119+ILP_C_HighResilience!$E$11*W119+ILP_C_HighResilience!$E$12*X119+ILP_C_HighResilience!$E$13*Y119</f>
        <v>11964.620179292015</v>
      </c>
      <c r="AC119" s="45">
        <f ca="1">Inputs!$B$6*$C119</f>
        <v>18000</v>
      </c>
      <c r="AD119" s="45">
        <f ca="1">Inputs!$B$7*$C119</f>
        <v>15000</v>
      </c>
      <c r="AE119" s="45">
        <f ca="1">Inputs!$B$8*$C119</f>
        <v>12000</v>
      </c>
      <c r="AF119" s="45">
        <f t="shared" ca="1" si="78"/>
        <v>27.896228404148133</v>
      </c>
      <c r="AG119" s="45">
        <f t="shared" ca="1" si="79"/>
        <v>40.650140873147393</v>
      </c>
      <c r="AH119" s="45">
        <f t="shared" ca="1" si="80"/>
        <v>35.379820707985346</v>
      </c>
      <c r="AI119" s="45">
        <f t="shared" ca="1" si="81"/>
        <v>103.92618998528087</v>
      </c>
      <c r="AJ119" s="45">
        <f ca="1">U119*(Inputs!$B$12-ILP_C_HighResilience!$F$9)+V119*(Inputs!$B$13-ILP_C_HighResilience!$F$10)+W119*(Inputs!$B$14-ILP_C_HighResilience!$F$11)+X119*(Inputs!$B$15-ILP_C_HighResilience!$F$12)+Y119*(Inputs!$B$16-ILP_C_HighResilience!$F$13)</f>
        <v>24963.393577789226</v>
      </c>
      <c r="AK119" s="45">
        <f t="shared" ca="1" si="82"/>
        <v>103.92618998528087</v>
      </c>
      <c r="AL119" s="45">
        <f t="shared" ca="1" si="83"/>
        <v>0</v>
      </c>
      <c r="AM119" s="45">
        <f t="shared" ca="1" si="84"/>
        <v>0</v>
      </c>
      <c r="AN119" s="45">
        <f t="shared" ca="1" si="85"/>
        <v>0</v>
      </c>
      <c r="AO119" s="45">
        <f ca="1">MIN(AL119,Inputs!$B$36)</f>
        <v>0</v>
      </c>
      <c r="AP119" s="45">
        <f ca="1">MIN(AN119,Inputs!$B$36-AO119)</f>
        <v>0</v>
      </c>
      <c r="AQ119" s="45">
        <f ca="1">MIN(AM119,Inputs!$B$36-AO119-AP119)</f>
        <v>0</v>
      </c>
      <c r="AR119" s="45">
        <f t="shared" ca="1" si="86"/>
        <v>0</v>
      </c>
      <c r="AS119" s="45">
        <f t="shared" ca="1" si="87"/>
        <v>0</v>
      </c>
      <c r="AT119" s="45">
        <f t="shared" ca="1" si="88"/>
        <v>0</v>
      </c>
      <c r="AU119" s="45">
        <f t="shared" ca="1" si="89"/>
        <v>0</v>
      </c>
      <c r="AV119" s="46">
        <f ca="1">AU119*Inputs!$B$35</f>
        <v>0</v>
      </c>
      <c r="AW119" s="46">
        <f ca="1">AR119*Inputs!$C$6+AT119*Inputs!$C$7+AS119*Inputs!$C$8</f>
        <v>0</v>
      </c>
      <c r="AX119" s="46">
        <f t="shared" ca="1" si="90"/>
        <v>47521932.40508008</v>
      </c>
      <c r="AY119" s="46">
        <f ca="1">IF(J119&gt;1,($CD$4)*Inputs!$B$55*((Z119+AA119+AB119)/(SUM(ILP_C_HighResilience!$C$9:$E$13))),0)</f>
        <v>0</v>
      </c>
      <c r="AZ119" s="46">
        <f t="shared" ca="1" si="91"/>
        <v>0</v>
      </c>
      <c r="BA119" s="41">
        <f t="shared" ca="1" si="92"/>
        <v>0</v>
      </c>
      <c r="BB119" s="41">
        <f t="shared" ca="1" si="93"/>
        <v>1</v>
      </c>
      <c r="BC119" s="41">
        <f t="shared" ca="1" si="94"/>
        <v>1</v>
      </c>
      <c r="BD119" s="41">
        <f t="shared" ca="1" si="95"/>
        <v>1</v>
      </c>
    </row>
    <row r="120" spans="1:56" ht="15" customHeight="1" x14ac:dyDescent="0.3">
      <c r="A120" s="41">
        <v>113</v>
      </c>
      <c r="B120" s="42">
        <f t="shared" ca="1" si="77"/>
        <v>6.9173648644521357E-2</v>
      </c>
      <c r="C120" s="43">
        <f ca="1">IF(B120&lt;=Inputs!$C$40,Inputs!$D$40,IF(B120&lt;=Inputs!$C$41,Inputs!$D$41,Inputs!$D$42))</f>
        <v>0.9</v>
      </c>
      <c r="D120" s="42">
        <f t="shared" ca="1" si="98"/>
        <v>0.44473580699663662</v>
      </c>
      <c r="E120" s="42">
        <f t="shared" ca="1" si="98"/>
        <v>0.49045086237959779</v>
      </c>
      <c r="F120" s="42">
        <f t="shared" ca="1" si="98"/>
        <v>0.35487621576671124</v>
      </c>
      <c r="G120" s="42">
        <f t="shared" ca="1" si="98"/>
        <v>0.48303681481801608</v>
      </c>
      <c r="H120" s="42">
        <f t="shared" ca="1" si="98"/>
        <v>3.9933150159092712E-3</v>
      </c>
      <c r="I120" s="42">
        <f t="shared" ca="1" si="98"/>
        <v>0.80093134703570201</v>
      </c>
      <c r="J120" s="43">
        <f ca="1">IF(I120&lt;Inputs!$B$54,1+Inputs!$B$55,1)</f>
        <v>1</v>
      </c>
      <c r="K120" s="42">
        <f t="shared" ca="1" si="99"/>
        <v>0.95030560439683032</v>
      </c>
      <c r="L120" s="42">
        <f t="shared" ca="1" si="99"/>
        <v>0.50473107530676831</v>
      </c>
      <c r="M120" s="42">
        <f t="shared" ca="1" si="99"/>
        <v>0.91093654482188102</v>
      </c>
      <c r="N120" s="42">
        <f t="shared" ca="1" si="99"/>
        <v>6.3055254149013695E-3</v>
      </c>
      <c r="O120" s="42">
        <f t="shared" ca="1" si="99"/>
        <v>0.73182778652196923</v>
      </c>
      <c r="P120" s="42">
        <f t="shared" ca="1" si="99"/>
        <v>0.73325167245508716</v>
      </c>
      <c r="Q120" s="42">
        <f t="shared" ca="1" si="99"/>
        <v>0.57787104917699028</v>
      </c>
      <c r="R120" s="42">
        <f t="shared" ca="1" si="99"/>
        <v>0.4441786573445714</v>
      </c>
      <c r="S120" s="42">
        <f t="shared" ca="1" si="99"/>
        <v>0.69218765433437113</v>
      </c>
      <c r="T120" s="42">
        <f t="shared" ca="1" si="99"/>
        <v>5.5239306311009151E-2</v>
      </c>
      <c r="U120" s="44">
        <f ca="1">(IF(D120&gt;=Inputs!$E$12,1,IF(K120&lt;=Inputs!$C$46,Inputs!$D$46,IF(K120&lt;=Inputs!$C$47,Inputs!$D$47,Inputs!$D$48))))*((Inputs!$B$28+(P120-0.5)*2*Inputs!$B$53)/Inputs!$B$28)</f>
        <v>1.0023608468871974</v>
      </c>
      <c r="V120" s="44">
        <f ca="1">(IF(E120&gt;=Inputs!$E$13,1,IF(L120&lt;=Inputs!$C$46,Inputs!$D$46,IF(L120&lt;=Inputs!$C$47,Inputs!$D$47,Inputs!$D$48))))*((Inputs!$B$29+(Q120-0.5)*2*Inputs!$B$53)/Inputs!$B$29)</f>
        <v>1.0007849904150907</v>
      </c>
      <c r="W120" s="44">
        <f ca="1">(IF(F120&gt;=Inputs!$E$14,1,IF(M120&lt;=Inputs!$C$46,Inputs!$D$46,IF(M120&lt;=Inputs!$C$47,Inputs!$D$47,Inputs!$D$48))))*((Inputs!$B$30+(R120-0.5)*2*Inputs!$B$53)/Inputs!$B$30)</f>
        <v>0.99943898148084998</v>
      </c>
      <c r="X120" s="44">
        <f ca="1">(IF(G120&gt;=Inputs!$E$15,1,IF(N120&lt;=Inputs!$C$46,Inputs!$D$46,IF(N120&lt;=Inputs!$C$47,Inputs!$D$47,Inputs!$D$48))))*((Inputs!$B$31+(S120-0.5)*2*Inputs!$B$53)/Inputs!$B$31)</f>
        <v>1.0019511436988262</v>
      </c>
      <c r="Y120" s="44">
        <f ca="1">(IF(H120&gt;=Inputs!$E$16,1,IF(O120&lt;=Inputs!$C$46,Inputs!$D$46,IF(O120&lt;=Inputs!$C$47,Inputs!$D$47,Inputs!$D$48))))*((Inputs!$B$32+(T120-0.5)*2*Inputs!$B$53)/Inputs!$B$32)</f>
        <v>0.2986576639023471</v>
      </c>
      <c r="Z120" s="45">
        <f ca="1">ILP_C_HighResilience!$C$9*U120+ILP_C_HighResilience!$C$10*V120+ILP_C_HighResilience!$C$11*W120+ILP_C_HighResilience!$C$12*X120+ILP_C_HighResilience!$C$13*Y120</f>
        <v>18033.872297713697</v>
      </c>
      <c r="AA120" s="45">
        <f ca="1">ILP_C_HighResilience!$D$9*U120+ILP_C_HighResilience!$D$10*V120+ILP_C_HighResilience!$D$11*W120+ILP_C_HighResilience!$D$12*X120+ILP_C_HighResilience!$D$13*Y120</f>
        <v>15011.266965265244</v>
      </c>
      <c r="AB120" s="45">
        <f ca="1">ILP_C_HighResilience!$E$9*U120+ILP_C_HighResilience!$E$10*V120+ILP_C_HighResilience!$E$11*W120+ILP_C_HighResilience!$E$12*X120+ILP_C_HighResilience!$E$13*Y120</f>
        <v>12013.064418030692</v>
      </c>
      <c r="AC120" s="45">
        <f ca="1">Inputs!$B$6*$C120</f>
        <v>16200</v>
      </c>
      <c r="AD120" s="45">
        <f ca="1">Inputs!$B$7*$C120</f>
        <v>13500</v>
      </c>
      <c r="AE120" s="45">
        <f ca="1">Inputs!$B$8*$C120</f>
        <v>10800</v>
      </c>
      <c r="AF120" s="45">
        <f t="shared" ca="1" si="78"/>
        <v>0</v>
      </c>
      <c r="AG120" s="45">
        <f t="shared" ca="1" si="79"/>
        <v>0</v>
      </c>
      <c r="AH120" s="45">
        <f t="shared" ca="1" si="80"/>
        <v>0</v>
      </c>
      <c r="AI120" s="45">
        <f t="shared" ca="1" si="81"/>
        <v>0</v>
      </c>
      <c r="AJ120" s="45">
        <f ca="1">U120*(Inputs!$B$12-ILP_C_HighResilience!$F$9)+V120*(Inputs!$B$13-ILP_C_HighResilience!$F$10)+W120*(Inputs!$B$14-ILP_C_HighResilience!$F$11)+X120*(Inputs!$B$15-ILP_C_HighResilience!$F$12)+Y120*(Inputs!$B$16-ILP_C_HighResilience!$F$13)</f>
        <v>14486.545177168968</v>
      </c>
      <c r="AK120" s="45">
        <f t="shared" ca="1" si="82"/>
        <v>0</v>
      </c>
      <c r="AL120" s="45">
        <f t="shared" ca="1" si="83"/>
        <v>0</v>
      </c>
      <c r="AM120" s="45">
        <f t="shared" ca="1" si="84"/>
        <v>0</v>
      </c>
      <c r="AN120" s="45">
        <f t="shared" ca="1" si="85"/>
        <v>0</v>
      </c>
      <c r="AO120" s="45">
        <f ca="1">MIN(AL120,Inputs!$B$36)</f>
        <v>0</v>
      </c>
      <c r="AP120" s="45">
        <f ca="1">MIN(AN120,Inputs!$B$36-AO120)</f>
        <v>0</v>
      </c>
      <c r="AQ120" s="45">
        <f ca="1">MIN(AM120,Inputs!$B$36-AO120-AP120)</f>
        <v>0</v>
      </c>
      <c r="AR120" s="45">
        <f t="shared" ca="1" si="86"/>
        <v>0</v>
      </c>
      <c r="AS120" s="45">
        <f t="shared" ca="1" si="87"/>
        <v>0</v>
      </c>
      <c r="AT120" s="45">
        <f t="shared" ca="1" si="88"/>
        <v>0</v>
      </c>
      <c r="AU120" s="45">
        <f t="shared" ca="1" si="89"/>
        <v>0</v>
      </c>
      <c r="AV120" s="46">
        <f ca="1">AU120*Inputs!$B$35</f>
        <v>0</v>
      </c>
      <c r="AW120" s="46">
        <f ca="1">AR120*Inputs!$C$6+AT120*Inputs!$C$7+AS120*Inputs!$C$8</f>
        <v>0</v>
      </c>
      <c r="AX120" s="46">
        <f t="shared" ca="1" si="90"/>
        <v>47693810.514301017</v>
      </c>
      <c r="AY120" s="46">
        <f ca="1">IF(J120&gt;1,($CD$4)*Inputs!$B$55*((Z120+AA120+AB120)/(SUM(ILP_C_HighResilience!$C$9:$E$13))),0)</f>
        <v>0</v>
      </c>
      <c r="AZ120" s="46">
        <f t="shared" ca="1" si="91"/>
        <v>0</v>
      </c>
      <c r="BA120" s="41">
        <f t="shared" ca="1" si="92"/>
        <v>0</v>
      </c>
      <c r="BB120" s="41">
        <f t="shared" ca="1" si="93"/>
        <v>1</v>
      </c>
      <c r="BC120" s="41">
        <f t="shared" ca="1" si="94"/>
        <v>1</v>
      </c>
      <c r="BD120" s="41">
        <f t="shared" ca="1" si="95"/>
        <v>1</v>
      </c>
    </row>
    <row r="121" spans="1:56" ht="15" customHeight="1" x14ac:dyDescent="0.3">
      <c r="A121" s="41">
        <v>114</v>
      </c>
      <c r="B121" s="42">
        <f t="shared" ca="1" si="77"/>
        <v>0.97572046944267832</v>
      </c>
      <c r="C121" s="43">
        <f ca="1">IF(B121&lt;=Inputs!$C$40,Inputs!$D$40,IF(B121&lt;=Inputs!$C$41,Inputs!$D$41,Inputs!$D$42))</f>
        <v>1.1499999999999999</v>
      </c>
      <c r="D121" s="42">
        <f t="shared" ca="1" si="98"/>
        <v>0.87507296440408056</v>
      </c>
      <c r="E121" s="42">
        <f t="shared" ca="1" si="98"/>
        <v>0.70455863606590285</v>
      </c>
      <c r="F121" s="42">
        <f t="shared" ca="1" si="98"/>
        <v>0.56000234360385837</v>
      </c>
      <c r="G121" s="42">
        <f t="shared" ca="1" si="98"/>
        <v>4.835309759760098E-3</v>
      </c>
      <c r="H121" s="42">
        <f t="shared" ca="1" si="98"/>
        <v>0.81509129680345205</v>
      </c>
      <c r="I121" s="42">
        <f t="shared" ca="1" si="98"/>
        <v>0.17689701445858186</v>
      </c>
      <c r="J121" s="43">
        <f ca="1">IF(I121&lt;Inputs!$B$54,1+Inputs!$B$55,1)</f>
        <v>1</v>
      </c>
      <c r="K121" s="42">
        <f t="shared" ca="1" si="99"/>
        <v>0.86785782788985188</v>
      </c>
      <c r="L121" s="42">
        <f t="shared" ca="1" si="99"/>
        <v>0.75560261044451904</v>
      </c>
      <c r="M121" s="42">
        <f t="shared" ca="1" si="99"/>
        <v>0.98364286151765057</v>
      </c>
      <c r="N121" s="42">
        <f t="shared" ca="1" si="99"/>
        <v>0.50835480360361562</v>
      </c>
      <c r="O121" s="42">
        <f t="shared" ca="1" si="99"/>
        <v>0.23650440403555339</v>
      </c>
      <c r="P121" s="42">
        <f t="shared" ca="1" si="99"/>
        <v>1.021258396159519E-3</v>
      </c>
      <c r="Q121" s="42">
        <f t="shared" ca="1" si="99"/>
        <v>0.26474633917957024</v>
      </c>
      <c r="R121" s="42">
        <f t="shared" ca="1" si="99"/>
        <v>0.46399866376065524</v>
      </c>
      <c r="S121" s="42">
        <f t="shared" ca="1" si="99"/>
        <v>0.25161071459820061</v>
      </c>
      <c r="T121" s="42">
        <f t="shared" ca="1" si="99"/>
        <v>0.72641839406737774</v>
      </c>
      <c r="U121" s="44">
        <f ca="1">(IF(D121&gt;=Inputs!$E$12,1,IF(K121&lt;=Inputs!$C$46,Inputs!$D$46,IF(K121&lt;=Inputs!$C$47,Inputs!$D$47,Inputs!$D$48))))*((Inputs!$B$28+(P121-0.5)*2*Inputs!$B$53)/Inputs!$B$28)</f>
        <v>0.99494960787850362</v>
      </c>
      <c r="V121" s="44">
        <f ca="1">(IF(E121&gt;=Inputs!$E$13,1,IF(L121&lt;=Inputs!$C$46,Inputs!$D$46,IF(L121&lt;=Inputs!$C$47,Inputs!$D$47,Inputs!$D$48))))*((Inputs!$B$29+(Q121-0.5)*2*Inputs!$B$53)/Inputs!$B$29)</f>
        <v>0.99762849132237463</v>
      </c>
      <c r="W121" s="44">
        <f ca="1">(IF(F121&gt;=Inputs!$E$14,1,IF(M121&lt;=Inputs!$C$46,Inputs!$D$46,IF(M121&lt;=Inputs!$C$47,Inputs!$D$47,Inputs!$D$48))))*((Inputs!$B$30+(R121-0.5)*2*Inputs!$B$53)/Inputs!$B$30)</f>
        <v>0.99963817752523276</v>
      </c>
      <c r="X121" s="44">
        <f ca="1">(IF(G121&gt;=Inputs!$E$15,1,IF(N121&lt;=Inputs!$C$46,Inputs!$D$46,IF(N121&lt;=Inputs!$C$47,Inputs!$D$47,Inputs!$D$48))))*((Inputs!$B$31+(S121-0.5)*2*Inputs!$B$53)/Inputs!$B$31)</f>
        <v>0.29924348440994375</v>
      </c>
      <c r="Y121" s="44">
        <f ca="1">(IF(H121&gt;=Inputs!$E$16,1,IF(O121&lt;=Inputs!$C$46,Inputs!$D$46,IF(O121&lt;=Inputs!$C$47,Inputs!$D$47,Inputs!$D$48))))*((Inputs!$B$32+(T121-0.5)*2*Inputs!$B$53)/Inputs!$B$32)</f>
        <v>1.0022778510469554</v>
      </c>
      <c r="Z121" s="45">
        <f ca="1">ILP_C_HighResilience!$C$9*U121+ILP_C_HighResilience!$C$10*V121+ILP_C_HighResilience!$C$11*W121+ILP_C_HighResilience!$C$12*X121+ILP_C_HighResilience!$C$13*Y121</f>
        <v>12909.652833237371</v>
      </c>
      <c r="AA121" s="45">
        <f ca="1">ILP_C_HighResilience!$D$9*U121+ILP_C_HighResilience!$D$10*V121+ILP_C_HighResilience!$D$11*W121+ILP_C_HighResilience!$D$12*X121+ILP_C_HighResilience!$D$13*Y121</f>
        <v>11746.691063468708</v>
      </c>
      <c r="AB121" s="45">
        <f ca="1">ILP_C_HighResilience!$E$9*U121+ILP_C_HighResilience!$E$10*V121+ILP_C_HighResilience!$E$11*W121+ILP_C_HighResilience!$E$12*X121+ILP_C_HighResilience!$E$13*Y121</f>
        <v>11964.535461560639</v>
      </c>
      <c r="AC121" s="45">
        <f ca="1">Inputs!$B$6*$C121</f>
        <v>20700</v>
      </c>
      <c r="AD121" s="45">
        <f ca="1">Inputs!$B$7*$C121</f>
        <v>17250</v>
      </c>
      <c r="AE121" s="45">
        <f ca="1">Inputs!$B$8*$C121</f>
        <v>13799.999999999998</v>
      </c>
      <c r="AF121" s="45">
        <f t="shared" ca="1" si="78"/>
        <v>7790.3471667626291</v>
      </c>
      <c r="AG121" s="45">
        <f t="shared" ca="1" si="79"/>
        <v>5503.3089365312917</v>
      </c>
      <c r="AH121" s="45">
        <f t="shared" ca="1" si="80"/>
        <v>1835.4645384393589</v>
      </c>
      <c r="AI121" s="45">
        <f t="shared" ca="1" si="81"/>
        <v>15129.12064173328</v>
      </c>
      <c r="AJ121" s="45">
        <f ca="1">U121*(Inputs!$B$12-ILP_C_HighResilience!$F$9)+V121*(Inputs!$B$13-ILP_C_HighResilience!$F$10)+W121*(Inputs!$B$14-ILP_C_HighResilience!$F$11)+X121*(Inputs!$B$15-ILP_C_HighResilience!$F$12)+Y121*(Inputs!$B$16-ILP_C_HighResilience!$F$13)</f>
        <v>24885.49913275427</v>
      </c>
      <c r="AK121" s="45">
        <f t="shared" ca="1" si="82"/>
        <v>15129.12064173328</v>
      </c>
      <c r="AL121" s="45">
        <f t="shared" ca="1" si="83"/>
        <v>0</v>
      </c>
      <c r="AM121" s="45">
        <f t="shared" ca="1" si="84"/>
        <v>0</v>
      </c>
      <c r="AN121" s="45">
        <f t="shared" ca="1" si="85"/>
        <v>0</v>
      </c>
      <c r="AO121" s="45">
        <f ca="1">MIN(AL121,Inputs!$B$36)</f>
        <v>0</v>
      </c>
      <c r="AP121" s="45">
        <f ca="1">MIN(AN121,Inputs!$B$36-AO121)</f>
        <v>0</v>
      </c>
      <c r="AQ121" s="45">
        <f ca="1">MIN(AM121,Inputs!$B$36-AO121-AP121)</f>
        <v>0</v>
      </c>
      <c r="AR121" s="45">
        <f t="shared" ca="1" si="86"/>
        <v>0</v>
      </c>
      <c r="AS121" s="45">
        <f t="shared" ca="1" si="87"/>
        <v>0</v>
      </c>
      <c r="AT121" s="45">
        <f t="shared" ca="1" si="88"/>
        <v>0</v>
      </c>
      <c r="AU121" s="45">
        <f t="shared" ca="1" si="89"/>
        <v>0</v>
      </c>
      <c r="AV121" s="46">
        <f ca="1">AU121*Inputs!$B$35</f>
        <v>0</v>
      </c>
      <c r="AW121" s="46">
        <f ca="1">AR121*Inputs!$C$6+AT121*Inputs!$C$7+AS121*Inputs!$C$8</f>
        <v>0</v>
      </c>
      <c r="AX121" s="46">
        <f t="shared" ca="1" si="90"/>
        <v>38879620.333251551</v>
      </c>
      <c r="AY121" s="46">
        <f ca="1">IF(J121&gt;1,($CD$4)*Inputs!$B$55*((Z121+AA121+AB121)/(SUM(ILP_C_HighResilience!$C$9:$E$13))),0)</f>
        <v>0</v>
      </c>
      <c r="AZ121" s="46">
        <f t="shared" ca="1" si="91"/>
        <v>0</v>
      </c>
      <c r="BA121" s="41">
        <f t="shared" ca="1" si="92"/>
        <v>0</v>
      </c>
      <c r="BB121" s="41">
        <f t="shared" ca="1" si="93"/>
        <v>1</v>
      </c>
      <c r="BC121" s="41">
        <f t="shared" ca="1" si="94"/>
        <v>1</v>
      </c>
      <c r="BD121" s="41">
        <f t="shared" ca="1" si="95"/>
        <v>1</v>
      </c>
    </row>
    <row r="122" spans="1:56" ht="15" customHeight="1" x14ac:dyDescent="0.3">
      <c r="A122" s="41">
        <v>115</v>
      </c>
      <c r="B122" s="42">
        <f t="shared" ca="1" si="77"/>
        <v>0.1543451908607596</v>
      </c>
      <c r="C122" s="43">
        <f ca="1">IF(B122&lt;=Inputs!$C$40,Inputs!$D$40,IF(B122&lt;=Inputs!$C$41,Inputs!$D$41,Inputs!$D$42))</f>
        <v>0.9</v>
      </c>
      <c r="D122" s="42">
        <f t="shared" ca="1" si="98"/>
        <v>0.94685998759320988</v>
      </c>
      <c r="E122" s="42">
        <f t="shared" ca="1" si="98"/>
        <v>5.6234436948748079E-2</v>
      </c>
      <c r="F122" s="42">
        <f t="shared" ca="1" si="98"/>
        <v>0.40453336840430498</v>
      </c>
      <c r="G122" s="42">
        <f t="shared" ca="1" si="98"/>
        <v>0.33916251525301055</v>
      </c>
      <c r="H122" s="42">
        <f t="shared" ca="1" si="98"/>
        <v>0.51701127952711579</v>
      </c>
      <c r="I122" s="42">
        <f t="shared" ca="1" si="98"/>
        <v>3.6367452797976818E-2</v>
      </c>
      <c r="J122" s="43">
        <f ca="1">IF(I122&lt;Inputs!$B$54,1+Inputs!$B$55,1)</f>
        <v>1.25</v>
      </c>
      <c r="K122" s="42">
        <f t="shared" ca="1" si="99"/>
        <v>0.92158775184746411</v>
      </c>
      <c r="L122" s="42">
        <f t="shared" ca="1" si="99"/>
        <v>3.0824873552663723E-2</v>
      </c>
      <c r="M122" s="42">
        <f t="shared" ca="1" si="99"/>
        <v>0.98457882120893614</v>
      </c>
      <c r="N122" s="42">
        <f t="shared" ca="1" si="99"/>
        <v>0.33081564458325574</v>
      </c>
      <c r="O122" s="42">
        <f t="shared" ca="1" si="99"/>
        <v>0.55845301889964316</v>
      </c>
      <c r="P122" s="42">
        <f t="shared" ca="1" si="99"/>
        <v>0.99324835190034644</v>
      </c>
      <c r="Q122" s="42">
        <f t="shared" ca="1" si="99"/>
        <v>0.43932962104010165</v>
      </c>
      <c r="R122" s="42">
        <f t="shared" ca="1" si="99"/>
        <v>0.56775884031986035</v>
      </c>
      <c r="S122" s="42">
        <f t="shared" ca="1" si="99"/>
        <v>0.29104778006233134</v>
      </c>
      <c r="T122" s="42">
        <f t="shared" ca="1" si="99"/>
        <v>0.21350643603492425</v>
      </c>
      <c r="U122" s="44">
        <f ca="1">(IF(D122&gt;=Inputs!$E$12,1,IF(K122&lt;=Inputs!$C$46,Inputs!$D$46,IF(K122&lt;=Inputs!$C$47,Inputs!$D$47,Inputs!$D$48))))*((Inputs!$B$28+(P122-0.5)*2*Inputs!$B$53)/Inputs!$B$28)</f>
        <v>1.004992392225712</v>
      </c>
      <c r="V122" s="44">
        <f ca="1">(IF(E122&gt;=Inputs!$E$13,1,IF(L122&lt;=Inputs!$C$46,Inputs!$D$46,IF(L122&lt;=Inputs!$C$47,Inputs!$D$47,Inputs!$D$48))))*((Inputs!$B$29+(Q122-0.5)*2*Inputs!$B$53)/Inputs!$B$29)</f>
        <v>0.59963304206274259</v>
      </c>
      <c r="W122" s="44">
        <f ca="1">(IF(F122&gt;=Inputs!$E$14,1,IF(M122&lt;=Inputs!$C$46,Inputs!$D$46,IF(M122&lt;=Inputs!$C$47,Inputs!$D$47,Inputs!$D$48))))*((Inputs!$B$30+(R122-0.5)*2*Inputs!$B$53)/Inputs!$B$30)</f>
        <v>1.0006809933700489</v>
      </c>
      <c r="X122" s="44">
        <f ca="1">(IF(G122&gt;=Inputs!$E$15,1,IF(N122&lt;=Inputs!$C$46,Inputs!$D$46,IF(N122&lt;=Inputs!$C$47,Inputs!$D$47,Inputs!$D$48))))*((Inputs!$B$31+(S122-0.5)*2*Inputs!$B$53)/Inputs!$B$31)</f>
        <v>0.99787865766560746</v>
      </c>
      <c r="Y122" s="44">
        <f ca="1">(IF(H122&gt;=Inputs!$E$16,1,IF(O122&lt;=Inputs!$C$46,Inputs!$D$46,IF(O122&lt;=Inputs!$C$47,Inputs!$D$47,Inputs!$D$48))))*((Inputs!$B$32+(T122-0.5)*2*Inputs!$B$53)/Inputs!$B$32)</f>
        <v>0.99711777098626686</v>
      </c>
      <c r="Z122" s="45">
        <f ca="1">ILP_C_HighResilience!$C$9*U122+ILP_C_HighResilience!$C$10*V122+ILP_C_HighResilience!$C$11*W122+ILP_C_HighResilience!$C$12*X122+ILP_C_HighResilience!$C$13*Y122</f>
        <v>16579.350510643373</v>
      </c>
      <c r="AA122" s="45">
        <f ca="1">ILP_C_HighResilience!$D$9*U122+ILP_C_HighResilience!$D$10*V122+ILP_C_HighResilience!$D$11*W122+ILP_C_HighResilience!$D$12*X122+ILP_C_HighResilience!$D$13*Y122</f>
        <v>12590.980401752377</v>
      </c>
      <c r="AB122" s="45">
        <f ca="1">ILP_C_HighResilience!$E$9*U122+ILP_C_HighResilience!$E$10*V122+ILP_C_HighResilience!$E$11*W122+ILP_C_HighResilience!$E$12*X122+ILP_C_HighResilience!$E$13*Y122</f>
        <v>10309.17301974204</v>
      </c>
      <c r="AC122" s="45">
        <f ca="1">Inputs!$B$6*$C122</f>
        <v>16200</v>
      </c>
      <c r="AD122" s="45">
        <f ca="1">Inputs!$B$7*$C122</f>
        <v>13500</v>
      </c>
      <c r="AE122" s="45">
        <f ca="1">Inputs!$B$8*$C122</f>
        <v>10800</v>
      </c>
      <c r="AF122" s="45">
        <f t="shared" ca="1" si="78"/>
        <v>0</v>
      </c>
      <c r="AG122" s="45">
        <f t="shared" ca="1" si="79"/>
        <v>909.01959824762343</v>
      </c>
      <c r="AH122" s="45">
        <f t="shared" ca="1" si="80"/>
        <v>490.8269802579598</v>
      </c>
      <c r="AI122" s="45">
        <f t="shared" ca="1" si="81"/>
        <v>1399.8465785055832</v>
      </c>
      <c r="AJ122" s="45">
        <f ca="1">U122*(Inputs!$B$12-ILP_C_HighResilience!$F$9)+V122*(Inputs!$B$13-ILP_C_HighResilience!$F$10)+W122*(Inputs!$B$14-ILP_C_HighResilience!$F$11)+X122*(Inputs!$B$15-ILP_C_HighResilience!$F$12)+Y122*(Inputs!$B$16-ILP_C_HighResilience!$F$13)</f>
        <v>24935.400302943926</v>
      </c>
      <c r="AK122" s="45">
        <f t="shared" ca="1" si="82"/>
        <v>1399.8465785055832</v>
      </c>
      <c r="AL122" s="45">
        <f t="shared" ca="1" si="83"/>
        <v>0</v>
      </c>
      <c r="AM122" s="45">
        <f t="shared" ca="1" si="84"/>
        <v>0</v>
      </c>
      <c r="AN122" s="45">
        <f t="shared" ca="1" si="85"/>
        <v>0</v>
      </c>
      <c r="AO122" s="45">
        <f ca="1">MIN(AL122,Inputs!$B$36)</f>
        <v>0</v>
      </c>
      <c r="AP122" s="45">
        <f ca="1">MIN(AN122,Inputs!$B$36-AO122)</f>
        <v>0</v>
      </c>
      <c r="AQ122" s="45">
        <f ca="1">MIN(AM122,Inputs!$B$36-AO122-AP122)</f>
        <v>0</v>
      </c>
      <c r="AR122" s="45">
        <f t="shared" ca="1" si="86"/>
        <v>0</v>
      </c>
      <c r="AS122" s="45">
        <f t="shared" ca="1" si="87"/>
        <v>0</v>
      </c>
      <c r="AT122" s="45">
        <f t="shared" ca="1" si="88"/>
        <v>0</v>
      </c>
      <c r="AU122" s="45">
        <f t="shared" ca="1" si="89"/>
        <v>0</v>
      </c>
      <c r="AV122" s="46">
        <f ca="1">AU122*Inputs!$B$35</f>
        <v>0</v>
      </c>
      <c r="AW122" s="46">
        <f ca="1">AR122*Inputs!$C$6+AT122*Inputs!$C$7+AS122*Inputs!$C$8</f>
        <v>0</v>
      </c>
      <c r="AX122" s="46">
        <f t="shared" ca="1" si="90"/>
        <v>41770256.902708419</v>
      </c>
      <c r="AY122" s="46">
        <f ca="1">IF(J122&gt;1,($CD$4)*Inputs!$B$55*((Z122+AA122+AB122)/(SUM(ILP_C_HighResilience!$C$9:$E$13))),0)</f>
        <v>527310.1875753724</v>
      </c>
      <c r="AZ122" s="46">
        <f t="shared" ca="1" si="91"/>
        <v>0</v>
      </c>
      <c r="BA122" s="41">
        <f t="shared" ca="1" si="92"/>
        <v>0</v>
      </c>
      <c r="BB122" s="41">
        <f t="shared" ca="1" si="93"/>
        <v>1</v>
      </c>
      <c r="BC122" s="41">
        <f t="shared" ca="1" si="94"/>
        <v>1</v>
      </c>
      <c r="BD122" s="41">
        <f t="shared" ca="1" si="95"/>
        <v>1</v>
      </c>
    </row>
    <row r="123" spans="1:56" ht="15" customHeight="1" x14ac:dyDescent="0.3">
      <c r="A123" s="41">
        <v>116</v>
      </c>
      <c r="B123" s="42">
        <f t="shared" ca="1" si="77"/>
        <v>0.83910137268648022</v>
      </c>
      <c r="C123" s="43">
        <f ca="1">IF(B123&lt;=Inputs!$C$40,Inputs!$D$40,IF(B123&lt;=Inputs!$C$41,Inputs!$D$41,Inputs!$D$42))</f>
        <v>1.1499999999999999</v>
      </c>
      <c r="D123" s="42">
        <f t="shared" ca="1" si="98"/>
        <v>0.87567386456623431</v>
      </c>
      <c r="E123" s="42">
        <f t="shared" ca="1" si="98"/>
        <v>0.91142918951557872</v>
      </c>
      <c r="F123" s="42">
        <f t="shared" ca="1" si="98"/>
        <v>0.89057087219261188</v>
      </c>
      <c r="G123" s="42">
        <f t="shared" ca="1" si="98"/>
        <v>0.66303498134074024</v>
      </c>
      <c r="H123" s="42">
        <f t="shared" ca="1" si="98"/>
        <v>0.51313517119495966</v>
      </c>
      <c r="I123" s="42">
        <f t="shared" ca="1" si="98"/>
        <v>0.22831352731554</v>
      </c>
      <c r="J123" s="43">
        <f ca="1">IF(I123&lt;Inputs!$B$54,1+Inputs!$B$55,1)</f>
        <v>1</v>
      </c>
      <c r="K123" s="42">
        <f t="shared" ca="1" si="99"/>
        <v>0.42813140315460185</v>
      </c>
      <c r="L123" s="42">
        <f t="shared" ca="1" si="99"/>
        <v>0.37071250768787178</v>
      </c>
      <c r="M123" s="42">
        <f t="shared" ca="1" si="99"/>
        <v>0.89462932384527982</v>
      </c>
      <c r="N123" s="42">
        <f t="shared" ca="1" si="99"/>
        <v>0.48415165721426401</v>
      </c>
      <c r="O123" s="42">
        <f t="shared" ca="1" si="99"/>
        <v>0.54048032446860783</v>
      </c>
      <c r="P123" s="42">
        <f t="shared" ca="1" si="99"/>
        <v>0.25372573388132269</v>
      </c>
      <c r="Q123" s="42">
        <f t="shared" ca="1" si="99"/>
        <v>2.9994245587137369E-2</v>
      </c>
      <c r="R123" s="42">
        <f t="shared" ca="1" si="99"/>
        <v>0.56692434509181855</v>
      </c>
      <c r="S123" s="42">
        <f t="shared" ca="1" si="99"/>
        <v>0.83233527942898833</v>
      </c>
      <c r="T123" s="42">
        <f t="shared" ca="1" si="99"/>
        <v>0.90670816900429785</v>
      </c>
      <c r="U123" s="44">
        <f ca="1">(IF(D123&gt;=Inputs!$E$12,1,IF(K123&lt;=Inputs!$C$46,Inputs!$D$46,IF(K123&lt;=Inputs!$C$47,Inputs!$D$47,Inputs!$D$48))))*((Inputs!$B$28+(P123-0.5)*2*Inputs!$B$53)/Inputs!$B$28)</f>
        <v>0.99750734548462883</v>
      </c>
      <c r="V123" s="44">
        <f ca="1">(IF(E123&gt;=Inputs!$E$13,1,IF(L123&lt;=Inputs!$C$46,Inputs!$D$46,IF(L123&lt;=Inputs!$C$47,Inputs!$D$47,Inputs!$D$48))))*((Inputs!$B$29+(Q123-0.5)*2*Inputs!$B$53)/Inputs!$B$29)</f>
        <v>0.99526203876599939</v>
      </c>
      <c r="W123" s="44">
        <f ca="1">(IF(F123&gt;=Inputs!$E$14,1,IF(M123&lt;=Inputs!$C$46,Inputs!$D$46,IF(M123&lt;=Inputs!$C$47,Inputs!$D$47,Inputs!$D$48))))*((Inputs!$B$30+(R123-0.5)*2*Inputs!$B$53)/Inputs!$B$30)</f>
        <v>1.0006726064833349</v>
      </c>
      <c r="X123" s="44">
        <f ca="1">(IF(G123&gt;=Inputs!$E$15,1,IF(N123&lt;=Inputs!$C$46,Inputs!$D$46,IF(N123&lt;=Inputs!$C$47,Inputs!$D$47,Inputs!$D$48))))*((Inputs!$B$31+(S123-0.5)*2*Inputs!$B$53)/Inputs!$B$31)</f>
        <v>1.0033739622277054</v>
      </c>
      <c r="Y123" s="44">
        <f ca="1">(IF(H123&gt;=Inputs!$E$16,1,IF(O123&lt;=Inputs!$C$46,Inputs!$D$46,IF(O123&lt;=Inputs!$C$47,Inputs!$D$47,Inputs!$D$48))))*((Inputs!$B$32+(T123-0.5)*2*Inputs!$B$53)/Inputs!$B$32)</f>
        <v>1.0040916314789166</v>
      </c>
      <c r="Z123" s="45">
        <f ca="1">ILP_C_HighResilience!$C$9*U123+ILP_C_HighResilience!$C$10*V123+ILP_C_HighResilience!$C$11*W123+ILP_C_HighResilience!$C$12*X123+ILP_C_HighResilience!$C$13*Y123</f>
        <v>17989.288755086403</v>
      </c>
      <c r="AA123" s="45">
        <f ca="1">ILP_C_HighResilience!$D$9*U123+ILP_C_HighResilience!$D$10*V123+ILP_C_HighResilience!$D$11*W123+ILP_C_HighResilience!$D$12*X123+ILP_C_HighResilience!$D$13*Y123</f>
        <v>14990.105954485001</v>
      </c>
      <c r="AB123" s="45">
        <f ca="1">ILP_C_HighResilience!$E$9*U123+ILP_C_HighResilience!$E$10*V123+ILP_C_HighResilience!$E$11*W123+ILP_C_HighResilience!$E$12*X123+ILP_C_HighResilience!$E$13*Y123</f>
        <v>11969.677510634296</v>
      </c>
      <c r="AC123" s="45">
        <f ca="1">Inputs!$B$6*$C123</f>
        <v>20700</v>
      </c>
      <c r="AD123" s="45">
        <f ca="1">Inputs!$B$7*$C123</f>
        <v>17250</v>
      </c>
      <c r="AE123" s="45">
        <f ca="1">Inputs!$B$8*$C123</f>
        <v>13799.999999999998</v>
      </c>
      <c r="AF123" s="45">
        <f t="shared" ca="1" si="78"/>
        <v>2710.7112449135966</v>
      </c>
      <c r="AG123" s="45">
        <f t="shared" ca="1" si="79"/>
        <v>2259.8940455149987</v>
      </c>
      <c r="AH123" s="45">
        <f t="shared" ca="1" si="80"/>
        <v>1830.3224893657025</v>
      </c>
      <c r="AI123" s="45">
        <f t="shared" ca="1" si="81"/>
        <v>6800.9277797942977</v>
      </c>
      <c r="AJ123" s="45">
        <f ca="1">U123*(Inputs!$B$12-ILP_C_HighResilience!$F$9)+V123*(Inputs!$B$13-ILP_C_HighResilience!$F$10)+W123*(Inputs!$B$14-ILP_C_HighResilience!$F$11)+X123*(Inputs!$B$15-ILP_C_HighResilience!$F$12)+Y123*(Inputs!$B$16-ILP_C_HighResilience!$F$13)</f>
        <v>25055.319753471922</v>
      </c>
      <c r="AK123" s="45">
        <f t="shared" ca="1" si="82"/>
        <v>6800.9277797942977</v>
      </c>
      <c r="AL123" s="45">
        <f t="shared" ca="1" si="83"/>
        <v>0</v>
      </c>
      <c r="AM123" s="45">
        <f t="shared" ca="1" si="84"/>
        <v>0</v>
      </c>
      <c r="AN123" s="45">
        <f t="shared" ca="1" si="85"/>
        <v>0</v>
      </c>
      <c r="AO123" s="45">
        <f ca="1">MIN(AL123,Inputs!$B$36)</f>
        <v>0</v>
      </c>
      <c r="AP123" s="45">
        <f ca="1">MIN(AN123,Inputs!$B$36-AO123)</f>
        <v>0</v>
      </c>
      <c r="AQ123" s="45">
        <f ca="1">MIN(AM123,Inputs!$B$36-AO123-AP123)</f>
        <v>0</v>
      </c>
      <c r="AR123" s="45">
        <f t="shared" ca="1" si="86"/>
        <v>0</v>
      </c>
      <c r="AS123" s="45">
        <f t="shared" ca="1" si="87"/>
        <v>0</v>
      </c>
      <c r="AT123" s="45">
        <f t="shared" ca="1" si="88"/>
        <v>0</v>
      </c>
      <c r="AU123" s="45">
        <f t="shared" ca="1" si="89"/>
        <v>0</v>
      </c>
      <c r="AV123" s="46">
        <f ca="1">AU123*Inputs!$B$35</f>
        <v>0</v>
      </c>
      <c r="AW123" s="46">
        <f ca="1">AR123*Inputs!$C$6+AT123*Inputs!$C$7+AS123*Inputs!$C$8</f>
        <v>0</v>
      </c>
      <c r="AX123" s="46">
        <f t="shared" ca="1" si="90"/>
        <v>47577680.704915389</v>
      </c>
      <c r="AY123" s="46">
        <f ca="1">IF(J123&gt;1,($CD$4)*Inputs!$B$55*((Z123+AA123+AB123)/(SUM(ILP_C_HighResilience!$C$9:$E$13))),0)</f>
        <v>0</v>
      </c>
      <c r="AZ123" s="46">
        <f t="shared" ca="1" si="91"/>
        <v>0</v>
      </c>
      <c r="BA123" s="41">
        <f t="shared" ca="1" si="92"/>
        <v>0</v>
      </c>
      <c r="BB123" s="41">
        <f t="shared" ca="1" si="93"/>
        <v>1</v>
      </c>
      <c r="BC123" s="41">
        <f t="shared" ca="1" si="94"/>
        <v>1</v>
      </c>
      <c r="BD123" s="41">
        <f t="shared" ca="1" si="95"/>
        <v>1</v>
      </c>
    </row>
    <row r="124" spans="1:56" ht="15" customHeight="1" x14ac:dyDescent="0.3">
      <c r="A124" s="41">
        <v>117</v>
      </c>
      <c r="B124" s="42">
        <f t="shared" ca="1" si="77"/>
        <v>0.45011763402019267</v>
      </c>
      <c r="C124" s="43">
        <f ca="1">IF(B124&lt;=Inputs!$C$40,Inputs!$D$40,IF(B124&lt;=Inputs!$C$41,Inputs!$D$41,Inputs!$D$42))</f>
        <v>1</v>
      </c>
      <c r="D124" s="42">
        <f t="shared" ca="1" si="98"/>
        <v>0.18165047010377844</v>
      </c>
      <c r="E124" s="42">
        <f t="shared" ca="1" si="98"/>
        <v>7.4658236390225841E-2</v>
      </c>
      <c r="F124" s="42">
        <f t="shared" ca="1" si="98"/>
        <v>0.74668655782058257</v>
      </c>
      <c r="G124" s="42">
        <f t="shared" ca="1" si="98"/>
        <v>0.21890734574904369</v>
      </c>
      <c r="H124" s="42">
        <f t="shared" ca="1" si="98"/>
        <v>0.55588901354367726</v>
      </c>
      <c r="I124" s="42">
        <f t="shared" ca="1" si="98"/>
        <v>0.51779062127439712</v>
      </c>
      <c r="J124" s="43">
        <f ca="1">IF(I124&lt;Inputs!$B$54,1+Inputs!$B$55,1)</f>
        <v>1</v>
      </c>
      <c r="K124" s="42">
        <f t="shared" ca="1" si="99"/>
        <v>0.17573284030389535</v>
      </c>
      <c r="L124" s="42">
        <f t="shared" ca="1" si="99"/>
        <v>0.73853218480918958</v>
      </c>
      <c r="M124" s="42">
        <f t="shared" ca="1" si="99"/>
        <v>0.94705054960700874</v>
      </c>
      <c r="N124" s="42">
        <f t="shared" ca="1" si="99"/>
        <v>0.91625314125646207</v>
      </c>
      <c r="O124" s="42">
        <f t="shared" ca="1" si="99"/>
        <v>0.11144507035384155</v>
      </c>
      <c r="P124" s="42">
        <f t="shared" ca="1" si="99"/>
        <v>0.52313354122236111</v>
      </c>
      <c r="Q124" s="42">
        <f t="shared" ca="1" si="99"/>
        <v>6.1010000866812408E-3</v>
      </c>
      <c r="R124" s="42">
        <f t="shared" ca="1" si="99"/>
        <v>0.60556778389875876</v>
      </c>
      <c r="S124" s="42">
        <f t="shared" ca="1" si="99"/>
        <v>0.79896346704649612</v>
      </c>
      <c r="T124" s="42">
        <f t="shared" ca="1" si="99"/>
        <v>0.37010639096237929</v>
      </c>
      <c r="U124" s="44">
        <f ca="1">(IF(D124&gt;=Inputs!$E$12,1,IF(K124&lt;=Inputs!$C$46,Inputs!$D$46,IF(K124&lt;=Inputs!$C$47,Inputs!$D$47,Inputs!$D$48))))*((Inputs!$B$28+(P124-0.5)*2*Inputs!$B$53)/Inputs!$B$28)</f>
        <v>1.0002341451540726</v>
      </c>
      <c r="V124" s="44">
        <f ca="1">(IF(E124&gt;=Inputs!$E$13,1,IF(L124&lt;=Inputs!$C$46,Inputs!$D$46,IF(L124&lt;=Inputs!$C$47,Inputs!$D$47,Inputs!$D$48))))*((Inputs!$B$29+(Q124-0.5)*2*Inputs!$B$53)/Inputs!$B$29)</f>
        <v>0.29850635383090729</v>
      </c>
      <c r="W124" s="44">
        <f ca="1">(IF(F124&gt;=Inputs!$E$14,1,IF(M124&lt;=Inputs!$C$46,Inputs!$D$46,IF(M124&lt;=Inputs!$C$47,Inputs!$D$47,Inputs!$D$48))))*((Inputs!$B$30+(R124-0.5)*2*Inputs!$B$53)/Inputs!$B$30)</f>
        <v>1.0010609827527515</v>
      </c>
      <c r="X124" s="44">
        <f ca="1">(IF(G124&gt;=Inputs!$E$15,1,IF(N124&lt;=Inputs!$C$46,Inputs!$D$46,IF(N124&lt;=Inputs!$C$47,Inputs!$D$47,Inputs!$D$48))))*((Inputs!$B$31+(S124-0.5)*2*Inputs!$B$53)/Inputs!$B$31)</f>
        <v>1.0030351621019948</v>
      </c>
      <c r="Y124" s="44">
        <f ca="1">(IF(H124&gt;=Inputs!$E$16,1,IF(O124&lt;=Inputs!$C$46,Inputs!$D$46,IF(O124&lt;=Inputs!$C$47,Inputs!$D$47,Inputs!$D$48))))*((Inputs!$B$32+(T124-0.5)*2*Inputs!$B$53)/Inputs!$B$32)</f>
        <v>0.99869322324911847</v>
      </c>
      <c r="Z124" s="45">
        <f ca="1">ILP_C_HighResilience!$C$9*U124+ILP_C_HighResilience!$C$10*V124+ILP_C_HighResilience!$C$11*W124+ILP_C_HighResilience!$C$12*X124+ILP_C_HighResilience!$C$13*Y124</f>
        <v>15498.161886034952</v>
      </c>
      <c r="AA124" s="45">
        <f ca="1">ILP_C_HighResilience!$D$9*U124+ILP_C_HighResilience!$D$10*V124+ILP_C_HighResilience!$D$11*W124+ILP_C_HighResilience!$D$12*X124+ILP_C_HighResilience!$D$13*Y124</f>
        <v>10809.707676353712</v>
      </c>
      <c r="AB124" s="45">
        <f ca="1">ILP_C_HighResilience!$E$9*U124+ILP_C_HighResilience!$E$10*V124+ILP_C_HighResilience!$E$11*W124+ILP_C_HighResilience!$E$12*X124+ILP_C_HighResilience!$E$13*Y124</f>
        <v>8996.2087237424912</v>
      </c>
      <c r="AC124" s="45">
        <f ca="1">Inputs!$B$6*$C124</f>
        <v>18000</v>
      </c>
      <c r="AD124" s="45">
        <f ca="1">Inputs!$B$7*$C124</f>
        <v>15000</v>
      </c>
      <c r="AE124" s="45">
        <f ca="1">Inputs!$B$8*$C124</f>
        <v>12000</v>
      </c>
      <c r="AF124" s="45">
        <f t="shared" ca="1" si="78"/>
        <v>2501.8381139650483</v>
      </c>
      <c r="AG124" s="45">
        <f t="shared" ca="1" si="79"/>
        <v>4190.2923236462884</v>
      </c>
      <c r="AH124" s="45">
        <f t="shared" ca="1" si="80"/>
        <v>3003.7912762575088</v>
      </c>
      <c r="AI124" s="45">
        <f t="shared" ca="1" si="81"/>
        <v>9695.9217138688455</v>
      </c>
      <c r="AJ124" s="45">
        <f ca="1">U124*(Inputs!$B$12-ILP_C_HighResilience!$F$9)+V124*(Inputs!$B$13-ILP_C_HighResilience!$F$10)+W124*(Inputs!$B$14-ILP_C_HighResilience!$F$11)+X124*(Inputs!$B$15-ILP_C_HighResilience!$F$12)+Y124*(Inputs!$B$16-ILP_C_HighResilience!$F$13)</f>
        <v>24909.370059713194</v>
      </c>
      <c r="AK124" s="45">
        <f t="shared" ca="1" si="82"/>
        <v>9695.9217138688455</v>
      </c>
      <c r="AL124" s="45">
        <f t="shared" ca="1" si="83"/>
        <v>0</v>
      </c>
      <c r="AM124" s="45">
        <f t="shared" ca="1" si="84"/>
        <v>0</v>
      </c>
      <c r="AN124" s="45">
        <f t="shared" ca="1" si="85"/>
        <v>0</v>
      </c>
      <c r="AO124" s="45">
        <f ca="1">MIN(AL124,Inputs!$B$36)</f>
        <v>0</v>
      </c>
      <c r="AP124" s="45">
        <f ca="1">MIN(AN124,Inputs!$B$36-AO124)</f>
        <v>0</v>
      </c>
      <c r="AQ124" s="45">
        <f ca="1">MIN(AM124,Inputs!$B$36-AO124-AP124)</f>
        <v>0</v>
      </c>
      <c r="AR124" s="45">
        <f t="shared" ca="1" si="86"/>
        <v>0</v>
      </c>
      <c r="AS124" s="45">
        <f t="shared" ca="1" si="87"/>
        <v>0</v>
      </c>
      <c r="AT124" s="45">
        <f t="shared" ca="1" si="88"/>
        <v>0</v>
      </c>
      <c r="AU124" s="45">
        <f t="shared" ca="1" si="89"/>
        <v>0</v>
      </c>
      <c r="AV124" s="46">
        <f ca="1">AU124*Inputs!$B$35</f>
        <v>0</v>
      </c>
      <c r="AW124" s="46">
        <f ca="1">AR124*Inputs!$C$6+AT124*Inputs!$C$7+AS124*Inputs!$C$8</f>
        <v>0</v>
      </c>
      <c r="AX124" s="46">
        <f t="shared" ca="1" si="90"/>
        <v>37334986.934550881</v>
      </c>
      <c r="AY124" s="46">
        <f ca="1">IF(J124&gt;1,($CD$4)*Inputs!$B$55*((Z124+AA124+AB124)/(SUM(ILP_C_HighResilience!$C$9:$E$13))),0)</f>
        <v>0</v>
      </c>
      <c r="AZ124" s="46">
        <f t="shared" ca="1" si="91"/>
        <v>0</v>
      </c>
      <c r="BA124" s="41">
        <f t="shared" ca="1" si="92"/>
        <v>0</v>
      </c>
      <c r="BB124" s="41">
        <f t="shared" ca="1" si="93"/>
        <v>1</v>
      </c>
      <c r="BC124" s="41">
        <f t="shared" ca="1" si="94"/>
        <v>1</v>
      </c>
      <c r="BD124" s="41">
        <f t="shared" ca="1" si="95"/>
        <v>1</v>
      </c>
    </row>
    <row r="125" spans="1:56" ht="15" customHeight="1" x14ac:dyDescent="0.3">
      <c r="A125" s="41">
        <v>118</v>
      </c>
      <c r="B125" s="42">
        <f t="shared" ca="1" si="77"/>
        <v>0.62073826399972576</v>
      </c>
      <c r="C125" s="43">
        <f ca="1">IF(B125&lt;=Inputs!$C$40,Inputs!$D$40,IF(B125&lt;=Inputs!$C$41,Inputs!$D$41,Inputs!$D$42))</f>
        <v>1</v>
      </c>
      <c r="D125" s="42">
        <f t="shared" ca="1" si="98"/>
        <v>0.42310536178315883</v>
      </c>
      <c r="E125" s="42">
        <f t="shared" ca="1" si="98"/>
        <v>0.21414140001681681</v>
      </c>
      <c r="F125" s="42">
        <f t="shared" ca="1" si="98"/>
        <v>0.17267827812475856</v>
      </c>
      <c r="G125" s="42">
        <f t="shared" ca="1" si="98"/>
        <v>0.17071235604203716</v>
      </c>
      <c r="H125" s="42">
        <f t="shared" ca="1" si="98"/>
        <v>0.12384914934113855</v>
      </c>
      <c r="I125" s="42">
        <f t="shared" ca="1" si="98"/>
        <v>0.36213727241253069</v>
      </c>
      <c r="J125" s="43">
        <f ca="1">IF(I125&lt;Inputs!$B$54,1+Inputs!$B$55,1)</f>
        <v>1</v>
      </c>
      <c r="K125" s="42">
        <f t="shared" ca="1" si="99"/>
        <v>0.19880683694036616</v>
      </c>
      <c r="L125" s="42">
        <f t="shared" ca="1" si="99"/>
        <v>0.42877022445228308</v>
      </c>
      <c r="M125" s="42">
        <f t="shared" ca="1" si="99"/>
        <v>0.86140686716939008</v>
      </c>
      <c r="N125" s="42">
        <f t="shared" ca="1" si="99"/>
        <v>0.23752217678569065</v>
      </c>
      <c r="O125" s="42">
        <f t="shared" ca="1" si="99"/>
        <v>0.87813022399656004</v>
      </c>
      <c r="P125" s="42">
        <f t="shared" ca="1" si="99"/>
        <v>0.47540241699606978</v>
      </c>
      <c r="Q125" s="42">
        <f t="shared" ca="1" si="99"/>
        <v>0.36523510625404199</v>
      </c>
      <c r="R125" s="42">
        <f t="shared" ca="1" si="99"/>
        <v>0.69865599934525413</v>
      </c>
      <c r="S125" s="42">
        <f t="shared" ca="1" si="99"/>
        <v>0.64355014758869755</v>
      </c>
      <c r="T125" s="42">
        <f t="shared" ca="1" si="99"/>
        <v>9.8109539184053296E-2</v>
      </c>
      <c r="U125" s="44">
        <f ca="1">(IF(D125&gt;=Inputs!$E$12,1,IF(K125&lt;=Inputs!$C$46,Inputs!$D$46,IF(K125&lt;=Inputs!$C$47,Inputs!$D$47,Inputs!$D$48))))*((Inputs!$B$28+(P125-0.5)*2*Inputs!$B$53)/Inputs!$B$28)</f>
        <v>0.999751036609272</v>
      </c>
      <c r="V125" s="44">
        <f ca="1">(IF(E125&gt;=Inputs!$E$13,1,IF(L125&lt;=Inputs!$C$46,Inputs!$D$46,IF(L125&lt;=Inputs!$C$47,Inputs!$D$47,Inputs!$D$48))))*((Inputs!$B$29+(Q125-0.5)*2*Inputs!$B$53)/Inputs!$B$29)</f>
        <v>0.99864148292594801</v>
      </c>
      <c r="W125" s="44">
        <f ca="1">(IF(F125&gt;=Inputs!$E$14,1,IF(M125&lt;=Inputs!$C$46,Inputs!$D$46,IF(M125&lt;=Inputs!$C$47,Inputs!$D$47,Inputs!$D$48))))*((Inputs!$B$30+(R125-0.5)*2*Inputs!$B$53)/Inputs!$B$30)</f>
        <v>1.0019965427069875</v>
      </c>
      <c r="X125" s="44">
        <f ca="1">(IF(G125&gt;=Inputs!$E$15,1,IF(N125&lt;=Inputs!$C$46,Inputs!$D$46,IF(N125&lt;=Inputs!$C$47,Inputs!$D$47,Inputs!$D$48))))*((Inputs!$B$31+(S125-0.5)*2*Inputs!$B$53)/Inputs!$B$31)</f>
        <v>0.6008744171426722</v>
      </c>
      <c r="Y125" s="44">
        <f ca="1">(IF(H125&gt;=Inputs!$E$16,1,IF(O125&lt;=Inputs!$C$46,Inputs!$D$46,IF(O125&lt;=Inputs!$C$47,Inputs!$D$47,Inputs!$D$48))))*((Inputs!$B$32+(T125-0.5)*2*Inputs!$B$53)/Inputs!$B$32)</f>
        <v>0.9959568364103023</v>
      </c>
      <c r="Z125" s="45">
        <f ca="1">ILP_C_HighResilience!$C$9*U125+ILP_C_HighResilience!$C$10*V125+ILP_C_HighResilience!$C$11*W125+ILP_C_HighResilience!$C$12*X125+ILP_C_HighResilience!$C$13*Y125</f>
        <v>15119.612605547411</v>
      </c>
      <c r="AA125" s="45">
        <f ca="1">ILP_C_HighResilience!$D$9*U125+ILP_C_HighResilience!$D$10*V125+ILP_C_HighResilience!$D$11*W125+ILP_C_HighResilience!$D$12*X125+ILP_C_HighResilience!$D$13*Y125</f>
        <v>13156.633561811439</v>
      </c>
      <c r="AB125" s="45">
        <f ca="1">ILP_C_HighResilience!$E$9*U125+ILP_C_HighResilience!$E$10*V125+ILP_C_HighResilience!$E$11*W125+ILP_C_HighResilience!$E$12*X125+ILP_C_HighResilience!$E$13*Y125</f>
        <v>11998.793586873719</v>
      </c>
      <c r="AC125" s="45">
        <f ca="1">Inputs!$B$6*$C125</f>
        <v>18000</v>
      </c>
      <c r="AD125" s="45">
        <f ca="1">Inputs!$B$7*$C125</f>
        <v>15000</v>
      </c>
      <c r="AE125" s="45">
        <f ca="1">Inputs!$B$8*$C125</f>
        <v>12000</v>
      </c>
      <c r="AF125" s="45">
        <f t="shared" ca="1" si="78"/>
        <v>2880.3873944525894</v>
      </c>
      <c r="AG125" s="45">
        <f t="shared" ca="1" si="79"/>
        <v>1843.366438188561</v>
      </c>
      <c r="AH125" s="45">
        <f t="shared" ca="1" si="80"/>
        <v>1.2064131262814044</v>
      </c>
      <c r="AI125" s="45">
        <f t="shared" ca="1" si="81"/>
        <v>4724.9602457674318</v>
      </c>
      <c r="AJ125" s="45">
        <f ca="1">U125*(Inputs!$B$12-ILP_C_HighResilience!$F$9)+V125*(Inputs!$B$13-ILP_C_HighResilience!$F$10)+W125*(Inputs!$B$14-ILP_C_HighResilience!$F$11)+X125*(Inputs!$B$15-ILP_C_HighResilience!$F$12)+Y125*(Inputs!$B$16-ILP_C_HighResilience!$F$13)</f>
        <v>24877.758199536496</v>
      </c>
      <c r="AK125" s="45">
        <f t="shared" ca="1" si="82"/>
        <v>4724.9602457674318</v>
      </c>
      <c r="AL125" s="45">
        <f t="shared" ca="1" si="83"/>
        <v>0</v>
      </c>
      <c r="AM125" s="45">
        <f t="shared" ca="1" si="84"/>
        <v>0</v>
      </c>
      <c r="AN125" s="45">
        <f t="shared" ca="1" si="85"/>
        <v>0</v>
      </c>
      <c r="AO125" s="45">
        <f ca="1">MIN(AL125,Inputs!$B$36)</f>
        <v>0</v>
      </c>
      <c r="AP125" s="45">
        <f ca="1">MIN(AN125,Inputs!$B$36-AO125)</f>
        <v>0</v>
      </c>
      <c r="AQ125" s="45">
        <f ca="1">MIN(AM125,Inputs!$B$36-AO125-AP125)</f>
        <v>0</v>
      </c>
      <c r="AR125" s="45">
        <f t="shared" ca="1" si="86"/>
        <v>0</v>
      </c>
      <c r="AS125" s="45">
        <f t="shared" ca="1" si="87"/>
        <v>0</v>
      </c>
      <c r="AT125" s="45">
        <f t="shared" ca="1" si="88"/>
        <v>0</v>
      </c>
      <c r="AU125" s="45">
        <f t="shared" ca="1" si="89"/>
        <v>0</v>
      </c>
      <c r="AV125" s="46">
        <f ca="1">AU125*Inputs!$B$35</f>
        <v>0</v>
      </c>
      <c r="AW125" s="46">
        <f ca="1">AR125*Inputs!$C$6+AT125*Inputs!$C$7+AS125*Inputs!$C$8</f>
        <v>0</v>
      </c>
      <c r="AX125" s="46">
        <f t="shared" ca="1" si="90"/>
        <v>42697687.185986124</v>
      </c>
      <c r="AY125" s="46">
        <f ca="1">IF(J125&gt;1,($CD$4)*Inputs!$B$55*((Z125+AA125+AB125)/(SUM(ILP_C_HighResilience!$C$9:$E$13))),0)</f>
        <v>0</v>
      </c>
      <c r="AZ125" s="46">
        <f t="shared" ca="1" si="91"/>
        <v>0</v>
      </c>
      <c r="BA125" s="41">
        <f t="shared" ca="1" si="92"/>
        <v>0</v>
      </c>
      <c r="BB125" s="41">
        <f t="shared" ca="1" si="93"/>
        <v>1</v>
      </c>
      <c r="BC125" s="41">
        <f t="shared" ca="1" si="94"/>
        <v>1</v>
      </c>
      <c r="BD125" s="41">
        <f t="shared" ca="1" si="95"/>
        <v>1</v>
      </c>
    </row>
    <row r="126" spans="1:56" ht="15" customHeight="1" x14ac:dyDescent="0.3">
      <c r="A126" s="41">
        <v>119</v>
      </c>
      <c r="B126" s="42">
        <f t="shared" ca="1" si="77"/>
        <v>0.35542474242310618</v>
      </c>
      <c r="C126" s="43">
        <f ca="1">IF(B126&lt;=Inputs!$C$40,Inputs!$D$40,IF(B126&lt;=Inputs!$C$41,Inputs!$D$41,Inputs!$D$42))</f>
        <v>1</v>
      </c>
      <c r="D126" s="42">
        <f t="shared" ca="1" si="98"/>
        <v>0.23658915294491178</v>
      </c>
      <c r="E126" s="42">
        <f t="shared" ca="1" si="98"/>
        <v>9.045332168751441E-2</v>
      </c>
      <c r="F126" s="42">
        <f t="shared" ca="1" si="98"/>
        <v>0.74408226366731178</v>
      </c>
      <c r="G126" s="42">
        <f t="shared" ca="1" si="98"/>
        <v>0.64490392504471783</v>
      </c>
      <c r="H126" s="42">
        <f t="shared" ca="1" si="98"/>
        <v>0.39770393065245246</v>
      </c>
      <c r="I126" s="42">
        <f t="shared" ca="1" si="98"/>
        <v>0.68166466598136788</v>
      </c>
      <c r="J126" s="43">
        <f ca="1">IF(I126&lt;Inputs!$B$54,1+Inputs!$B$55,1)</f>
        <v>1</v>
      </c>
      <c r="K126" s="42">
        <f t="shared" ca="1" si="99"/>
        <v>0.2111022466348994</v>
      </c>
      <c r="L126" s="42">
        <f t="shared" ca="1" si="99"/>
        <v>0.43151898640838937</v>
      </c>
      <c r="M126" s="42">
        <f t="shared" ca="1" si="99"/>
        <v>0.90093690810196914</v>
      </c>
      <c r="N126" s="42">
        <f t="shared" ca="1" si="99"/>
        <v>0.31711979696115</v>
      </c>
      <c r="O126" s="42">
        <f t="shared" ca="1" si="99"/>
        <v>0.40702822144986317</v>
      </c>
      <c r="P126" s="42">
        <f t="shared" ca="1" si="99"/>
        <v>0.90057050724335108</v>
      </c>
      <c r="Q126" s="42">
        <f t="shared" ca="1" si="99"/>
        <v>0.44953281082242558</v>
      </c>
      <c r="R126" s="42">
        <f t="shared" ca="1" si="99"/>
        <v>0.20434792179242722</v>
      </c>
      <c r="S126" s="42">
        <f t="shared" ca="1" si="99"/>
        <v>0.20820446519268321</v>
      </c>
      <c r="T126" s="42">
        <f t="shared" ca="1" si="99"/>
        <v>0.14903860413628078</v>
      </c>
      <c r="U126" s="44">
        <f ca="1">(IF(D126&gt;=Inputs!$E$12,1,IF(K126&lt;=Inputs!$C$46,Inputs!$D$46,IF(K126&lt;=Inputs!$C$47,Inputs!$D$47,Inputs!$D$48))))*((Inputs!$B$28+(P126-0.5)*2*Inputs!$B$53)/Inputs!$B$28)</f>
        <v>1.0040543573607625</v>
      </c>
      <c r="V126" s="44">
        <f ca="1">(IF(E126&gt;=Inputs!$E$13,1,IF(L126&lt;=Inputs!$C$46,Inputs!$D$46,IF(L126&lt;=Inputs!$C$47,Inputs!$D$47,Inputs!$D$48))))*((Inputs!$B$29+(Q126-0.5)*2*Inputs!$B$53)/Inputs!$B$29)</f>
        <v>0.29984737745208395</v>
      </c>
      <c r="W126" s="44">
        <f ca="1">(IF(F126&gt;=Inputs!$E$14,1,IF(M126&lt;=Inputs!$C$46,Inputs!$D$46,IF(M126&lt;=Inputs!$C$47,Inputs!$D$47,Inputs!$D$48))))*((Inputs!$B$30+(R126-0.5)*2*Inputs!$B$53)/Inputs!$B$30)</f>
        <v>0.99702862232957212</v>
      </c>
      <c r="X126" s="44">
        <f ca="1">(IF(G126&gt;=Inputs!$E$15,1,IF(N126&lt;=Inputs!$C$46,Inputs!$D$46,IF(N126&lt;=Inputs!$C$47,Inputs!$D$47,Inputs!$D$48))))*((Inputs!$B$31+(S126-0.5)*2*Inputs!$B$53)/Inputs!$B$31)</f>
        <v>0.99703760878368208</v>
      </c>
      <c r="Y126" s="44">
        <f ca="1">(IF(H126&gt;=Inputs!$E$16,1,IF(O126&lt;=Inputs!$C$46,Inputs!$D$46,IF(O126&lt;=Inputs!$C$47,Inputs!$D$47,Inputs!$D$48))))*((Inputs!$B$32+(T126-0.5)*2*Inputs!$B$53)/Inputs!$B$32)</f>
        <v>0.99646920124885585</v>
      </c>
      <c r="Z126" s="45">
        <f ca="1">ILP_C_HighResilience!$C$9*U126+ILP_C_HighResilience!$C$10*V126+ILP_C_HighResilience!$C$11*W126+ILP_C_HighResilience!$C$12*X126+ILP_C_HighResilience!$C$13*Y126</f>
        <v>15487.312715067503</v>
      </c>
      <c r="AA126" s="45">
        <f ca="1">ILP_C_HighResilience!$D$9*U126+ILP_C_HighResilience!$D$10*V126+ILP_C_HighResilience!$D$11*W126+ILP_C_HighResilience!$D$12*X126+ILP_C_HighResilience!$D$13*Y126</f>
        <v>10772.383383096641</v>
      </c>
      <c r="AB126" s="45">
        <f ca="1">ILP_C_HighResilience!$E$9*U126+ILP_C_HighResilience!$E$10*V126+ILP_C_HighResilience!$E$11*W126+ILP_C_HighResilience!$E$12*X126+ILP_C_HighResilience!$E$13*Y126</f>
        <v>9008.5538180699114</v>
      </c>
      <c r="AC126" s="45">
        <f ca="1">Inputs!$B$6*$C126</f>
        <v>18000</v>
      </c>
      <c r="AD126" s="45">
        <f ca="1">Inputs!$B$7*$C126</f>
        <v>15000</v>
      </c>
      <c r="AE126" s="45">
        <f ca="1">Inputs!$B$8*$C126</f>
        <v>12000</v>
      </c>
      <c r="AF126" s="45">
        <f t="shared" ca="1" si="78"/>
        <v>2512.6872849324973</v>
      </c>
      <c r="AG126" s="45">
        <f t="shared" ca="1" si="79"/>
        <v>4227.6166169033586</v>
      </c>
      <c r="AH126" s="45">
        <f t="shared" ca="1" si="80"/>
        <v>2991.4461819300886</v>
      </c>
      <c r="AI126" s="45">
        <f t="shared" ca="1" si="81"/>
        <v>9731.7500837659445</v>
      </c>
      <c r="AJ126" s="45">
        <f ca="1">U126*(Inputs!$B$12-ILP_C_HighResilience!$F$9)+V126*(Inputs!$B$13-ILP_C_HighResilience!$F$10)+W126*(Inputs!$B$14-ILP_C_HighResilience!$F$11)+X126*(Inputs!$B$15-ILP_C_HighResilience!$F$12)+Y126*(Inputs!$B$16-ILP_C_HighResilience!$F$13)</f>
        <v>24867.344500288782</v>
      </c>
      <c r="AK126" s="45">
        <f t="shared" ca="1" si="82"/>
        <v>9731.7500837659445</v>
      </c>
      <c r="AL126" s="45">
        <f t="shared" ca="1" si="83"/>
        <v>0</v>
      </c>
      <c r="AM126" s="45">
        <f t="shared" ca="1" si="84"/>
        <v>0</v>
      </c>
      <c r="AN126" s="45">
        <f t="shared" ca="1" si="85"/>
        <v>0</v>
      </c>
      <c r="AO126" s="45">
        <f ca="1">MIN(AL126,Inputs!$B$36)</f>
        <v>0</v>
      </c>
      <c r="AP126" s="45">
        <f ca="1">MIN(AN126,Inputs!$B$36-AO126)</f>
        <v>0</v>
      </c>
      <c r="AQ126" s="45">
        <f ca="1">MIN(AM126,Inputs!$B$36-AO126-AP126)</f>
        <v>0</v>
      </c>
      <c r="AR126" s="45">
        <f t="shared" ca="1" si="86"/>
        <v>0</v>
      </c>
      <c r="AS126" s="45">
        <f t="shared" ca="1" si="87"/>
        <v>0</v>
      </c>
      <c r="AT126" s="45">
        <f t="shared" ca="1" si="88"/>
        <v>0</v>
      </c>
      <c r="AU126" s="45">
        <f t="shared" ca="1" si="89"/>
        <v>0</v>
      </c>
      <c r="AV126" s="46">
        <f ca="1">AU126*Inputs!$B$35</f>
        <v>0</v>
      </c>
      <c r="AW126" s="46">
        <f ca="1">AR126*Inputs!$C$6+AT126*Inputs!$C$7+AS126*Inputs!$C$8</f>
        <v>0</v>
      </c>
      <c r="AX126" s="46">
        <f t="shared" ca="1" si="90"/>
        <v>37297980.494969964</v>
      </c>
      <c r="AY126" s="46">
        <f ca="1">IF(J126&gt;1,($CD$4)*Inputs!$B$55*((Z126+AA126+AB126)/(SUM(ILP_C_HighResilience!$C$9:$E$13))),0)</f>
        <v>0</v>
      </c>
      <c r="AZ126" s="46">
        <f t="shared" ca="1" si="91"/>
        <v>0</v>
      </c>
      <c r="BA126" s="41">
        <f t="shared" ca="1" si="92"/>
        <v>0</v>
      </c>
      <c r="BB126" s="41">
        <f t="shared" ca="1" si="93"/>
        <v>1</v>
      </c>
      <c r="BC126" s="41">
        <f t="shared" ca="1" si="94"/>
        <v>1</v>
      </c>
      <c r="BD126" s="41">
        <f t="shared" ca="1" si="95"/>
        <v>1</v>
      </c>
    </row>
    <row r="127" spans="1:56" ht="15" customHeight="1" x14ac:dyDescent="0.3">
      <c r="A127" s="41">
        <v>120</v>
      </c>
      <c r="B127" s="42">
        <f t="shared" ca="1" si="77"/>
        <v>0.11986161325627043</v>
      </c>
      <c r="C127" s="43">
        <f ca="1">IF(B127&lt;=Inputs!$C$40,Inputs!$D$40,IF(B127&lt;=Inputs!$C$41,Inputs!$D$41,Inputs!$D$42))</f>
        <v>0.9</v>
      </c>
      <c r="D127" s="42">
        <f t="shared" ca="1" si="98"/>
        <v>0.46930476662062937</v>
      </c>
      <c r="E127" s="42">
        <f t="shared" ca="1" si="98"/>
        <v>0.47560671154235268</v>
      </c>
      <c r="F127" s="42">
        <f t="shared" ca="1" si="98"/>
        <v>7.4925502961878832E-2</v>
      </c>
      <c r="G127" s="42">
        <f t="shared" ca="1" si="98"/>
        <v>0.77964987418993437</v>
      </c>
      <c r="H127" s="42">
        <f t="shared" ca="1" si="98"/>
        <v>0.4410970127250291</v>
      </c>
      <c r="I127" s="42">
        <f t="shared" ca="1" si="98"/>
        <v>0.22061249821451945</v>
      </c>
      <c r="J127" s="43">
        <f ca="1">IF(I127&lt;Inputs!$B$54,1+Inputs!$B$55,1)</f>
        <v>1</v>
      </c>
      <c r="K127" s="42">
        <f t="shared" ca="1" si="99"/>
        <v>0.60096112418167413</v>
      </c>
      <c r="L127" s="42">
        <f t="shared" ca="1" si="99"/>
        <v>0.5594042150065841</v>
      </c>
      <c r="M127" s="42">
        <f t="shared" ca="1" si="99"/>
        <v>0.93587614766388882</v>
      </c>
      <c r="N127" s="42">
        <f t="shared" ca="1" si="99"/>
        <v>0.73736854353109027</v>
      </c>
      <c r="O127" s="42">
        <f t="shared" ca="1" si="99"/>
        <v>0.46027616946163752</v>
      </c>
      <c r="P127" s="42">
        <f t="shared" ca="1" si="99"/>
        <v>0.74220510279556595</v>
      </c>
      <c r="Q127" s="42">
        <f t="shared" ca="1" si="99"/>
        <v>0.31070649332531897</v>
      </c>
      <c r="R127" s="42">
        <f t="shared" ca="1" si="99"/>
        <v>0.59599534083401295</v>
      </c>
      <c r="S127" s="42">
        <f t="shared" ca="1" si="99"/>
        <v>0.4723464353180884</v>
      </c>
      <c r="T127" s="42">
        <f t="shared" ca="1" si="99"/>
        <v>0.29041501730575103</v>
      </c>
      <c r="U127" s="44">
        <f ca="1">(IF(D127&gt;=Inputs!$E$12,1,IF(K127&lt;=Inputs!$C$46,Inputs!$D$46,IF(K127&lt;=Inputs!$C$47,Inputs!$D$47,Inputs!$D$48))))*((Inputs!$B$28+(P127-0.5)*2*Inputs!$B$53)/Inputs!$B$28)</f>
        <v>1.0024514686517769</v>
      </c>
      <c r="V127" s="44">
        <f ca="1">(IF(E127&gt;=Inputs!$E$13,1,IF(L127&lt;=Inputs!$C$46,Inputs!$D$46,IF(L127&lt;=Inputs!$C$47,Inputs!$D$47,Inputs!$D$48))))*((Inputs!$B$29+(Q127-0.5)*2*Inputs!$B$53)/Inputs!$B$29)</f>
        <v>0.99809179932787617</v>
      </c>
      <c r="W127" s="44">
        <f ca="1">(IF(F127&gt;=Inputs!$E$14,1,IF(M127&lt;=Inputs!$C$46,Inputs!$D$46,IF(M127&lt;=Inputs!$C$47,Inputs!$D$47,Inputs!$D$48))))*((Inputs!$B$30+(R127-0.5)*2*Inputs!$B$53)/Inputs!$B$30)</f>
        <v>1.0009647772948143</v>
      </c>
      <c r="X127" s="44">
        <f ca="1">(IF(G127&gt;=Inputs!$E$15,1,IF(N127&lt;=Inputs!$C$46,Inputs!$D$46,IF(N127&lt;=Inputs!$C$47,Inputs!$D$47,Inputs!$D$48))))*((Inputs!$B$31+(S127-0.5)*2*Inputs!$B$53)/Inputs!$B$31)</f>
        <v>0.99971925315043753</v>
      </c>
      <c r="Y127" s="44">
        <f ca="1">(IF(H127&gt;=Inputs!$E$16,1,IF(O127&lt;=Inputs!$C$46,Inputs!$D$46,IF(O127&lt;=Inputs!$C$47,Inputs!$D$47,Inputs!$D$48))))*((Inputs!$B$32+(T127-0.5)*2*Inputs!$B$53)/Inputs!$B$32)</f>
        <v>0.99789149916806597</v>
      </c>
      <c r="Z127" s="45">
        <f ca="1">ILP_C_HighResilience!$C$9*U127+ILP_C_HighResilience!$C$10*V127+ILP_C_HighResilience!$C$11*W127+ILP_C_HighResilience!$C$12*X127+ILP_C_HighResilience!$C$13*Y127</f>
        <v>18008.759674556299</v>
      </c>
      <c r="AA127" s="45">
        <f ca="1">ILP_C_HighResilience!$D$9*U127+ILP_C_HighResilience!$D$10*V127+ILP_C_HighResilience!$D$11*W127+ILP_C_HighResilience!$D$12*X127+ILP_C_HighResilience!$D$13*Y127</f>
        <v>14991.479470073564</v>
      </c>
      <c r="AB127" s="45">
        <f ca="1">ILP_C_HighResilience!$E$9*U127+ILP_C_HighResilience!$E$10*V127+ILP_C_HighResilience!$E$11*W127+ILP_C_HighResilience!$E$12*X127+ILP_C_HighResilience!$E$13*Y127</f>
        <v>12006.394116528962</v>
      </c>
      <c r="AC127" s="45">
        <f ca="1">Inputs!$B$6*$C127</f>
        <v>16200</v>
      </c>
      <c r="AD127" s="45">
        <f ca="1">Inputs!$B$7*$C127</f>
        <v>13500</v>
      </c>
      <c r="AE127" s="45">
        <f ca="1">Inputs!$B$8*$C127</f>
        <v>10800</v>
      </c>
      <c r="AF127" s="45">
        <f t="shared" ca="1" si="78"/>
        <v>0</v>
      </c>
      <c r="AG127" s="45">
        <f t="shared" ca="1" si="79"/>
        <v>0</v>
      </c>
      <c r="AH127" s="45">
        <f t="shared" ca="1" si="80"/>
        <v>0</v>
      </c>
      <c r="AI127" s="45">
        <f t="shared" ca="1" si="81"/>
        <v>0</v>
      </c>
      <c r="AJ127" s="45">
        <f ca="1">U127*(Inputs!$B$12-ILP_C_HighResilience!$F$9)+V127*(Inputs!$B$13-ILP_C_HighResilience!$F$10)+W127*(Inputs!$B$14-ILP_C_HighResilience!$F$11)+X127*(Inputs!$B$15-ILP_C_HighResilience!$F$12)+Y127*(Inputs!$B$16-ILP_C_HighResilience!$F$13)</f>
        <v>24983.421058018699</v>
      </c>
      <c r="AK127" s="45">
        <f t="shared" ca="1" si="82"/>
        <v>0</v>
      </c>
      <c r="AL127" s="45">
        <f t="shared" ca="1" si="83"/>
        <v>0</v>
      </c>
      <c r="AM127" s="45">
        <f t="shared" ca="1" si="84"/>
        <v>0</v>
      </c>
      <c r="AN127" s="45">
        <f t="shared" ca="1" si="85"/>
        <v>0</v>
      </c>
      <c r="AO127" s="45">
        <f ca="1">MIN(AL127,Inputs!$B$36)</f>
        <v>0</v>
      </c>
      <c r="AP127" s="45">
        <f ca="1">MIN(AN127,Inputs!$B$36-AO127)</f>
        <v>0</v>
      </c>
      <c r="AQ127" s="45">
        <f ca="1">MIN(AM127,Inputs!$B$36-AO127-AP127)</f>
        <v>0</v>
      </c>
      <c r="AR127" s="45">
        <f t="shared" ca="1" si="86"/>
        <v>0</v>
      </c>
      <c r="AS127" s="45">
        <f t="shared" ca="1" si="87"/>
        <v>0</v>
      </c>
      <c r="AT127" s="45">
        <f t="shared" ca="1" si="88"/>
        <v>0</v>
      </c>
      <c r="AU127" s="45">
        <f t="shared" ca="1" si="89"/>
        <v>0</v>
      </c>
      <c r="AV127" s="46">
        <f ca="1">AU127*Inputs!$B$35</f>
        <v>0</v>
      </c>
      <c r="AW127" s="46">
        <f ca="1">AR127*Inputs!$C$6+AT127*Inputs!$C$7+AS127*Inputs!$C$8</f>
        <v>0</v>
      </c>
      <c r="AX127" s="46">
        <f t="shared" ca="1" si="90"/>
        <v>47639585.427907266</v>
      </c>
      <c r="AY127" s="46">
        <f ca="1">IF(J127&gt;1,($CD$4)*Inputs!$B$55*((Z127+AA127+AB127)/(SUM(ILP_C_HighResilience!$C$9:$E$13))),0)</f>
        <v>0</v>
      </c>
      <c r="AZ127" s="46">
        <f t="shared" ca="1" si="91"/>
        <v>0</v>
      </c>
      <c r="BA127" s="41">
        <f t="shared" ca="1" si="92"/>
        <v>0</v>
      </c>
      <c r="BB127" s="41">
        <f t="shared" ca="1" si="93"/>
        <v>1</v>
      </c>
      <c r="BC127" s="41">
        <f t="shared" ca="1" si="94"/>
        <v>1</v>
      </c>
      <c r="BD127" s="41">
        <f t="shared" ca="1" si="95"/>
        <v>1</v>
      </c>
    </row>
    <row r="128" spans="1:56" ht="15" customHeight="1" x14ac:dyDescent="0.3">
      <c r="A128" s="41">
        <v>121</v>
      </c>
      <c r="B128" s="42">
        <f t="shared" ca="1" si="77"/>
        <v>0.18309302724671006</v>
      </c>
      <c r="C128" s="43">
        <f ca="1">IF(B128&lt;=Inputs!$C$40,Inputs!$D$40,IF(B128&lt;=Inputs!$C$41,Inputs!$D$41,Inputs!$D$42))</f>
        <v>0.9</v>
      </c>
      <c r="D128" s="42">
        <f t="shared" ref="D128:I137" ca="1" si="100">RAND()</f>
        <v>0.16270128054578326</v>
      </c>
      <c r="E128" s="42">
        <f t="shared" ca="1" si="100"/>
        <v>0.30350486447041702</v>
      </c>
      <c r="F128" s="42">
        <f t="shared" ca="1" si="100"/>
        <v>0.87439899732733251</v>
      </c>
      <c r="G128" s="42">
        <f t="shared" ca="1" si="100"/>
        <v>0.49520968678813715</v>
      </c>
      <c r="H128" s="42">
        <f t="shared" ca="1" si="100"/>
        <v>0.99945636338922561</v>
      </c>
      <c r="I128" s="42">
        <f t="shared" ca="1" si="100"/>
        <v>0.10976122226676599</v>
      </c>
      <c r="J128" s="43">
        <f ca="1">IF(I128&lt;Inputs!$B$54,1+Inputs!$B$55,1)</f>
        <v>1</v>
      </c>
      <c r="K128" s="42">
        <f t="shared" ref="K128:T137" ca="1" si="101">RAND()</f>
        <v>0.80977185816895736</v>
      </c>
      <c r="L128" s="42">
        <f t="shared" ca="1" si="101"/>
        <v>0.47220620691849946</v>
      </c>
      <c r="M128" s="42">
        <f t="shared" ca="1" si="101"/>
        <v>0.9308810987614129</v>
      </c>
      <c r="N128" s="42">
        <f t="shared" ca="1" si="101"/>
        <v>0.45051700864881028</v>
      </c>
      <c r="O128" s="42">
        <f t="shared" ca="1" si="101"/>
        <v>0.88761076838246467</v>
      </c>
      <c r="P128" s="42">
        <f t="shared" ca="1" si="101"/>
        <v>0.44124419358879552</v>
      </c>
      <c r="Q128" s="42">
        <f t="shared" ca="1" si="101"/>
        <v>0.99367711339936127</v>
      </c>
      <c r="R128" s="42">
        <f t="shared" ca="1" si="101"/>
        <v>0.93662353805513077</v>
      </c>
      <c r="S128" s="42">
        <f t="shared" ca="1" si="101"/>
        <v>0.54502168873860768</v>
      </c>
      <c r="T128" s="42">
        <f t="shared" ca="1" si="101"/>
        <v>0.26090311891003548</v>
      </c>
      <c r="U128" s="44">
        <f ca="1">(IF(D128&gt;=Inputs!$E$12,1,IF(K128&lt;=Inputs!$C$46,Inputs!$D$46,IF(K128&lt;=Inputs!$C$47,Inputs!$D$47,Inputs!$D$48))))*((Inputs!$B$28+(P128-0.5)*2*Inputs!$B$53)/Inputs!$B$28)</f>
        <v>0.99940530560312546</v>
      </c>
      <c r="V128" s="44">
        <f ca="1">(IF(E128&gt;=Inputs!$E$13,1,IF(L128&lt;=Inputs!$C$46,Inputs!$D$46,IF(L128&lt;=Inputs!$C$47,Inputs!$D$47,Inputs!$D$48))))*((Inputs!$B$29+(Q128-0.5)*2*Inputs!$B$53)/Inputs!$B$29)</f>
        <v>1.0049765838044291</v>
      </c>
      <c r="W128" s="44">
        <f ca="1">(IF(F128&gt;=Inputs!$E$14,1,IF(M128&lt;=Inputs!$C$46,Inputs!$D$46,IF(M128&lt;=Inputs!$C$47,Inputs!$D$47,Inputs!$D$48))))*((Inputs!$B$30+(R128-0.5)*2*Inputs!$B$53)/Inputs!$B$30)</f>
        <v>1.0043881762618605</v>
      </c>
      <c r="X128" s="44">
        <f ca="1">(IF(G128&gt;=Inputs!$E$15,1,IF(N128&lt;=Inputs!$C$46,Inputs!$D$46,IF(N128&lt;=Inputs!$C$47,Inputs!$D$47,Inputs!$D$48))))*((Inputs!$B$31+(S128-0.5)*2*Inputs!$B$53)/Inputs!$B$31)</f>
        <v>1.0004570729821178</v>
      </c>
      <c r="Y128" s="44">
        <f ca="1">(IF(H128&gt;=Inputs!$E$16,1,IF(O128&lt;=Inputs!$C$46,Inputs!$D$46,IF(O128&lt;=Inputs!$C$47,Inputs!$D$47,Inputs!$D$48))))*((Inputs!$B$32+(T128-0.5)*2*Inputs!$B$53)/Inputs!$B$32)</f>
        <v>0.99759459878179113</v>
      </c>
      <c r="Z128" s="45">
        <f ca="1">ILP_C_HighResilience!$C$9*U128+ILP_C_HighResilience!$C$10*V128+ILP_C_HighResilience!$C$11*W128+ILP_C_HighResilience!$C$12*X128+ILP_C_HighResilience!$C$13*Y128</f>
        <v>18016.924827509698</v>
      </c>
      <c r="AA128" s="45">
        <f ca="1">ILP_C_HighResilience!$D$9*U128+ILP_C_HighResilience!$D$10*V128+ILP_C_HighResilience!$D$11*W128+ILP_C_HighResilience!$D$12*X128+ILP_C_HighResilience!$D$13*Y128</f>
        <v>15051.191392030909</v>
      </c>
      <c r="AB128" s="45">
        <f ca="1">ILP_C_HighResilience!$E$9*U128+ILP_C_HighResilience!$E$10*V128+ILP_C_HighResilience!$E$11*W128+ILP_C_HighResilience!$E$12*X128+ILP_C_HighResilience!$E$13*Y128</f>
        <v>12031.263427522932</v>
      </c>
      <c r="AC128" s="45">
        <f ca="1">Inputs!$B$6*$C128</f>
        <v>16200</v>
      </c>
      <c r="AD128" s="45">
        <f ca="1">Inputs!$B$7*$C128</f>
        <v>13500</v>
      </c>
      <c r="AE128" s="45">
        <f ca="1">Inputs!$B$8*$C128</f>
        <v>10800</v>
      </c>
      <c r="AF128" s="45">
        <f t="shared" ca="1" si="78"/>
        <v>0</v>
      </c>
      <c r="AG128" s="45">
        <f t="shared" ca="1" si="79"/>
        <v>0</v>
      </c>
      <c r="AH128" s="45">
        <f t="shared" ca="1" si="80"/>
        <v>0</v>
      </c>
      <c r="AI128" s="45">
        <f t="shared" ca="1" si="81"/>
        <v>0</v>
      </c>
      <c r="AJ128" s="45">
        <f ca="1">U128*(Inputs!$B$12-ILP_C_HighResilience!$F$9)+V128*(Inputs!$B$13-ILP_C_HighResilience!$F$10)+W128*(Inputs!$B$14-ILP_C_HighResilience!$F$11)+X128*(Inputs!$B$15-ILP_C_HighResilience!$F$12)+Y128*(Inputs!$B$16-ILP_C_HighResilience!$F$13)</f>
        <v>24987.227564764944</v>
      </c>
      <c r="AK128" s="45">
        <f t="shared" ca="1" si="82"/>
        <v>0</v>
      </c>
      <c r="AL128" s="45">
        <f t="shared" ca="1" si="83"/>
        <v>0</v>
      </c>
      <c r="AM128" s="45">
        <f t="shared" ca="1" si="84"/>
        <v>0</v>
      </c>
      <c r="AN128" s="45">
        <f t="shared" ca="1" si="85"/>
        <v>0</v>
      </c>
      <c r="AO128" s="45">
        <f ca="1">MIN(AL128,Inputs!$B$36)</f>
        <v>0</v>
      </c>
      <c r="AP128" s="45">
        <f ca="1">MIN(AN128,Inputs!$B$36-AO128)</f>
        <v>0</v>
      </c>
      <c r="AQ128" s="45">
        <f ca="1">MIN(AM128,Inputs!$B$36-AO128-AP128)</f>
        <v>0</v>
      </c>
      <c r="AR128" s="45">
        <f t="shared" ca="1" si="86"/>
        <v>0</v>
      </c>
      <c r="AS128" s="45">
        <f t="shared" ca="1" si="87"/>
        <v>0</v>
      </c>
      <c r="AT128" s="45">
        <f t="shared" ca="1" si="88"/>
        <v>0</v>
      </c>
      <c r="AU128" s="45">
        <f t="shared" ca="1" si="89"/>
        <v>0</v>
      </c>
      <c r="AV128" s="46">
        <f ca="1">AU128*Inputs!$B$35</f>
        <v>0</v>
      </c>
      <c r="AW128" s="46">
        <f ca="1">AR128*Inputs!$C$6+AT128*Inputs!$C$7+AS128*Inputs!$C$8</f>
        <v>0</v>
      </c>
      <c r="AX128" s="46">
        <f t="shared" ca="1" si="90"/>
        <v>47738100.164643764</v>
      </c>
      <c r="AY128" s="46">
        <f ca="1">IF(J128&gt;1,($CD$4)*Inputs!$B$55*((Z128+AA128+AB128)/(SUM(ILP_C_HighResilience!$C$9:$E$13))),0)</f>
        <v>0</v>
      </c>
      <c r="AZ128" s="46">
        <f t="shared" ca="1" si="91"/>
        <v>0</v>
      </c>
      <c r="BA128" s="41">
        <f t="shared" ca="1" si="92"/>
        <v>0</v>
      </c>
      <c r="BB128" s="41">
        <f t="shared" ca="1" si="93"/>
        <v>1</v>
      </c>
      <c r="BC128" s="41">
        <f t="shared" ca="1" si="94"/>
        <v>1</v>
      </c>
      <c r="BD128" s="41">
        <f t="shared" ca="1" si="95"/>
        <v>1</v>
      </c>
    </row>
    <row r="129" spans="1:56" ht="15" customHeight="1" x14ac:dyDescent="0.3">
      <c r="A129" s="41">
        <v>122</v>
      </c>
      <c r="B129" s="42">
        <f t="shared" ca="1" si="77"/>
        <v>0.84107963680107489</v>
      </c>
      <c r="C129" s="43">
        <f ca="1">IF(B129&lt;=Inputs!$C$40,Inputs!$D$40,IF(B129&lt;=Inputs!$C$41,Inputs!$D$41,Inputs!$D$42))</f>
        <v>1.1499999999999999</v>
      </c>
      <c r="D129" s="42">
        <f t="shared" ca="1" si="100"/>
        <v>0.70985565284984353</v>
      </c>
      <c r="E129" s="42">
        <f t="shared" ca="1" si="100"/>
        <v>0.32837350791520048</v>
      </c>
      <c r="F129" s="42">
        <f t="shared" ca="1" si="100"/>
        <v>0.84064511416189014</v>
      </c>
      <c r="G129" s="42">
        <f t="shared" ca="1" si="100"/>
        <v>0.30102602813782076</v>
      </c>
      <c r="H129" s="42">
        <f t="shared" ca="1" si="100"/>
        <v>0.22921295833075717</v>
      </c>
      <c r="I129" s="42">
        <f t="shared" ca="1" si="100"/>
        <v>0.16617413840145367</v>
      </c>
      <c r="J129" s="43">
        <f ca="1">IF(I129&lt;Inputs!$B$54,1+Inputs!$B$55,1)</f>
        <v>1</v>
      </c>
      <c r="K129" s="42">
        <f t="shared" ca="1" si="101"/>
        <v>1.0607522878842479E-2</v>
      </c>
      <c r="L129" s="42">
        <f t="shared" ca="1" si="101"/>
        <v>0.15833413452968781</v>
      </c>
      <c r="M129" s="42">
        <f t="shared" ca="1" si="101"/>
        <v>0.23934022244521003</v>
      </c>
      <c r="N129" s="42">
        <f t="shared" ca="1" si="101"/>
        <v>0.10650089621320713</v>
      </c>
      <c r="O129" s="42">
        <f t="shared" ca="1" si="101"/>
        <v>3.0215850098101682E-2</v>
      </c>
      <c r="P129" s="42">
        <f t="shared" ca="1" si="101"/>
        <v>0.8189881219265448</v>
      </c>
      <c r="Q129" s="42">
        <f t="shared" ca="1" si="101"/>
        <v>0.13573308399963058</v>
      </c>
      <c r="R129" s="42">
        <f t="shared" ca="1" si="101"/>
        <v>6.4583683887001753E-2</v>
      </c>
      <c r="S129" s="42">
        <f t="shared" ca="1" si="101"/>
        <v>0.89273431747663345</v>
      </c>
      <c r="T129" s="42">
        <f t="shared" ca="1" si="101"/>
        <v>0.24477735095830011</v>
      </c>
      <c r="U129" s="44">
        <f ca="1">(IF(D129&gt;=Inputs!$E$12,1,IF(K129&lt;=Inputs!$C$46,Inputs!$D$46,IF(K129&lt;=Inputs!$C$47,Inputs!$D$47,Inputs!$D$48))))*((Inputs!$B$28+(P129-0.5)*2*Inputs!$B$53)/Inputs!$B$28)</f>
        <v>1.0032286247158557</v>
      </c>
      <c r="V129" s="44">
        <f ca="1">(IF(E129&gt;=Inputs!$E$13,1,IF(L129&lt;=Inputs!$C$46,Inputs!$D$46,IF(L129&lt;=Inputs!$C$47,Inputs!$D$47,Inputs!$D$48))))*((Inputs!$B$29+(Q129-0.5)*2*Inputs!$B$53)/Inputs!$B$29)</f>
        <v>0.9963279544758028</v>
      </c>
      <c r="W129" s="44">
        <f ca="1">(IF(F129&gt;=Inputs!$E$14,1,IF(M129&lt;=Inputs!$C$46,Inputs!$D$46,IF(M129&lt;=Inputs!$C$47,Inputs!$D$47,Inputs!$D$48))))*((Inputs!$B$30+(R129-0.5)*2*Inputs!$B$53)/Inputs!$B$30)</f>
        <v>0.99562395662197989</v>
      </c>
      <c r="X129" s="44">
        <f ca="1">(IF(G129&gt;=Inputs!$E$15,1,IF(N129&lt;=Inputs!$C$46,Inputs!$D$46,IF(N129&lt;=Inputs!$C$47,Inputs!$D$47,Inputs!$D$48))))*((Inputs!$B$31+(S129-0.5)*2*Inputs!$B$53)/Inputs!$B$31)</f>
        <v>1.0039871504312348</v>
      </c>
      <c r="Y129" s="44">
        <f ca="1">(IF(H129&gt;=Inputs!$E$16,1,IF(O129&lt;=Inputs!$C$46,Inputs!$D$46,IF(O129&lt;=Inputs!$C$47,Inputs!$D$47,Inputs!$D$48))))*((Inputs!$B$32+(T129-0.5)*2*Inputs!$B$53)/Inputs!$B$32)</f>
        <v>0.99743236771587829</v>
      </c>
      <c r="Z129" s="45">
        <f ca="1">ILP_C_HighResilience!$C$9*U129+ILP_C_HighResilience!$C$10*V129+ILP_C_HighResilience!$C$11*W129+ILP_C_HighResilience!$C$12*X129+ILP_C_HighResilience!$C$13*Y129</f>
        <v>18038.734217171943</v>
      </c>
      <c r="AA129" s="45">
        <f ca="1">ILP_C_HighResilience!$D$9*U129+ILP_C_HighResilience!$D$10*V129+ILP_C_HighResilience!$D$11*W129+ILP_C_HighResilience!$D$12*X129+ILP_C_HighResilience!$D$13*Y129</f>
        <v>14977.221291851392</v>
      </c>
      <c r="AB129" s="45">
        <f ca="1">ILP_C_HighResilience!$E$9*U129+ILP_C_HighResilience!$E$10*V129+ILP_C_HighResilience!$E$11*W129+ILP_C_HighResilience!$E$12*X129+ILP_C_HighResilience!$E$13*Y129</f>
        <v>11987.008629111557</v>
      </c>
      <c r="AC129" s="45">
        <f ca="1">Inputs!$B$6*$C129</f>
        <v>20700</v>
      </c>
      <c r="AD129" s="45">
        <f ca="1">Inputs!$B$7*$C129</f>
        <v>17250</v>
      </c>
      <c r="AE129" s="45">
        <f ca="1">Inputs!$B$8*$C129</f>
        <v>13799.999999999998</v>
      </c>
      <c r="AF129" s="45">
        <f t="shared" ca="1" si="78"/>
        <v>2661.2657828280571</v>
      </c>
      <c r="AG129" s="45">
        <f t="shared" ca="1" si="79"/>
        <v>2272.7787081486076</v>
      </c>
      <c r="AH129" s="45">
        <f t="shared" ca="1" si="80"/>
        <v>1812.9913708884415</v>
      </c>
      <c r="AI129" s="45">
        <f t="shared" ca="1" si="81"/>
        <v>6747.0358618651062</v>
      </c>
      <c r="AJ129" s="45">
        <f ca="1">U129*(Inputs!$B$12-ILP_C_HighResilience!$F$9)+V129*(Inputs!$B$13-ILP_C_HighResilience!$F$10)+W129*(Inputs!$B$14-ILP_C_HighResilience!$F$11)+X129*(Inputs!$B$15-ILP_C_HighResilience!$F$12)+Y129*(Inputs!$B$16-ILP_C_HighResilience!$F$13)</f>
        <v>24949.727976978771</v>
      </c>
      <c r="AK129" s="45">
        <f t="shared" ca="1" si="82"/>
        <v>6747.0358618651062</v>
      </c>
      <c r="AL129" s="45">
        <f t="shared" ca="1" si="83"/>
        <v>0</v>
      </c>
      <c r="AM129" s="45">
        <f t="shared" ca="1" si="84"/>
        <v>0</v>
      </c>
      <c r="AN129" s="45">
        <f t="shared" ca="1" si="85"/>
        <v>0</v>
      </c>
      <c r="AO129" s="45">
        <f ca="1">MIN(AL129,Inputs!$B$36)</f>
        <v>0</v>
      </c>
      <c r="AP129" s="45">
        <f ca="1">MIN(AN129,Inputs!$B$36-AO129)</f>
        <v>0</v>
      </c>
      <c r="AQ129" s="45">
        <f ca="1">MIN(AM129,Inputs!$B$36-AO129-AP129)</f>
        <v>0</v>
      </c>
      <c r="AR129" s="45">
        <f t="shared" ca="1" si="86"/>
        <v>0</v>
      </c>
      <c r="AS129" s="45">
        <f t="shared" ca="1" si="87"/>
        <v>0</v>
      </c>
      <c r="AT129" s="45">
        <f t="shared" ca="1" si="88"/>
        <v>0</v>
      </c>
      <c r="AU129" s="45">
        <f t="shared" ca="1" si="89"/>
        <v>0</v>
      </c>
      <c r="AV129" s="46">
        <f ca="1">AU129*Inputs!$B$35</f>
        <v>0</v>
      </c>
      <c r="AW129" s="46">
        <f ca="1">AR129*Inputs!$C$6+AT129*Inputs!$C$7+AS129*Inputs!$C$8</f>
        <v>0</v>
      </c>
      <c r="AX129" s="46">
        <f t="shared" ca="1" si="90"/>
        <v>47634530.084010974</v>
      </c>
      <c r="AY129" s="46">
        <f ca="1">IF(J129&gt;1,($CD$4)*Inputs!$B$55*((Z129+AA129+AB129)/(SUM(ILP_C_HighResilience!$C$9:$E$13))),0)</f>
        <v>0</v>
      </c>
      <c r="AZ129" s="46">
        <f t="shared" ca="1" si="91"/>
        <v>0</v>
      </c>
      <c r="BA129" s="41">
        <f t="shared" ca="1" si="92"/>
        <v>0</v>
      </c>
      <c r="BB129" s="41">
        <f t="shared" ca="1" si="93"/>
        <v>1</v>
      </c>
      <c r="BC129" s="41">
        <f t="shared" ca="1" si="94"/>
        <v>1</v>
      </c>
      <c r="BD129" s="41">
        <f t="shared" ca="1" si="95"/>
        <v>1</v>
      </c>
    </row>
    <row r="130" spans="1:56" ht="15" customHeight="1" x14ac:dyDescent="0.3">
      <c r="A130" s="41">
        <v>123</v>
      </c>
      <c r="B130" s="42">
        <f t="shared" ca="1" si="77"/>
        <v>0.42650008830363761</v>
      </c>
      <c r="C130" s="43">
        <f ca="1">IF(B130&lt;=Inputs!$C$40,Inputs!$D$40,IF(B130&lt;=Inputs!$C$41,Inputs!$D$41,Inputs!$D$42))</f>
        <v>1</v>
      </c>
      <c r="D130" s="42">
        <f t="shared" ca="1" si="100"/>
        <v>3.0981185294714053E-2</v>
      </c>
      <c r="E130" s="42">
        <f t="shared" ca="1" si="100"/>
        <v>1.3808303308678882E-3</v>
      </c>
      <c r="F130" s="42">
        <f t="shared" ca="1" si="100"/>
        <v>0.14992907740878825</v>
      </c>
      <c r="G130" s="42">
        <f t="shared" ca="1" si="100"/>
        <v>0.81893185632614318</v>
      </c>
      <c r="H130" s="42">
        <f t="shared" ca="1" si="100"/>
        <v>0.52427886650104694</v>
      </c>
      <c r="I130" s="42">
        <f t="shared" ca="1" si="100"/>
        <v>0.70076079631576305</v>
      </c>
      <c r="J130" s="43">
        <f ca="1">IF(I130&lt;Inputs!$B$54,1+Inputs!$B$55,1)</f>
        <v>1</v>
      </c>
      <c r="K130" s="42">
        <f t="shared" ca="1" si="101"/>
        <v>0.44966128170005482</v>
      </c>
      <c r="L130" s="42">
        <f t="shared" ca="1" si="101"/>
        <v>0.26727247444091773</v>
      </c>
      <c r="M130" s="42">
        <f t="shared" ca="1" si="101"/>
        <v>0.75309058253129091</v>
      </c>
      <c r="N130" s="42">
        <f t="shared" ca="1" si="101"/>
        <v>0.22899423022952159</v>
      </c>
      <c r="O130" s="42">
        <f t="shared" ca="1" si="101"/>
        <v>0.61332922986318883</v>
      </c>
      <c r="P130" s="42">
        <f t="shared" ca="1" si="101"/>
        <v>0.47939264188200159</v>
      </c>
      <c r="Q130" s="42">
        <f t="shared" ca="1" si="101"/>
        <v>0.52166905758718496</v>
      </c>
      <c r="R130" s="42">
        <f t="shared" ca="1" si="101"/>
        <v>0.72159376460218483</v>
      </c>
      <c r="S130" s="42">
        <f t="shared" ca="1" si="101"/>
        <v>5.7195498463007421E-3</v>
      </c>
      <c r="T130" s="42">
        <f t="shared" ca="1" si="101"/>
        <v>0.62907436950026097</v>
      </c>
      <c r="U130" s="44">
        <f ca="1">(IF(D130&gt;=Inputs!$E$12,1,IF(K130&lt;=Inputs!$C$46,Inputs!$D$46,IF(K130&lt;=Inputs!$C$47,Inputs!$D$47,Inputs!$D$48))))*((Inputs!$B$28+(P130-0.5)*2*Inputs!$B$53)/Inputs!$B$28)</f>
        <v>0.29993742705024895</v>
      </c>
      <c r="V130" s="44">
        <f ca="1">(IF(E130&gt;=Inputs!$E$13,1,IF(L130&lt;=Inputs!$C$46,Inputs!$D$46,IF(L130&lt;=Inputs!$C$47,Inputs!$D$47,Inputs!$D$48))))*((Inputs!$B$29+(Q130-0.5)*2*Inputs!$B$53)/Inputs!$B$29)</f>
        <v>0.60013106284830953</v>
      </c>
      <c r="W130" s="44">
        <f ca="1">(IF(F130&gt;=Inputs!$E$14,1,IF(M130&lt;=Inputs!$C$46,Inputs!$D$46,IF(M130&lt;=Inputs!$C$47,Inputs!$D$47,Inputs!$D$48))))*((Inputs!$B$30+(R130-0.5)*2*Inputs!$B$53)/Inputs!$B$30)</f>
        <v>1.0022270730110774</v>
      </c>
      <c r="X130" s="44">
        <f ca="1">(IF(G130&gt;=Inputs!$E$15,1,IF(N130&lt;=Inputs!$C$46,Inputs!$D$46,IF(N130&lt;=Inputs!$C$47,Inputs!$D$47,Inputs!$D$48))))*((Inputs!$B$31+(S130-0.5)*2*Inputs!$B$53)/Inputs!$B$31)</f>
        <v>0.99498192436392185</v>
      </c>
      <c r="Y130" s="44">
        <f ca="1">(IF(H130&gt;=Inputs!$E$16,1,IF(O130&lt;=Inputs!$C$46,Inputs!$D$46,IF(O130&lt;=Inputs!$C$47,Inputs!$D$47,Inputs!$D$48))))*((Inputs!$B$32+(T130-0.5)*2*Inputs!$B$53)/Inputs!$B$32)</f>
        <v>1.0012985349044292</v>
      </c>
      <c r="Z130" s="45">
        <f ca="1">ILP_C_HighResilience!$C$9*U130+ILP_C_HighResilience!$C$10*V130+ILP_C_HighResilience!$C$11*W130+ILP_C_HighResilience!$C$12*X130+ILP_C_HighResilience!$C$13*Y130</f>
        <v>11483.891156435944</v>
      </c>
      <c r="AA130" s="45">
        <f ca="1">ILP_C_HighResilience!$D$9*U130+ILP_C_HighResilience!$D$10*V130+ILP_C_HighResilience!$D$11*W130+ILP_C_HighResilience!$D$12*X130+ILP_C_HighResilience!$D$13*Y130</f>
        <v>12587.357447439696</v>
      </c>
      <c r="AB130" s="45">
        <f ca="1">ILP_C_HighResilience!$E$9*U130+ILP_C_HighResilience!$E$10*V130+ILP_C_HighResilience!$E$11*W130+ILP_C_HighResilience!$E$12*X130+ILP_C_HighResilience!$E$13*Y130</f>
        <v>6931.5468839430032</v>
      </c>
      <c r="AC130" s="45">
        <f ca="1">Inputs!$B$6*$C130</f>
        <v>18000</v>
      </c>
      <c r="AD130" s="45">
        <f ca="1">Inputs!$B$7*$C130</f>
        <v>15000</v>
      </c>
      <c r="AE130" s="45">
        <f ca="1">Inputs!$B$8*$C130</f>
        <v>12000</v>
      </c>
      <c r="AF130" s="45">
        <f t="shared" ca="1" si="78"/>
        <v>6516.1088435640559</v>
      </c>
      <c r="AG130" s="45">
        <f t="shared" ca="1" si="79"/>
        <v>2412.6425525603045</v>
      </c>
      <c r="AH130" s="45">
        <f t="shared" ca="1" si="80"/>
        <v>5068.4531160569968</v>
      </c>
      <c r="AI130" s="45">
        <f t="shared" ca="1" si="81"/>
        <v>13997.204512181357</v>
      </c>
      <c r="AJ130" s="45">
        <f ca="1">U130*(Inputs!$B$12-ILP_C_HighResilience!$F$9)+V130*(Inputs!$B$13-ILP_C_HighResilience!$F$10)+W130*(Inputs!$B$14-ILP_C_HighResilience!$F$11)+X130*(Inputs!$B$15-ILP_C_HighResilience!$F$12)+Y130*(Inputs!$B$16-ILP_C_HighResilience!$F$13)</f>
        <v>22186.25128993918</v>
      </c>
      <c r="AK130" s="45">
        <f t="shared" ca="1" si="82"/>
        <v>13997.204512181357</v>
      </c>
      <c r="AL130" s="45">
        <f t="shared" ca="1" si="83"/>
        <v>0</v>
      </c>
      <c r="AM130" s="45">
        <f t="shared" ca="1" si="84"/>
        <v>0</v>
      </c>
      <c r="AN130" s="45">
        <f t="shared" ca="1" si="85"/>
        <v>0</v>
      </c>
      <c r="AO130" s="45">
        <f ca="1">MIN(AL130,Inputs!$B$36)</f>
        <v>0</v>
      </c>
      <c r="AP130" s="45">
        <f ca="1">MIN(AN130,Inputs!$B$36-AO130)</f>
        <v>0</v>
      </c>
      <c r="AQ130" s="45">
        <f ca="1">MIN(AM130,Inputs!$B$36-AO130-AP130)</f>
        <v>0</v>
      </c>
      <c r="AR130" s="45">
        <f t="shared" ca="1" si="86"/>
        <v>0</v>
      </c>
      <c r="AS130" s="45">
        <f t="shared" ca="1" si="87"/>
        <v>0</v>
      </c>
      <c r="AT130" s="45">
        <f t="shared" ca="1" si="88"/>
        <v>0</v>
      </c>
      <c r="AU130" s="45">
        <f t="shared" ca="1" si="89"/>
        <v>0</v>
      </c>
      <c r="AV130" s="46">
        <f ca="1">AU130*Inputs!$B$35</f>
        <v>0</v>
      </c>
      <c r="AW130" s="46">
        <f ca="1">AR130*Inputs!$C$6+AT130*Inputs!$C$7+AS130*Inputs!$C$8</f>
        <v>0</v>
      </c>
      <c r="AX130" s="46">
        <f t="shared" ca="1" si="90"/>
        <v>32768629.636425689</v>
      </c>
      <c r="AY130" s="46">
        <f ca="1">IF(J130&gt;1,($CD$4)*Inputs!$B$55*((Z130+AA130+AB130)/(SUM(ILP_C_HighResilience!$C$9:$E$13))),0)</f>
        <v>0</v>
      </c>
      <c r="AZ130" s="46">
        <f t="shared" ca="1" si="91"/>
        <v>0</v>
      </c>
      <c r="BA130" s="41">
        <f t="shared" ca="1" si="92"/>
        <v>0</v>
      </c>
      <c r="BB130" s="41">
        <f t="shared" ca="1" si="93"/>
        <v>1</v>
      </c>
      <c r="BC130" s="41">
        <f t="shared" ca="1" si="94"/>
        <v>1</v>
      </c>
      <c r="BD130" s="41">
        <f t="shared" ca="1" si="95"/>
        <v>1</v>
      </c>
    </row>
    <row r="131" spans="1:56" ht="15" customHeight="1" x14ac:dyDescent="0.3">
      <c r="A131" s="41">
        <v>124</v>
      </c>
      <c r="B131" s="42">
        <f t="shared" ca="1" si="77"/>
        <v>3.5938668314655642E-2</v>
      </c>
      <c r="C131" s="43">
        <f ca="1">IF(B131&lt;=Inputs!$C$40,Inputs!$D$40,IF(B131&lt;=Inputs!$C$41,Inputs!$D$41,Inputs!$D$42))</f>
        <v>0.9</v>
      </c>
      <c r="D131" s="42">
        <f t="shared" ca="1" si="100"/>
        <v>0.69739811386555395</v>
      </c>
      <c r="E131" s="42">
        <f t="shared" ca="1" si="100"/>
        <v>0.14431705794571503</v>
      </c>
      <c r="F131" s="42">
        <f t="shared" ca="1" si="100"/>
        <v>0.34820464758002567</v>
      </c>
      <c r="G131" s="42">
        <f t="shared" ca="1" si="100"/>
        <v>0.53437542025178209</v>
      </c>
      <c r="H131" s="42">
        <f t="shared" ca="1" si="100"/>
        <v>0.19226278074472303</v>
      </c>
      <c r="I131" s="42">
        <f t="shared" ca="1" si="100"/>
        <v>0.98974582941766232</v>
      </c>
      <c r="J131" s="43">
        <f ca="1">IF(I131&lt;Inputs!$B$54,1+Inputs!$B$55,1)</f>
        <v>1</v>
      </c>
      <c r="K131" s="42">
        <f t="shared" ca="1" si="101"/>
        <v>0.76847331290625964</v>
      </c>
      <c r="L131" s="42">
        <f t="shared" ca="1" si="101"/>
        <v>0.92742920870960477</v>
      </c>
      <c r="M131" s="42">
        <f t="shared" ca="1" si="101"/>
        <v>6.1168554093952054E-2</v>
      </c>
      <c r="N131" s="42">
        <f t="shared" ca="1" si="101"/>
        <v>0.42446935067768554</v>
      </c>
      <c r="O131" s="42">
        <f t="shared" ca="1" si="101"/>
        <v>4.7093671378450108E-2</v>
      </c>
      <c r="P131" s="42">
        <f t="shared" ca="1" si="101"/>
        <v>0.94739825151000767</v>
      </c>
      <c r="Q131" s="42">
        <f t="shared" ca="1" si="101"/>
        <v>0.57355349293597746</v>
      </c>
      <c r="R131" s="42">
        <f t="shared" ca="1" si="101"/>
        <v>0.45742145776856413</v>
      </c>
      <c r="S131" s="42">
        <f t="shared" ca="1" si="101"/>
        <v>0.66465060670997556</v>
      </c>
      <c r="T131" s="42">
        <f t="shared" ca="1" si="101"/>
        <v>0.82327578975517912</v>
      </c>
      <c r="U131" s="44">
        <f ca="1">(IF(D131&gt;=Inputs!$E$12,1,IF(K131&lt;=Inputs!$C$46,Inputs!$D$46,IF(K131&lt;=Inputs!$C$47,Inputs!$D$47,Inputs!$D$48))))*((Inputs!$B$28+(P131-0.5)*2*Inputs!$B$53)/Inputs!$B$28)</f>
        <v>1.0045283223837045</v>
      </c>
      <c r="V131" s="44">
        <f ca="1">(IF(E131&gt;=Inputs!$E$13,1,IF(L131&lt;=Inputs!$C$46,Inputs!$D$46,IF(L131&lt;=Inputs!$C$47,Inputs!$D$47,Inputs!$D$48))))*((Inputs!$B$29+(Q131-0.5)*2*Inputs!$B$53)/Inputs!$B$29)</f>
        <v>1.0007414666626611</v>
      </c>
      <c r="W131" s="44">
        <f ca="1">(IF(F131&gt;=Inputs!$E$14,1,IF(M131&lt;=Inputs!$C$46,Inputs!$D$46,IF(M131&lt;=Inputs!$C$47,Inputs!$D$47,Inputs!$D$48))))*((Inputs!$B$30+(R131-0.5)*2*Inputs!$B$53)/Inputs!$B$30)</f>
        <v>0.99957207495244793</v>
      </c>
      <c r="X131" s="44">
        <f ca="1">(IF(G131&gt;=Inputs!$E$15,1,IF(N131&lt;=Inputs!$C$46,Inputs!$D$46,IF(N131&lt;=Inputs!$C$47,Inputs!$D$47,Inputs!$D$48))))*((Inputs!$B$31+(S131-0.5)*2*Inputs!$B$53)/Inputs!$B$31)</f>
        <v>1.0016715797635529</v>
      </c>
      <c r="Y131" s="44">
        <f ca="1">(IF(H131&gt;=Inputs!$E$16,1,IF(O131&lt;=Inputs!$C$46,Inputs!$D$46,IF(O131&lt;=Inputs!$C$47,Inputs!$D$47,Inputs!$D$48))))*((Inputs!$B$32+(T131-0.5)*2*Inputs!$B$53)/Inputs!$B$32)</f>
        <v>1.003252271526712</v>
      </c>
      <c r="Z131" s="45">
        <f ca="1">ILP_C_HighResilience!$C$9*U131+ILP_C_HighResilience!$C$10*V131+ILP_C_HighResilience!$C$11*W131+ILP_C_HighResilience!$C$12*X131+ILP_C_HighResilience!$C$13*Y131</f>
        <v>18047.308575445833</v>
      </c>
      <c r="AA131" s="45">
        <f ca="1">ILP_C_HighResilience!$D$9*U131+ILP_C_HighResilience!$D$10*V131+ILP_C_HighResilience!$D$11*W131+ILP_C_HighResilience!$D$12*X131+ILP_C_HighResilience!$D$13*Y131</f>
        <v>15010.297186775304</v>
      </c>
      <c r="AB131" s="45">
        <f ca="1">ILP_C_HighResilience!$E$9*U131+ILP_C_HighResilience!$E$10*V131+ILP_C_HighResilience!$E$11*W131+ILP_C_HighResilience!$E$12*X131+ILP_C_HighResilience!$E$13*Y131</f>
        <v>12023.6692387528</v>
      </c>
      <c r="AC131" s="45">
        <f ca="1">Inputs!$B$6*$C131</f>
        <v>16200</v>
      </c>
      <c r="AD131" s="45">
        <f ca="1">Inputs!$B$7*$C131</f>
        <v>13500</v>
      </c>
      <c r="AE131" s="45">
        <f ca="1">Inputs!$B$8*$C131</f>
        <v>10800</v>
      </c>
      <c r="AF131" s="45">
        <f t="shared" ca="1" si="78"/>
        <v>0</v>
      </c>
      <c r="AG131" s="45">
        <f t="shared" ca="1" si="79"/>
        <v>0</v>
      </c>
      <c r="AH131" s="45">
        <f t="shared" ca="1" si="80"/>
        <v>0</v>
      </c>
      <c r="AI131" s="45">
        <f t="shared" ca="1" si="81"/>
        <v>0</v>
      </c>
      <c r="AJ131" s="45">
        <f ca="1">U131*(Inputs!$B$12-ILP_C_HighResilience!$F$9)+V131*(Inputs!$B$13-ILP_C_HighResilience!$F$10)+W131*(Inputs!$B$14-ILP_C_HighResilience!$F$11)+X131*(Inputs!$B$15-ILP_C_HighResilience!$F$12)+Y131*(Inputs!$B$16-ILP_C_HighResilience!$F$13)</f>
        <v>25064.838694887731</v>
      </c>
      <c r="AK131" s="45">
        <f t="shared" ca="1" si="82"/>
        <v>0</v>
      </c>
      <c r="AL131" s="45">
        <f t="shared" ca="1" si="83"/>
        <v>0</v>
      </c>
      <c r="AM131" s="45">
        <f t="shared" ca="1" si="84"/>
        <v>0</v>
      </c>
      <c r="AN131" s="45">
        <f t="shared" ca="1" si="85"/>
        <v>0</v>
      </c>
      <c r="AO131" s="45">
        <f ca="1">MIN(AL131,Inputs!$B$36)</f>
        <v>0</v>
      </c>
      <c r="AP131" s="45">
        <f ca="1">MIN(AN131,Inputs!$B$36-AO131)</f>
        <v>0</v>
      </c>
      <c r="AQ131" s="45">
        <f ca="1">MIN(AM131,Inputs!$B$36-AO131-AP131)</f>
        <v>0</v>
      </c>
      <c r="AR131" s="45">
        <f t="shared" ca="1" si="86"/>
        <v>0</v>
      </c>
      <c r="AS131" s="45">
        <f t="shared" ca="1" si="87"/>
        <v>0</v>
      </c>
      <c r="AT131" s="45">
        <f t="shared" ca="1" si="88"/>
        <v>0</v>
      </c>
      <c r="AU131" s="45">
        <f t="shared" ca="1" si="89"/>
        <v>0</v>
      </c>
      <c r="AV131" s="46">
        <f ca="1">AU131*Inputs!$B$35</f>
        <v>0</v>
      </c>
      <c r="AW131" s="46">
        <f ca="1">AR131*Inputs!$C$6+AT131*Inputs!$C$7+AS131*Inputs!$C$8</f>
        <v>0</v>
      </c>
      <c r="AX131" s="46">
        <f t="shared" ca="1" si="90"/>
        <v>47718377.339125134</v>
      </c>
      <c r="AY131" s="46">
        <f ca="1">IF(J131&gt;1,($CD$4)*Inputs!$B$55*((Z131+AA131+AB131)/(SUM(ILP_C_HighResilience!$C$9:$E$13))),0)</f>
        <v>0</v>
      </c>
      <c r="AZ131" s="46">
        <f t="shared" ca="1" si="91"/>
        <v>0</v>
      </c>
      <c r="BA131" s="41">
        <f t="shared" ca="1" si="92"/>
        <v>0</v>
      </c>
      <c r="BB131" s="41">
        <f t="shared" ca="1" si="93"/>
        <v>1</v>
      </c>
      <c r="BC131" s="41">
        <f t="shared" ca="1" si="94"/>
        <v>1</v>
      </c>
      <c r="BD131" s="41">
        <f t="shared" ca="1" si="95"/>
        <v>1</v>
      </c>
    </row>
    <row r="132" spans="1:56" ht="15" customHeight="1" x14ac:dyDescent="0.3">
      <c r="A132" s="41">
        <v>125</v>
      </c>
      <c r="B132" s="42">
        <f t="shared" ca="1" si="77"/>
        <v>0.76805108514128284</v>
      </c>
      <c r="C132" s="43">
        <f ca="1">IF(B132&lt;=Inputs!$C$40,Inputs!$D$40,IF(B132&lt;=Inputs!$C$41,Inputs!$D$41,Inputs!$D$42))</f>
        <v>1.1499999999999999</v>
      </c>
      <c r="D132" s="42">
        <f t="shared" ca="1" si="100"/>
        <v>0.30181018895125156</v>
      </c>
      <c r="E132" s="42">
        <f t="shared" ca="1" si="100"/>
        <v>0.93029716330937184</v>
      </c>
      <c r="F132" s="42">
        <f t="shared" ca="1" si="100"/>
        <v>0.51116965513479196</v>
      </c>
      <c r="G132" s="42">
        <f t="shared" ca="1" si="100"/>
        <v>0.49229692181135531</v>
      </c>
      <c r="H132" s="42">
        <f t="shared" ca="1" si="100"/>
        <v>0.49059486861751811</v>
      </c>
      <c r="I132" s="42">
        <f t="shared" ca="1" si="100"/>
        <v>0.95165423049997289</v>
      </c>
      <c r="J132" s="43">
        <f ca="1">IF(I132&lt;Inputs!$B$54,1+Inputs!$B$55,1)</f>
        <v>1</v>
      </c>
      <c r="K132" s="42">
        <f t="shared" ca="1" si="101"/>
        <v>0.27588435207168227</v>
      </c>
      <c r="L132" s="42">
        <f t="shared" ca="1" si="101"/>
        <v>0.18553383679549618</v>
      </c>
      <c r="M132" s="42">
        <f t="shared" ca="1" si="101"/>
        <v>0.41091972238437402</v>
      </c>
      <c r="N132" s="42">
        <f t="shared" ca="1" si="101"/>
        <v>0.28555962247756128</v>
      </c>
      <c r="O132" s="42">
        <f t="shared" ca="1" si="101"/>
        <v>0.22138838203900346</v>
      </c>
      <c r="P132" s="42">
        <f t="shared" ca="1" si="101"/>
        <v>0.85694846990831675</v>
      </c>
      <c r="Q132" s="42">
        <f t="shared" ca="1" si="101"/>
        <v>0.74934868570515467</v>
      </c>
      <c r="R132" s="42">
        <f t="shared" ca="1" si="101"/>
        <v>0.36647205480040945</v>
      </c>
      <c r="S132" s="42">
        <f t="shared" ca="1" si="101"/>
        <v>0.38868528351523113</v>
      </c>
      <c r="T132" s="42">
        <f t="shared" ca="1" si="101"/>
        <v>0.38789285183996491</v>
      </c>
      <c r="U132" s="44">
        <f ca="1">(IF(D132&gt;=Inputs!$E$12,1,IF(K132&lt;=Inputs!$C$46,Inputs!$D$46,IF(K132&lt;=Inputs!$C$47,Inputs!$D$47,Inputs!$D$48))))*((Inputs!$B$28+(P132-0.5)*2*Inputs!$B$53)/Inputs!$B$28)</f>
        <v>1.0036128387642542</v>
      </c>
      <c r="V132" s="44">
        <f ca="1">(IF(E132&gt;=Inputs!$E$13,1,IF(L132&lt;=Inputs!$C$46,Inputs!$D$46,IF(L132&lt;=Inputs!$C$47,Inputs!$D$47,Inputs!$D$48))))*((Inputs!$B$29+(Q132-0.5)*2*Inputs!$B$53)/Inputs!$B$29)</f>
        <v>1.0025135956220277</v>
      </c>
      <c r="W132" s="44">
        <f ca="1">(IF(F132&gt;=Inputs!$E$14,1,IF(M132&lt;=Inputs!$C$46,Inputs!$D$46,IF(M132&lt;=Inputs!$C$47,Inputs!$D$47,Inputs!$D$48))))*((Inputs!$B$30+(R132-0.5)*2*Inputs!$B$53)/Inputs!$B$30)</f>
        <v>0.99865801060100923</v>
      </c>
      <c r="X132" s="44">
        <f ca="1">(IF(G132&gt;=Inputs!$E$15,1,IF(N132&lt;=Inputs!$C$46,Inputs!$D$46,IF(N132&lt;=Inputs!$C$47,Inputs!$D$47,Inputs!$D$48))))*((Inputs!$B$31+(S132-0.5)*2*Inputs!$B$53)/Inputs!$B$31)</f>
        <v>0.99886990135548459</v>
      </c>
      <c r="Y132" s="44">
        <f ca="1">(IF(H132&gt;=Inputs!$E$16,1,IF(O132&lt;=Inputs!$C$46,Inputs!$D$46,IF(O132&lt;=Inputs!$C$47,Inputs!$D$47,Inputs!$D$48))))*((Inputs!$B$32+(T132-0.5)*2*Inputs!$B$53)/Inputs!$B$32)</f>
        <v>0.99887216148732361</v>
      </c>
      <c r="Z132" s="45">
        <f ca="1">ILP_C_HighResilience!$C$9*U132+ILP_C_HighResilience!$C$10*V132+ILP_C_HighResilience!$C$11*W132+ILP_C_HighResilience!$C$12*X132+ILP_C_HighResilience!$C$13*Y132</f>
        <v>18026.924673101421</v>
      </c>
      <c r="AA132" s="45">
        <f ca="1">ILP_C_HighResilience!$D$9*U132+ILP_C_HighResilience!$D$10*V132+ILP_C_HighResilience!$D$11*W132+ILP_C_HighResilience!$D$12*X132+ILP_C_HighResilience!$D$13*Y132</f>
        <v>15003.982604426925</v>
      </c>
      <c r="AB132" s="45">
        <f ca="1">ILP_C_HighResilience!$E$9*U132+ILP_C_HighResilience!$E$10*V132+ILP_C_HighResilience!$E$11*W132+ILP_C_HighResilience!$E$12*X132+ILP_C_HighResilience!$E$13*Y132</f>
        <v>12024.212050965813</v>
      </c>
      <c r="AC132" s="45">
        <f ca="1">Inputs!$B$6*$C132</f>
        <v>20700</v>
      </c>
      <c r="AD132" s="45">
        <f ca="1">Inputs!$B$7*$C132</f>
        <v>17250</v>
      </c>
      <c r="AE132" s="45">
        <f ca="1">Inputs!$B$8*$C132</f>
        <v>13799.999999999998</v>
      </c>
      <c r="AF132" s="45">
        <f t="shared" ca="1" si="78"/>
        <v>2673.0753268985791</v>
      </c>
      <c r="AG132" s="45">
        <f t="shared" ca="1" si="79"/>
        <v>2246.0173955730752</v>
      </c>
      <c r="AH132" s="45">
        <f t="shared" ca="1" si="80"/>
        <v>1775.7879490341857</v>
      </c>
      <c r="AI132" s="45">
        <f t="shared" ca="1" si="81"/>
        <v>6694.8806715058399</v>
      </c>
      <c r="AJ132" s="45">
        <f ca="1">U132*(Inputs!$B$12-ILP_C_HighResilience!$F$9)+V132*(Inputs!$B$13-ILP_C_HighResilience!$F$10)+W132*(Inputs!$B$14-ILP_C_HighResilience!$F$11)+X132*(Inputs!$B$15-ILP_C_HighResilience!$F$12)+Y132*(Inputs!$B$16-ILP_C_HighResilience!$F$13)</f>
        <v>24989.951806831086</v>
      </c>
      <c r="AK132" s="45">
        <f t="shared" ca="1" si="82"/>
        <v>6694.8806715058399</v>
      </c>
      <c r="AL132" s="45">
        <f t="shared" ca="1" si="83"/>
        <v>0</v>
      </c>
      <c r="AM132" s="45">
        <f t="shared" ca="1" si="84"/>
        <v>0</v>
      </c>
      <c r="AN132" s="45">
        <f t="shared" ca="1" si="85"/>
        <v>0</v>
      </c>
      <c r="AO132" s="45">
        <f ca="1">MIN(AL132,Inputs!$B$36)</f>
        <v>0</v>
      </c>
      <c r="AP132" s="45">
        <f ca="1">MIN(AN132,Inputs!$B$36-AO132)</f>
        <v>0</v>
      </c>
      <c r="AQ132" s="45">
        <f ca="1">MIN(AM132,Inputs!$B$36-AO132-AP132)</f>
        <v>0</v>
      </c>
      <c r="AR132" s="45">
        <f t="shared" ca="1" si="86"/>
        <v>0</v>
      </c>
      <c r="AS132" s="45">
        <f t="shared" ca="1" si="87"/>
        <v>0</v>
      </c>
      <c r="AT132" s="45">
        <f t="shared" ca="1" si="88"/>
        <v>0</v>
      </c>
      <c r="AU132" s="45">
        <f t="shared" ca="1" si="89"/>
        <v>0</v>
      </c>
      <c r="AV132" s="46">
        <f ca="1">AU132*Inputs!$B$35</f>
        <v>0</v>
      </c>
      <c r="AW132" s="46">
        <f ca="1">AR132*Inputs!$C$6+AT132*Inputs!$C$7+AS132*Inputs!$C$8</f>
        <v>0</v>
      </c>
      <c r="AX132" s="46">
        <f t="shared" ca="1" si="90"/>
        <v>47691136.096548349</v>
      </c>
      <c r="AY132" s="46">
        <f ca="1">IF(J132&gt;1,($CD$4)*Inputs!$B$55*((Z132+AA132+AB132)/(SUM(ILP_C_HighResilience!$C$9:$E$13))),0)</f>
        <v>0</v>
      </c>
      <c r="AZ132" s="46">
        <f t="shared" ca="1" si="91"/>
        <v>0</v>
      </c>
      <c r="BA132" s="41">
        <f t="shared" ca="1" si="92"/>
        <v>0</v>
      </c>
      <c r="BB132" s="41">
        <f t="shared" ca="1" si="93"/>
        <v>1</v>
      </c>
      <c r="BC132" s="41">
        <f t="shared" ca="1" si="94"/>
        <v>1</v>
      </c>
      <c r="BD132" s="41">
        <f t="shared" ca="1" si="95"/>
        <v>1</v>
      </c>
    </row>
    <row r="133" spans="1:56" ht="15" customHeight="1" x14ac:dyDescent="0.3">
      <c r="A133" s="41">
        <v>126</v>
      </c>
      <c r="B133" s="42">
        <f t="shared" ca="1" si="77"/>
        <v>0.65591133600825491</v>
      </c>
      <c r="C133" s="43">
        <f ca="1">IF(B133&lt;=Inputs!$C$40,Inputs!$D$40,IF(B133&lt;=Inputs!$C$41,Inputs!$D$41,Inputs!$D$42))</f>
        <v>1</v>
      </c>
      <c r="D133" s="42">
        <f t="shared" ca="1" si="100"/>
        <v>0.12386115291690358</v>
      </c>
      <c r="E133" s="42">
        <f t="shared" ca="1" si="100"/>
        <v>0.11681605543959039</v>
      </c>
      <c r="F133" s="42">
        <f t="shared" ca="1" si="100"/>
        <v>0.17175173814421707</v>
      </c>
      <c r="G133" s="42">
        <f t="shared" ca="1" si="100"/>
        <v>0.64976599860544193</v>
      </c>
      <c r="H133" s="42">
        <f t="shared" ca="1" si="100"/>
        <v>0.46646725950453916</v>
      </c>
      <c r="I133" s="42">
        <f t="shared" ca="1" si="100"/>
        <v>0.13165986610030345</v>
      </c>
      <c r="J133" s="43">
        <f ca="1">IF(I133&lt;Inputs!$B$54,1+Inputs!$B$55,1)</f>
        <v>1</v>
      </c>
      <c r="K133" s="42">
        <f t="shared" ca="1" si="101"/>
        <v>0.65405563384838616</v>
      </c>
      <c r="L133" s="42">
        <f t="shared" ca="1" si="101"/>
        <v>3.6062790904455744E-2</v>
      </c>
      <c r="M133" s="42">
        <f t="shared" ca="1" si="101"/>
        <v>0.80491274418310932</v>
      </c>
      <c r="N133" s="42">
        <f t="shared" ca="1" si="101"/>
        <v>0.93799231814303397</v>
      </c>
      <c r="O133" s="42">
        <f t="shared" ca="1" si="101"/>
        <v>0.17905650113523108</v>
      </c>
      <c r="P133" s="42">
        <f t="shared" ca="1" si="101"/>
        <v>0.12040607593064945</v>
      </c>
      <c r="Q133" s="42">
        <f t="shared" ca="1" si="101"/>
        <v>0.39128065169907256</v>
      </c>
      <c r="R133" s="42">
        <f t="shared" ca="1" si="101"/>
        <v>0.94374961087675358</v>
      </c>
      <c r="S133" s="42">
        <f t="shared" ca="1" si="101"/>
        <v>0.97591456007010413</v>
      </c>
      <c r="T133" s="42">
        <f t="shared" ca="1" si="101"/>
        <v>0.28763125564643199</v>
      </c>
      <c r="U133" s="44">
        <f ca="1">(IF(D133&gt;=Inputs!$E$12,1,IF(K133&lt;=Inputs!$C$46,Inputs!$D$46,IF(K133&lt;=Inputs!$C$47,Inputs!$D$47,Inputs!$D$48))))*((Inputs!$B$28+(P133-0.5)*2*Inputs!$B$53)/Inputs!$B$28)</f>
        <v>0.99615795623411585</v>
      </c>
      <c r="V133" s="44">
        <f ca="1">(IF(E133&gt;=Inputs!$E$13,1,IF(L133&lt;=Inputs!$C$46,Inputs!$D$46,IF(L133&lt;=Inputs!$C$47,Inputs!$D$47,Inputs!$D$48))))*((Inputs!$B$29+(Q133-0.5)*2*Inputs!$B$53)/Inputs!$B$29)</f>
        <v>0.59934242329656695</v>
      </c>
      <c r="W133" s="44">
        <f ca="1">(IF(F133&gt;=Inputs!$E$14,1,IF(M133&lt;=Inputs!$C$46,Inputs!$D$46,IF(M133&lt;=Inputs!$C$47,Inputs!$D$47,Inputs!$D$48))))*((Inputs!$B$30+(R133-0.5)*2*Inputs!$B$53)/Inputs!$B$30)</f>
        <v>1.0044597950841885</v>
      </c>
      <c r="X133" s="44">
        <f ca="1">(IF(G133&gt;=Inputs!$E$15,1,IF(N133&lt;=Inputs!$C$46,Inputs!$D$46,IF(N133&lt;=Inputs!$C$47,Inputs!$D$47,Inputs!$D$48))))*((Inputs!$B$31+(S133-0.5)*2*Inputs!$B$53)/Inputs!$B$31)</f>
        <v>1.0048316198991889</v>
      </c>
      <c r="Y133" s="44">
        <f ca="1">(IF(H133&gt;=Inputs!$E$16,1,IF(O133&lt;=Inputs!$C$46,Inputs!$D$46,IF(O133&lt;=Inputs!$C$47,Inputs!$D$47,Inputs!$D$48))))*((Inputs!$B$32+(T133-0.5)*2*Inputs!$B$53)/Inputs!$B$32)</f>
        <v>0.99786349351756976</v>
      </c>
      <c r="Z133" s="45">
        <f ca="1">ILP_C_HighResilience!$C$9*U133+ILP_C_HighResilience!$C$10*V133+ILP_C_HighResilience!$C$11*W133+ILP_C_HighResilience!$C$12*X133+ILP_C_HighResilience!$C$13*Y133</f>
        <v>16564.757672027434</v>
      </c>
      <c r="AA133" s="45">
        <f ca="1">ILP_C_HighResilience!$D$9*U133+ILP_C_HighResilience!$D$10*V133+ILP_C_HighResilience!$D$11*W133+ILP_C_HighResilience!$D$12*X133+ILP_C_HighResilience!$D$13*Y133</f>
        <v>12637.910526182401</v>
      </c>
      <c r="AB133" s="45">
        <f ca="1">ILP_C_HighResilience!$E$9*U133+ILP_C_HighResilience!$E$10*V133+ILP_C_HighResilience!$E$11*W133+ILP_C_HighResilience!$E$12*X133+ILP_C_HighResilience!$E$13*Y133</f>
        <v>10276.525424304593</v>
      </c>
      <c r="AC133" s="45">
        <f ca="1">Inputs!$B$6*$C133</f>
        <v>18000</v>
      </c>
      <c r="AD133" s="45">
        <f ca="1">Inputs!$B$7*$C133</f>
        <v>15000</v>
      </c>
      <c r="AE133" s="45">
        <f ca="1">Inputs!$B$8*$C133</f>
        <v>12000</v>
      </c>
      <c r="AF133" s="45">
        <f t="shared" ca="1" si="78"/>
        <v>1435.2423279725663</v>
      </c>
      <c r="AG133" s="45">
        <f t="shared" ca="1" si="79"/>
        <v>2362.0894738175994</v>
      </c>
      <c r="AH133" s="45">
        <f t="shared" ca="1" si="80"/>
        <v>1723.4745756954071</v>
      </c>
      <c r="AI133" s="45">
        <f t="shared" ca="1" si="81"/>
        <v>5520.8063774855727</v>
      </c>
      <c r="AJ133" s="45">
        <f ca="1">U133*(Inputs!$B$12-ILP_C_HighResilience!$F$9)+V133*(Inputs!$B$13-ILP_C_HighResilience!$F$10)+W133*(Inputs!$B$14-ILP_C_HighResilience!$F$11)+X133*(Inputs!$B$15-ILP_C_HighResilience!$F$12)+Y133*(Inputs!$B$16-ILP_C_HighResilience!$F$13)</f>
        <v>24934.036781031631</v>
      </c>
      <c r="AK133" s="45">
        <f t="shared" ca="1" si="82"/>
        <v>5520.8063774855727</v>
      </c>
      <c r="AL133" s="45">
        <f t="shared" ca="1" si="83"/>
        <v>0</v>
      </c>
      <c r="AM133" s="45">
        <f t="shared" ca="1" si="84"/>
        <v>0</v>
      </c>
      <c r="AN133" s="45">
        <f t="shared" ca="1" si="85"/>
        <v>0</v>
      </c>
      <c r="AO133" s="45">
        <f ca="1">MIN(AL133,Inputs!$B$36)</f>
        <v>0</v>
      </c>
      <c r="AP133" s="45">
        <f ca="1">MIN(AN133,Inputs!$B$36-AO133)</f>
        <v>0</v>
      </c>
      <c r="AQ133" s="45">
        <f ca="1">MIN(AM133,Inputs!$B$36-AO133-AP133)</f>
        <v>0</v>
      </c>
      <c r="AR133" s="45">
        <f t="shared" ca="1" si="86"/>
        <v>0</v>
      </c>
      <c r="AS133" s="45">
        <f t="shared" ca="1" si="87"/>
        <v>0</v>
      </c>
      <c r="AT133" s="45">
        <f t="shared" ca="1" si="88"/>
        <v>0</v>
      </c>
      <c r="AU133" s="45">
        <f t="shared" ca="1" si="89"/>
        <v>0</v>
      </c>
      <c r="AV133" s="46">
        <f ca="1">AU133*Inputs!$B$35</f>
        <v>0</v>
      </c>
      <c r="AW133" s="46">
        <f ca="1">AR133*Inputs!$C$6+AT133*Inputs!$C$7+AS133*Inputs!$C$8</f>
        <v>0</v>
      </c>
      <c r="AX133" s="46">
        <f t="shared" ca="1" si="90"/>
        <v>41768671.753015935</v>
      </c>
      <c r="AY133" s="46">
        <f ca="1">IF(J133&gt;1,($CD$4)*Inputs!$B$55*((Z133+AA133+AB133)/(SUM(ILP_C_HighResilience!$C$9:$E$13))),0)</f>
        <v>0</v>
      </c>
      <c r="AZ133" s="46">
        <f t="shared" ca="1" si="91"/>
        <v>0</v>
      </c>
      <c r="BA133" s="41">
        <f t="shared" ca="1" si="92"/>
        <v>0</v>
      </c>
      <c r="BB133" s="41">
        <f t="shared" ca="1" si="93"/>
        <v>1</v>
      </c>
      <c r="BC133" s="41">
        <f t="shared" ca="1" si="94"/>
        <v>1</v>
      </c>
      <c r="BD133" s="41">
        <f t="shared" ca="1" si="95"/>
        <v>1</v>
      </c>
    </row>
    <row r="134" spans="1:56" ht="15" customHeight="1" x14ac:dyDescent="0.3">
      <c r="A134" s="41">
        <v>127</v>
      </c>
      <c r="B134" s="42">
        <f t="shared" ca="1" si="77"/>
        <v>0.20764085073696048</v>
      </c>
      <c r="C134" s="43">
        <f ca="1">IF(B134&lt;=Inputs!$C$40,Inputs!$D$40,IF(B134&lt;=Inputs!$C$41,Inputs!$D$41,Inputs!$D$42))</f>
        <v>1</v>
      </c>
      <c r="D134" s="42">
        <f t="shared" ca="1" si="100"/>
        <v>0.27001104563701683</v>
      </c>
      <c r="E134" s="42">
        <f t="shared" ca="1" si="100"/>
        <v>0.16944650979731224</v>
      </c>
      <c r="F134" s="42">
        <f t="shared" ca="1" si="100"/>
        <v>0.23881440428759526</v>
      </c>
      <c r="G134" s="42">
        <f t="shared" ca="1" si="100"/>
        <v>0.97830233260319022</v>
      </c>
      <c r="H134" s="42">
        <f t="shared" ca="1" si="100"/>
        <v>0.25312295782609973</v>
      </c>
      <c r="I134" s="42">
        <f t="shared" ca="1" si="100"/>
        <v>0.79824386502573919</v>
      </c>
      <c r="J134" s="43">
        <f ca="1">IF(I134&lt;Inputs!$B$54,1+Inputs!$B$55,1)</f>
        <v>1</v>
      </c>
      <c r="K134" s="42">
        <f t="shared" ca="1" si="101"/>
        <v>0.29412019820879032</v>
      </c>
      <c r="L134" s="42">
        <f t="shared" ca="1" si="101"/>
        <v>0.53927289774727805</v>
      </c>
      <c r="M134" s="42">
        <f t="shared" ca="1" si="101"/>
        <v>4.7114495839597925E-2</v>
      </c>
      <c r="N134" s="42">
        <f t="shared" ca="1" si="101"/>
        <v>0.2665425862653531</v>
      </c>
      <c r="O134" s="42">
        <f t="shared" ca="1" si="101"/>
        <v>0.70288819053505969</v>
      </c>
      <c r="P134" s="42">
        <f t="shared" ca="1" si="101"/>
        <v>0.18800547417652247</v>
      </c>
      <c r="Q134" s="42">
        <f t="shared" ca="1" si="101"/>
        <v>0.80323935062720353</v>
      </c>
      <c r="R134" s="42">
        <f t="shared" ca="1" si="101"/>
        <v>0.28808366761642634</v>
      </c>
      <c r="S134" s="42">
        <f t="shared" ca="1" si="101"/>
        <v>0.86034240046964516</v>
      </c>
      <c r="T134" s="42">
        <f t="shared" ca="1" si="101"/>
        <v>0.14797026597062191</v>
      </c>
      <c r="U134" s="44">
        <f ca="1">(IF(D134&gt;=Inputs!$E$12,1,IF(K134&lt;=Inputs!$C$46,Inputs!$D$46,IF(K134&lt;=Inputs!$C$47,Inputs!$D$47,Inputs!$D$48))))*((Inputs!$B$28+(P134-0.5)*2*Inputs!$B$53)/Inputs!$B$28)</f>
        <v>0.9968421606698028</v>
      </c>
      <c r="V134" s="44">
        <f ca="1">(IF(E134&gt;=Inputs!$E$13,1,IF(L134&lt;=Inputs!$C$46,Inputs!$D$46,IF(L134&lt;=Inputs!$C$47,Inputs!$D$47,Inputs!$D$48))))*((Inputs!$B$29+(Q134-0.5)*2*Inputs!$B$53)/Inputs!$B$29)</f>
        <v>1.003056848292613</v>
      </c>
      <c r="W134" s="44">
        <f ca="1">(IF(F134&gt;=Inputs!$E$14,1,IF(M134&lt;=Inputs!$C$46,Inputs!$D$46,IF(M134&lt;=Inputs!$C$47,Inputs!$D$47,Inputs!$D$48))))*((Inputs!$B$30+(R134-0.5)*2*Inputs!$B$53)/Inputs!$B$30)</f>
        <v>0.9978701876142354</v>
      </c>
      <c r="X134" s="44">
        <f ca="1">(IF(G134&gt;=Inputs!$E$15,1,IF(N134&lt;=Inputs!$C$46,Inputs!$D$46,IF(N134&lt;=Inputs!$C$47,Inputs!$D$47,Inputs!$D$48))))*((Inputs!$B$31+(S134-0.5)*2*Inputs!$B$53)/Inputs!$B$31)</f>
        <v>1.0036582984819253</v>
      </c>
      <c r="Y134" s="44">
        <f ca="1">(IF(H134&gt;=Inputs!$E$16,1,IF(O134&lt;=Inputs!$C$46,Inputs!$D$46,IF(O134&lt;=Inputs!$C$47,Inputs!$D$47,Inputs!$D$48))))*((Inputs!$B$32+(T134-0.5)*2*Inputs!$B$53)/Inputs!$B$32)</f>
        <v>0.99645845337998606</v>
      </c>
      <c r="Z134" s="45">
        <f ca="1">ILP_C_HighResilience!$C$9*U134+ILP_C_HighResilience!$C$10*V134+ILP_C_HighResilience!$C$11*W134+ILP_C_HighResilience!$C$12*X134+ILP_C_HighResilience!$C$13*Y134</f>
        <v>18014.607959745852</v>
      </c>
      <c r="AA134" s="45">
        <f ca="1">ILP_C_HighResilience!$D$9*U134+ILP_C_HighResilience!$D$10*V134+ILP_C_HighResilience!$D$11*W134+ILP_C_HighResilience!$D$12*X134+ILP_C_HighResilience!$D$13*Y134</f>
        <v>15025.913850492525</v>
      </c>
      <c r="AB134" s="45">
        <f ca="1">ILP_C_HighResilience!$E$9*U134+ILP_C_HighResilience!$E$10*V134+ILP_C_HighResilience!$E$11*W134+ILP_C_HighResilience!$E$12*X134+ILP_C_HighResilience!$E$13*Y134</f>
        <v>11991.748123026431</v>
      </c>
      <c r="AC134" s="45">
        <f ca="1">Inputs!$B$6*$C134</f>
        <v>18000</v>
      </c>
      <c r="AD134" s="45">
        <f ca="1">Inputs!$B$7*$C134</f>
        <v>15000</v>
      </c>
      <c r="AE134" s="45">
        <f ca="1">Inputs!$B$8*$C134</f>
        <v>12000</v>
      </c>
      <c r="AF134" s="45">
        <f t="shared" ca="1" si="78"/>
        <v>0</v>
      </c>
      <c r="AG134" s="45">
        <f t="shared" ca="1" si="79"/>
        <v>0</v>
      </c>
      <c r="AH134" s="45">
        <f t="shared" ca="1" si="80"/>
        <v>8.2518769735688693</v>
      </c>
      <c r="AI134" s="45">
        <f t="shared" ca="1" si="81"/>
        <v>8.2518769735688693</v>
      </c>
      <c r="AJ134" s="45">
        <f ca="1">U134*(Inputs!$B$12-ILP_C_HighResilience!$F$9)+V134*(Inputs!$B$13-ILP_C_HighResilience!$F$10)+W134*(Inputs!$B$14-ILP_C_HighResilience!$F$11)+X134*(Inputs!$B$15-ILP_C_HighResilience!$F$12)+Y134*(Inputs!$B$16-ILP_C_HighResilience!$F$13)</f>
        <v>24923.089335016579</v>
      </c>
      <c r="AK134" s="45">
        <f t="shared" ca="1" si="82"/>
        <v>8.2518769735688693</v>
      </c>
      <c r="AL134" s="45">
        <f t="shared" ca="1" si="83"/>
        <v>0</v>
      </c>
      <c r="AM134" s="45">
        <f t="shared" ca="1" si="84"/>
        <v>0</v>
      </c>
      <c r="AN134" s="45">
        <f t="shared" ca="1" si="85"/>
        <v>0</v>
      </c>
      <c r="AO134" s="45">
        <f ca="1">MIN(AL134,Inputs!$B$36)</f>
        <v>0</v>
      </c>
      <c r="AP134" s="45">
        <f ca="1">MIN(AN134,Inputs!$B$36-AO134)</f>
        <v>0</v>
      </c>
      <c r="AQ134" s="45">
        <f ca="1">MIN(AM134,Inputs!$B$36-AO134-AP134)</f>
        <v>0</v>
      </c>
      <c r="AR134" s="45">
        <f t="shared" ca="1" si="86"/>
        <v>0</v>
      </c>
      <c r="AS134" s="45">
        <f t="shared" ca="1" si="87"/>
        <v>0</v>
      </c>
      <c r="AT134" s="45">
        <f t="shared" ca="1" si="88"/>
        <v>0</v>
      </c>
      <c r="AU134" s="45">
        <f t="shared" ca="1" si="89"/>
        <v>0</v>
      </c>
      <c r="AV134" s="46">
        <f ca="1">AU134*Inputs!$B$35</f>
        <v>0</v>
      </c>
      <c r="AW134" s="46">
        <f ca="1">AR134*Inputs!$C$6+AT134*Inputs!$C$7+AS134*Inputs!$C$8</f>
        <v>0</v>
      </c>
      <c r="AX134" s="46">
        <f t="shared" ca="1" si="90"/>
        <v>47665832.97401198</v>
      </c>
      <c r="AY134" s="46">
        <f ca="1">IF(J134&gt;1,($CD$4)*Inputs!$B$55*((Z134+AA134+AB134)/(SUM(ILP_C_HighResilience!$C$9:$E$13))),0)</f>
        <v>0</v>
      </c>
      <c r="AZ134" s="46">
        <f t="shared" ca="1" si="91"/>
        <v>0</v>
      </c>
      <c r="BA134" s="41">
        <f t="shared" ca="1" si="92"/>
        <v>0</v>
      </c>
      <c r="BB134" s="41">
        <f t="shared" ca="1" si="93"/>
        <v>1</v>
      </c>
      <c r="BC134" s="41">
        <f t="shared" ca="1" si="94"/>
        <v>1</v>
      </c>
      <c r="BD134" s="41">
        <f t="shared" ca="1" si="95"/>
        <v>1</v>
      </c>
    </row>
    <row r="135" spans="1:56" ht="15" customHeight="1" x14ac:dyDescent="0.3">
      <c r="A135" s="41">
        <v>128</v>
      </c>
      <c r="B135" s="42">
        <f t="shared" ca="1" si="77"/>
        <v>0.95564215389004081</v>
      </c>
      <c r="C135" s="43">
        <f ca="1">IF(B135&lt;=Inputs!$C$40,Inputs!$D$40,IF(B135&lt;=Inputs!$C$41,Inputs!$D$41,Inputs!$D$42))</f>
        <v>1.1499999999999999</v>
      </c>
      <c r="D135" s="42">
        <f t="shared" ca="1" si="100"/>
        <v>0.63524774314907018</v>
      </c>
      <c r="E135" s="42">
        <f t="shared" ca="1" si="100"/>
        <v>0.51378833023909509</v>
      </c>
      <c r="F135" s="42">
        <f t="shared" ca="1" si="100"/>
        <v>0.64505906133017876</v>
      </c>
      <c r="G135" s="42">
        <f t="shared" ca="1" si="100"/>
        <v>0.13736392155833788</v>
      </c>
      <c r="H135" s="42">
        <f t="shared" ca="1" si="100"/>
        <v>0.57060813363844132</v>
      </c>
      <c r="I135" s="42">
        <f t="shared" ca="1" si="100"/>
        <v>0.6473819386612415</v>
      </c>
      <c r="J135" s="43">
        <f ca="1">IF(I135&lt;Inputs!$B$54,1+Inputs!$B$55,1)</f>
        <v>1</v>
      </c>
      <c r="K135" s="42">
        <f t="shared" ca="1" si="101"/>
        <v>0.49972510228802258</v>
      </c>
      <c r="L135" s="42">
        <f t="shared" ca="1" si="101"/>
        <v>0.59086904033738563</v>
      </c>
      <c r="M135" s="42">
        <f t="shared" ca="1" si="101"/>
        <v>0.55753953141300738</v>
      </c>
      <c r="N135" s="42">
        <f t="shared" ca="1" si="101"/>
        <v>0.49285847088286583</v>
      </c>
      <c r="O135" s="42">
        <f t="shared" ca="1" si="101"/>
        <v>0.40330223206925897</v>
      </c>
      <c r="P135" s="42">
        <f t="shared" ca="1" si="101"/>
        <v>0.89514341893239036</v>
      </c>
      <c r="Q135" s="42">
        <f t="shared" ca="1" si="101"/>
        <v>0.87133013224917899</v>
      </c>
      <c r="R135" s="42">
        <f t="shared" ca="1" si="101"/>
        <v>0.62090456091103596</v>
      </c>
      <c r="S135" s="42">
        <f t="shared" ca="1" si="101"/>
        <v>0.92644918670029808</v>
      </c>
      <c r="T135" s="42">
        <f t="shared" ca="1" si="101"/>
        <v>1.9042558485601546E-2</v>
      </c>
      <c r="U135" s="44">
        <f ca="1">(IF(D135&gt;=Inputs!$E$12,1,IF(K135&lt;=Inputs!$C$46,Inputs!$D$46,IF(K135&lt;=Inputs!$C$47,Inputs!$D$47,Inputs!$D$48))))*((Inputs!$B$28+(P135-0.5)*2*Inputs!$B$53)/Inputs!$B$28)</f>
        <v>1.0039994273171293</v>
      </c>
      <c r="V135" s="44">
        <f ca="1">(IF(E135&gt;=Inputs!$E$13,1,IF(L135&lt;=Inputs!$C$46,Inputs!$D$46,IF(L135&lt;=Inputs!$C$47,Inputs!$D$47,Inputs!$D$48))))*((Inputs!$B$29+(Q135-0.5)*2*Inputs!$B$53)/Inputs!$B$29)</f>
        <v>1.0037432473008989</v>
      </c>
      <c r="W135" s="44">
        <f ca="1">(IF(F135&gt;=Inputs!$E$14,1,IF(M135&lt;=Inputs!$C$46,Inputs!$D$46,IF(M135&lt;=Inputs!$C$47,Inputs!$D$47,Inputs!$D$48))))*((Inputs!$B$30+(R135-0.5)*2*Inputs!$B$53)/Inputs!$B$30)</f>
        <v>1.0012151212151863</v>
      </c>
      <c r="X135" s="44">
        <f ca="1">(IF(G135&gt;=Inputs!$E$15,1,IF(N135&lt;=Inputs!$C$46,Inputs!$D$46,IF(N135&lt;=Inputs!$C$47,Inputs!$D$47,Inputs!$D$48))))*((Inputs!$B$31+(S135-0.5)*2*Inputs!$B$53)/Inputs!$B$31)</f>
        <v>0.3012988300102547</v>
      </c>
      <c r="Y135" s="44">
        <f ca="1">(IF(H135&gt;=Inputs!$E$16,1,IF(O135&lt;=Inputs!$C$46,Inputs!$D$46,IF(O135&lt;=Inputs!$C$47,Inputs!$D$47,Inputs!$D$48))))*((Inputs!$B$32+(T135-0.5)*2*Inputs!$B$53)/Inputs!$B$32)</f>
        <v>0.9951613939485473</v>
      </c>
      <c r="Z135" s="45">
        <f ca="1">ILP_C_HighResilience!$C$9*U135+ILP_C_HighResilience!$C$10*V135+ILP_C_HighResilience!$C$11*W135+ILP_C_HighResilience!$C$12*X135+ILP_C_HighResilience!$C$13*Y135</f>
        <v>13011.6231430404</v>
      </c>
      <c r="AA135" s="45">
        <f ca="1">ILP_C_HighResilience!$D$9*U135+ILP_C_HighResilience!$D$10*V135+ILP_C_HighResilience!$D$11*W135+ILP_C_HighResilience!$D$12*X135+ILP_C_HighResilience!$D$13*Y135</f>
        <v>11799.782309375287</v>
      </c>
      <c r="AB135" s="45">
        <f ca="1">ILP_C_HighResilience!$E$9*U135+ILP_C_HighResilience!$E$10*V135+ILP_C_HighResilience!$E$11*W135+ILP_C_HighResilience!$E$12*X135+ILP_C_HighResilience!$E$13*Y135</f>
        <v>12038.786728527099</v>
      </c>
      <c r="AC135" s="45">
        <f ca="1">Inputs!$B$6*$C135</f>
        <v>20700</v>
      </c>
      <c r="AD135" s="45">
        <f ca="1">Inputs!$B$7*$C135</f>
        <v>17250</v>
      </c>
      <c r="AE135" s="45">
        <f ca="1">Inputs!$B$8*$C135</f>
        <v>13799.999999999998</v>
      </c>
      <c r="AF135" s="45">
        <f t="shared" ca="1" si="78"/>
        <v>7688.3768569595995</v>
      </c>
      <c r="AG135" s="45">
        <f t="shared" ca="1" si="79"/>
        <v>5450.2176906247132</v>
      </c>
      <c r="AH135" s="45">
        <f t="shared" ca="1" si="80"/>
        <v>1761.2132714728996</v>
      </c>
      <c r="AI135" s="45">
        <f t="shared" ca="1" si="81"/>
        <v>14899.807819057212</v>
      </c>
      <c r="AJ135" s="45">
        <f ca="1">U135*(Inputs!$B$12-ILP_C_HighResilience!$F$9)+V135*(Inputs!$B$13-ILP_C_HighResilience!$F$10)+W135*(Inputs!$B$14-ILP_C_HighResilience!$F$11)+X135*(Inputs!$B$15-ILP_C_HighResilience!$F$12)+Y135*(Inputs!$B$16-ILP_C_HighResilience!$F$13)</f>
        <v>24825.007563492552</v>
      </c>
      <c r="AK135" s="45">
        <f t="shared" ca="1" si="82"/>
        <v>14899.807819057212</v>
      </c>
      <c r="AL135" s="45">
        <f t="shared" ca="1" si="83"/>
        <v>0</v>
      </c>
      <c r="AM135" s="45">
        <f t="shared" ca="1" si="84"/>
        <v>0</v>
      </c>
      <c r="AN135" s="45">
        <f t="shared" ca="1" si="85"/>
        <v>0</v>
      </c>
      <c r="AO135" s="45">
        <f ca="1">MIN(AL135,Inputs!$B$36)</f>
        <v>0</v>
      </c>
      <c r="AP135" s="45">
        <f ca="1">MIN(AN135,Inputs!$B$36-AO135)</f>
        <v>0</v>
      </c>
      <c r="AQ135" s="45">
        <f ca="1">MIN(AM135,Inputs!$B$36-AO135-AP135)</f>
        <v>0</v>
      </c>
      <c r="AR135" s="45">
        <f t="shared" ca="1" si="86"/>
        <v>0</v>
      </c>
      <c r="AS135" s="45">
        <f t="shared" ca="1" si="87"/>
        <v>0</v>
      </c>
      <c r="AT135" s="45">
        <f t="shared" ca="1" si="88"/>
        <v>0</v>
      </c>
      <c r="AU135" s="45">
        <f t="shared" ca="1" si="89"/>
        <v>0</v>
      </c>
      <c r="AV135" s="46">
        <f ca="1">AU135*Inputs!$B$35</f>
        <v>0</v>
      </c>
      <c r="AW135" s="46">
        <f ca="1">AR135*Inputs!$C$6+AT135*Inputs!$C$7+AS135*Inputs!$C$8</f>
        <v>0</v>
      </c>
      <c r="AX135" s="46">
        <f t="shared" ca="1" si="90"/>
        <v>39122801.686460137</v>
      </c>
      <c r="AY135" s="46">
        <f ca="1">IF(J135&gt;1,($CD$4)*Inputs!$B$55*((Z135+AA135+AB135)/(SUM(ILP_C_HighResilience!$C$9:$E$13))),0)</f>
        <v>0</v>
      </c>
      <c r="AZ135" s="46">
        <f t="shared" ca="1" si="91"/>
        <v>0</v>
      </c>
      <c r="BA135" s="41">
        <f t="shared" ca="1" si="92"/>
        <v>0</v>
      </c>
      <c r="BB135" s="41">
        <f t="shared" ca="1" si="93"/>
        <v>1</v>
      </c>
      <c r="BC135" s="41">
        <f t="shared" ca="1" si="94"/>
        <v>1</v>
      </c>
      <c r="BD135" s="41">
        <f t="shared" ca="1" si="95"/>
        <v>1</v>
      </c>
    </row>
    <row r="136" spans="1:56" ht="15" customHeight="1" x14ac:dyDescent="0.3">
      <c r="A136" s="41">
        <v>129</v>
      </c>
      <c r="B136" s="42">
        <f t="shared" ref="B136:B157" ca="1" si="102">RAND()</f>
        <v>0.56797255789384837</v>
      </c>
      <c r="C136" s="43">
        <f ca="1">IF(B136&lt;=Inputs!$C$40,Inputs!$D$40,IF(B136&lt;=Inputs!$C$41,Inputs!$D$41,Inputs!$D$42))</f>
        <v>1</v>
      </c>
      <c r="D136" s="42">
        <f t="shared" ca="1" si="100"/>
        <v>0.70940310808122053</v>
      </c>
      <c r="E136" s="42">
        <f t="shared" ca="1" si="100"/>
        <v>0.11098293898343414</v>
      </c>
      <c r="F136" s="42">
        <f t="shared" ca="1" si="100"/>
        <v>0.31190270320635405</v>
      </c>
      <c r="G136" s="42">
        <f t="shared" ca="1" si="100"/>
        <v>2.1863300946216135E-2</v>
      </c>
      <c r="H136" s="42">
        <f t="shared" ca="1" si="100"/>
        <v>0.15872661853231407</v>
      </c>
      <c r="I136" s="42">
        <f t="shared" ca="1" si="100"/>
        <v>0.93531741109868938</v>
      </c>
      <c r="J136" s="43">
        <f ca="1">IF(I136&lt;Inputs!$B$54,1+Inputs!$B$55,1)</f>
        <v>1</v>
      </c>
      <c r="K136" s="42">
        <f t="shared" ca="1" si="101"/>
        <v>0.1337335712186124</v>
      </c>
      <c r="L136" s="42">
        <f t="shared" ca="1" si="101"/>
        <v>0.4400408810161992</v>
      </c>
      <c r="M136" s="42">
        <f t="shared" ca="1" si="101"/>
        <v>0.61325524671519516</v>
      </c>
      <c r="N136" s="42">
        <f t="shared" ca="1" si="101"/>
        <v>0.30577605093878268</v>
      </c>
      <c r="O136" s="42">
        <f t="shared" ca="1" si="101"/>
        <v>0.16708238277761422</v>
      </c>
      <c r="P136" s="42">
        <f t="shared" ca="1" si="101"/>
        <v>0.49007043130357264</v>
      </c>
      <c r="Q136" s="42">
        <f t="shared" ca="1" si="101"/>
        <v>0.14185343462274025</v>
      </c>
      <c r="R136" s="42">
        <f t="shared" ca="1" si="101"/>
        <v>0.74713725434641398</v>
      </c>
      <c r="S136" s="42">
        <f t="shared" ca="1" si="101"/>
        <v>0.88557469501720798</v>
      </c>
      <c r="T136" s="42">
        <f t="shared" ca="1" si="101"/>
        <v>7.1492916738213785E-2</v>
      </c>
      <c r="U136" s="44">
        <f ca="1">(IF(D136&gt;=Inputs!$E$12,1,IF(K136&lt;=Inputs!$C$46,Inputs!$D$46,IF(K136&lt;=Inputs!$C$47,Inputs!$D$47,Inputs!$D$48))))*((Inputs!$B$28+(P136-0.5)*2*Inputs!$B$53)/Inputs!$B$28)</f>
        <v>0.99989949829254621</v>
      </c>
      <c r="V136" s="44">
        <f ca="1">(IF(E136&gt;=Inputs!$E$13,1,IF(L136&lt;=Inputs!$C$46,Inputs!$D$46,IF(L136&lt;=Inputs!$C$47,Inputs!$D$47,Inputs!$D$48))))*((Inputs!$B$29+(Q136-0.5)*2*Inputs!$B$53)/Inputs!$B$29)</f>
        <v>0.29891689546760908</v>
      </c>
      <c r="W136" s="44">
        <f ca="1">(IF(F136&gt;=Inputs!$E$14,1,IF(M136&lt;=Inputs!$C$46,Inputs!$D$46,IF(M136&lt;=Inputs!$C$47,Inputs!$D$47,Inputs!$D$48))))*((Inputs!$B$30+(R136-0.5)*2*Inputs!$B$53)/Inputs!$B$30)</f>
        <v>1.002483791500969</v>
      </c>
      <c r="X136" s="44">
        <f ca="1">(IF(G136&gt;=Inputs!$E$15,1,IF(N136&lt;=Inputs!$C$46,Inputs!$D$46,IF(N136&lt;=Inputs!$C$47,Inputs!$D$47,Inputs!$D$48))))*((Inputs!$B$31+(S136-0.5)*2*Inputs!$B$53)/Inputs!$B$31)</f>
        <v>0.6023486783452825</v>
      </c>
      <c r="Y136" s="44">
        <f ca="1">(IF(H136&gt;=Inputs!$E$16,1,IF(O136&lt;=Inputs!$C$46,Inputs!$D$46,IF(O136&lt;=Inputs!$C$47,Inputs!$D$47,Inputs!$D$48))))*((Inputs!$B$32+(T136-0.5)*2*Inputs!$B$53)/Inputs!$B$32)</f>
        <v>0.99568906354867415</v>
      </c>
      <c r="Z136" s="45">
        <f ca="1">ILP_C_HighResilience!$C$9*U136+ILP_C_HighResilience!$C$10*V136+ILP_C_HighResilience!$C$11*W136+ILP_C_HighResilience!$C$12*X136+ILP_C_HighResilience!$C$13*Y136</f>
        <v>12612.287695475759</v>
      </c>
      <c r="AA136" s="45">
        <f ca="1">ILP_C_HighResilience!$D$9*U136+ILP_C_HighResilience!$D$10*V136+ILP_C_HighResilience!$D$11*W136+ILP_C_HighResilience!$D$12*X136+ILP_C_HighResilience!$D$13*Y136</f>
        <v>8967.2312735351043</v>
      </c>
      <c r="AB136" s="45">
        <f ca="1">ILP_C_HighResilience!$E$9*U136+ILP_C_HighResilience!$E$10*V136+ILP_C_HighResilience!$E$11*W136+ILP_C_HighResilience!$E$12*X136+ILP_C_HighResilience!$E$13*Y136</f>
        <v>9000.5060404201504</v>
      </c>
      <c r="AC136" s="45">
        <f ca="1">Inputs!$B$6*$C136</f>
        <v>18000</v>
      </c>
      <c r="AD136" s="45">
        <f ca="1">Inputs!$B$7*$C136</f>
        <v>15000</v>
      </c>
      <c r="AE136" s="45">
        <f ca="1">Inputs!$B$8*$C136</f>
        <v>12000</v>
      </c>
      <c r="AF136" s="45">
        <f t="shared" ref="AF136:AF157" ca="1" si="103">MAX(0,AC136-Z136)</f>
        <v>5387.7123045242406</v>
      </c>
      <c r="AG136" s="45">
        <f t="shared" ref="AG136:AG157" ca="1" si="104">MAX(0,AD136-AA136)</f>
        <v>6032.7687264648957</v>
      </c>
      <c r="AH136" s="45">
        <f t="shared" ref="AH136:AH157" ca="1" si="105">MAX(0,AE136-AB136)</f>
        <v>2999.4939595798496</v>
      </c>
      <c r="AI136" s="45">
        <f t="shared" ref="AI136:AI157" ca="1" si="106">SUM(AF136:AH136)</f>
        <v>14419.974990568986</v>
      </c>
      <c r="AJ136" s="45">
        <f ca="1">U136*(Inputs!$B$12-ILP_C_HighResilience!$F$9)+V136*(Inputs!$B$13-ILP_C_HighResilience!$F$10)+W136*(Inputs!$B$14-ILP_C_HighResilience!$F$11)+X136*(Inputs!$B$15-ILP_C_HighResilience!$F$12)+Y136*(Inputs!$B$16-ILP_C_HighResilience!$F$13)</f>
        <v>24799.012882682353</v>
      </c>
      <c r="AK136" s="45">
        <f t="shared" ref="AK136:AK157" ca="1" si="107">MIN(AI136,MAX(0,AJ136))</f>
        <v>14419.974990568986</v>
      </c>
      <c r="AL136" s="45">
        <f t="shared" ref="AL136:AL157" ca="1" si="108">AF136*(1-(IF(AI136&gt;0,AK136/AI136,0)))</f>
        <v>0</v>
      </c>
      <c r="AM136" s="45">
        <f t="shared" ref="AM136:AM157" ca="1" si="109">AG136*(1-(IF(AI136&gt;0,AK136/AI136,0)))</f>
        <v>0</v>
      </c>
      <c r="AN136" s="45">
        <f t="shared" ref="AN136:AN157" ca="1" si="110">AH136*(1-(IF(AI136&gt;0,AK136/AI136,0)))</f>
        <v>0</v>
      </c>
      <c r="AO136" s="45">
        <f ca="1">MIN(AL136,Inputs!$B$36)</f>
        <v>0</v>
      </c>
      <c r="AP136" s="45">
        <f ca="1">MIN(AN136,Inputs!$B$36-AO136)</f>
        <v>0</v>
      </c>
      <c r="AQ136" s="45">
        <f ca="1">MIN(AM136,Inputs!$B$36-AO136-AP136)</f>
        <v>0</v>
      </c>
      <c r="AR136" s="45">
        <f t="shared" ref="AR136:AR157" ca="1" si="111">AL136-AO136</f>
        <v>0</v>
      </c>
      <c r="AS136" s="45">
        <f t="shared" ref="AS136:AS157" ca="1" si="112">AN136-AP136</f>
        <v>0</v>
      </c>
      <c r="AT136" s="45">
        <f t="shared" ref="AT136:AT157" ca="1" si="113">AM136-AQ136</f>
        <v>0</v>
      </c>
      <c r="AU136" s="45">
        <f t="shared" ref="AU136:AU157" ca="1" si="114">AO136+AP136+AQ136</f>
        <v>0</v>
      </c>
      <c r="AV136" s="46">
        <f ca="1">AU136*Inputs!$B$35</f>
        <v>0</v>
      </c>
      <c r="AW136" s="46">
        <f ca="1">AR136*Inputs!$C$6+AT136*Inputs!$C$7+AS136*Inputs!$C$8</f>
        <v>0</v>
      </c>
      <c r="AX136" s="46">
        <f t="shared" ref="AX136:AX157" ca="1" si="115">Z136*$CA$4+AA136*$CB$4+AB136*$CC$4</f>
        <v>32401499.713145815</v>
      </c>
      <c r="AY136" s="46">
        <f ca="1">IF(J136&gt;1,($CD$4)*Inputs!$B$55*((Z136+AA136+AB136)/(SUM(ILP_C_HighResilience!$C$9:$E$13))),0)</f>
        <v>0</v>
      </c>
      <c r="AZ136" s="46">
        <f t="shared" ref="AZ136:AZ157" ca="1" si="116">AV136+AW136</f>
        <v>0</v>
      </c>
      <c r="BA136" s="41">
        <f t="shared" ref="BA136:BA157" ca="1" si="117">IF(AR136+AT136+AS136&gt;0,1,0)</f>
        <v>0</v>
      </c>
      <c r="BB136" s="41">
        <f t="shared" ref="BB136:BB157" ca="1" si="118">IF(AR136=0,1,0)</f>
        <v>1</v>
      </c>
      <c r="BC136" s="41">
        <f t="shared" ref="BC136:BC157" ca="1" si="119">IF(AT136=0,1,0)</f>
        <v>1</v>
      </c>
      <c r="BD136" s="41">
        <f t="shared" ref="BD136:BD157" ca="1" si="120">IF(AS136=0,1,0)</f>
        <v>1</v>
      </c>
    </row>
    <row r="137" spans="1:56" ht="15" customHeight="1" x14ac:dyDescent="0.3">
      <c r="A137" s="41">
        <v>130</v>
      </c>
      <c r="B137" s="42">
        <f t="shared" ca="1" si="102"/>
        <v>0.28517641643904534</v>
      </c>
      <c r="C137" s="43">
        <f ca="1">IF(B137&lt;=Inputs!$C$40,Inputs!$D$40,IF(B137&lt;=Inputs!$C$41,Inputs!$D$41,Inputs!$D$42))</f>
        <v>1</v>
      </c>
      <c r="D137" s="42">
        <f t="shared" ca="1" si="100"/>
        <v>0.71004939567847047</v>
      </c>
      <c r="E137" s="42">
        <f t="shared" ca="1" si="100"/>
        <v>0.22875873064055396</v>
      </c>
      <c r="F137" s="42">
        <f t="shared" ca="1" si="100"/>
        <v>0.41089801017184802</v>
      </c>
      <c r="G137" s="42">
        <f t="shared" ca="1" si="100"/>
        <v>0.44989717323387435</v>
      </c>
      <c r="H137" s="42">
        <f t="shared" ca="1" si="100"/>
        <v>0.4969580229085836</v>
      </c>
      <c r="I137" s="42">
        <f t="shared" ca="1" si="100"/>
        <v>0.37348362310293126</v>
      </c>
      <c r="J137" s="43">
        <f ca="1">IF(I137&lt;Inputs!$B$54,1+Inputs!$B$55,1)</f>
        <v>1</v>
      </c>
      <c r="K137" s="42">
        <f t="shared" ca="1" si="101"/>
        <v>0.39322513378686175</v>
      </c>
      <c r="L137" s="42">
        <f t="shared" ca="1" si="101"/>
        <v>0.32376979720049059</v>
      </c>
      <c r="M137" s="42">
        <f t="shared" ca="1" si="101"/>
        <v>0.8452520787406077</v>
      </c>
      <c r="N137" s="42">
        <f t="shared" ca="1" si="101"/>
        <v>0.55273048119277668</v>
      </c>
      <c r="O137" s="42">
        <f t="shared" ca="1" si="101"/>
        <v>0.43071099605825236</v>
      </c>
      <c r="P137" s="42">
        <f t="shared" ca="1" si="101"/>
        <v>0.4965272036475219</v>
      </c>
      <c r="Q137" s="42">
        <f t="shared" ca="1" si="101"/>
        <v>0.35435228887343462</v>
      </c>
      <c r="R137" s="42">
        <f t="shared" ca="1" si="101"/>
        <v>0.99462281683238896</v>
      </c>
      <c r="S137" s="42">
        <f t="shared" ca="1" si="101"/>
        <v>0.63541055135203306</v>
      </c>
      <c r="T137" s="42">
        <f t="shared" ca="1" si="101"/>
        <v>0.46031419376186666</v>
      </c>
      <c r="U137" s="44">
        <f ca="1">(IF(D137&gt;=Inputs!$E$12,1,IF(K137&lt;=Inputs!$C$46,Inputs!$D$46,IF(K137&lt;=Inputs!$C$47,Inputs!$D$47,Inputs!$D$48))))*((Inputs!$B$28+(P137-0.5)*2*Inputs!$B$53)/Inputs!$B$28)</f>
        <v>0.99996485023934745</v>
      </c>
      <c r="V137" s="44">
        <f ca="1">(IF(E137&gt;=Inputs!$E$13,1,IF(L137&lt;=Inputs!$C$46,Inputs!$D$46,IF(L137&lt;=Inputs!$C$47,Inputs!$D$47,Inputs!$D$48))))*((Inputs!$B$29+(Q137-0.5)*2*Inputs!$B$53)/Inputs!$B$29)</f>
        <v>0.99853177710557905</v>
      </c>
      <c r="W137" s="44">
        <f ca="1">(IF(F137&gt;=Inputs!$E$14,1,IF(M137&lt;=Inputs!$C$46,Inputs!$D$46,IF(M137&lt;=Inputs!$C$47,Inputs!$D$47,Inputs!$D$48))))*((Inputs!$B$30+(R137-0.5)*2*Inputs!$B$53)/Inputs!$B$30)</f>
        <v>1.0049710835862551</v>
      </c>
      <c r="X137" s="44">
        <f ca="1">(IF(G137&gt;=Inputs!$E$15,1,IF(N137&lt;=Inputs!$C$46,Inputs!$D$46,IF(N137&lt;=Inputs!$C$47,Inputs!$D$47,Inputs!$D$48))))*((Inputs!$B$31+(S137-0.5)*2*Inputs!$B$53)/Inputs!$B$31)</f>
        <v>1.0013747264096653</v>
      </c>
      <c r="Y137" s="44">
        <f ca="1">(IF(H137&gt;=Inputs!$E$16,1,IF(O137&lt;=Inputs!$C$46,Inputs!$D$46,IF(O137&lt;=Inputs!$C$47,Inputs!$D$47,Inputs!$D$48))))*((Inputs!$B$32+(T137-0.5)*2*Inputs!$B$53)/Inputs!$B$32)</f>
        <v>0.9996007464161154</v>
      </c>
      <c r="Z137" s="45">
        <f ca="1">ILP_C_HighResilience!$C$9*U137+ILP_C_HighResilience!$C$10*V137+ILP_C_HighResilience!$C$11*W137+ILP_C_HighResilience!$C$12*X137+ILP_C_HighResilience!$C$13*Y137</f>
        <v>18004.359349452978</v>
      </c>
      <c r="AA137" s="45">
        <f ca="1">ILP_C_HighResilience!$D$9*U137+ILP_C_HighResilience!$D$10*V137+ILP_C_HighResilience!$D$11*W137+ILP_C_HighResilience!$D$12*X137+ILP_C_HighResilience!$D$13*Y137</f>
        <v>15019.315244753923</v>
      </c>
      <c r="AB137" s="45">
        <f ca="1">ILP_C_HighResilience!$E$9*U137+ILP_C_HighResilience!$E$10*V137+ILP_C_HighResilience!$E$11*W137+ILP_C_HighResilience!$E$12*X137+ILP_C_HighResilience!$E$13*Y137</f>
        <v>12008.011336780764</v>
      </c>
      <c r="AC137" s="45">
        <f ca="1">Inputs!$B$6*$C137</f>
        <v>18000</v>
      </c>
      <c r="AD137" s="45">
        <f ca="1">Inputs!$B$7*$C137</f>
        <v>15000</v>
      </c>
      <c r="AE137" s="45">
        <f ca="1">Inputs!$B$8*$C137</f>
        <v>12000</v>
      </c>
      <c r="AF137" s="45">
        <f t="shared" ca="1" si="103"/>
        <v>0</v>
      </c>
      <c r="AG137" s="45">
        <f t="shared" ca="1" si="104"/>
        <v>0</v>
      </c>
      <c r="AH137" s="45">
        <f t="shared" ca="1" si="105"/>
        <v>0</v>
      </c>
      <c r="AI137" s="45">
        <f t="shared" ca="1" si="106"/>
        <v>0</v>
      </c>
      <c r="AJ137" s="45">
        <f ca="1">U137*(Inputs!$B$12-ILP_C_HighResilience!$F$9)+V137*(Inputs!$B$13-ILP_C_HighResilience!$F$10)+W137*(Inputs!$B$14-ILP_C_HighResilience!$F$11)+X137*(Inputs!$B$15-ILP_C_HighResilience!$F$12)+Y137*(Inputs!$B$16-ILP_C_HighResilience!$F$13)</f>
        <v>25022.328552099028</v>
      </c>
      <c r="AK137" s="45">
        <f t="shared" ca="1" si="107"/>
        <v>0</v>
      </c>
      <c r="AL137" s="45">
        <f t="shared" ca="1" si="108"/>
        <v>0</v>
      </c>
      <c r="AM137" s="45">
        <f t="shared" ca="1" si="109"/>
        <v>0</v>
      </c>
      <c r="AN137" s="45">
        <f t="shared" ca="1" si="110"/>
        <v>0</v>
      </c>
      <c r="AO137" s="45">
        <f ca="1">MIN(AL137,Inputs!$B$36)</f>
        <v>0</v>
      </c>
      <c r="AP137" s="45">
        <f ca="1">MIN(AN137,Inputs!$B$36-AO137)</f>
        <v>0</v>
      </c>
      <c r="AQ137" s="45">
        <f ca="1">MIN(AM137,Inputs!$B$36-AO137-AP137)</f>
        <v>0</v>
      </c>
      <c r="AR137" s="45">
        <f t="shared" ca="1" si="111"/>
        <v>0</v>
      </c>
      <c r="AS137" s="45">
        <f t="shared" ca="1" si="112"/>
        <v>0</v>
      </c>
      <c r="AT137" s="45">
        <f t="shared" ca="1" si="113"/>
        <v>0</v>
      </c>
      <c r="AU137" s="45">
        <f t="shared" ca="1" si="114"/>
        <v>0</v>
      </c>
      <c r="AV137" s="46">
        <f ca="1">AU137*Inputs!$B$35</f>
        <v>0</v>
      </c>
      <c r="AW137" s="46">
        <f ca="1">AR137*Inputs!$C$6+AT137*Inputs!$C$7+AS137*Inputs!$C$8</f>
        <v>0</v>
      </c>
      <c r="AX137" s="46">
        <f t="shared" ca="1" si="115"/>
        <v>47666049.938132904</v>
      </c>
      <c r="AY137" s="46">
        <f ca="1">IF(J137&gt;1,($CD$4)*Inputs!$B$55*((Z137+AA137+AB137)/(SUM(ILP_C_HighResilience!$C$9:$E$13))),0)</f>
        <v>0</v>
      </c>
      <c r="AZ137" s="46">
        <f t="shared" ca="1" si="116"/>
        <v>0</v>
      </c>
      <c r="BA137" s="41">
        <f t="shared" ca="1" si="117"/>
        <v>0</v>
      </c>
      <c r="BB137" s="41">
        <f t="shared" ca="1" si="118"/>
        <v>1</v>
      </c>
      <c r="BC137" s="41">
        <f t="shared" ca="1" si="119"/>
        <v>1</v>
      </c>
      <c r="BD137" s="41">
        <f t="shared" ca="1" si="120"/>
        <v>1</v>
      </c>
    </row>
    <row r="138" spans="1:56" ht="15" customHeight="1" x14ac:dyDescent="0.3">
      <c r="A138" s="41">
        <v>131</v>
      </c>
      <c r="B138" s="42">
        <f t="shared" ca="1" si="102"/>
        <v>4.2276503102815832E-2</v>
      </c>
      <c r="C138" s="43">
        <f ca="1">IF(B138&lt;=Inputs!$C$40,Inputs!$D$40,IF(B138&lt;=Inputs!$C$41,Inputs!$D$41,Inputs!$D$42))</f>
        <v>0.9</v>
      </c>
      <c r="D138" s="42">
        <f t="shared" ref="D138:I147" ca="1" si="121">RAND()</f>
        <v>0.55162242961526331</v>
      </c>
      <c r="E138" s="42">
        <f t="shared" ca="1" si="121"/>
        <v>0.9114313541148612</v>
      </c>
      <c r="F138" s="42">
        <f t="shared" ca="1" si="121"/>
        <v>0.48058720153359891</v>
      </c>
      <c r="G138" s="42">
        <f t="shared" ca="1" si="121"/>
        <v>0.16368272402493833</v>
      </c>
      <c r="H138" s="42">
        <f t="shared" ca="1" si="121"/>
        <v>0.44986962248382201</v>
      </c>
      <c r="I138" s="42">
        <f t="shared" ca="1" si="121"/>
        <v>0.35940430751119778</v>
      </c>
      <c r="J138" s="43">
        <f ca="1">IF(I138&lt;Inputs!$B$54,1+Inputs!$B$55,1)</f>
        <v>1</v>
      </c>
      <c r="K138" s="42">
        <f t="shared" ref="K138:T147" ca="1" si="122">RAND()</f>
        <v>0.34944321709606718</v>
      </c>
      <c r="L138" s="42">
        <f t="shared" ca="1" si="122"/>
        <v>0.17459557638514023</v>
      </c>
      <c r="M138" s="42">
        <f t="shared" ca="1" si="122"/>
        <v>0.61621935794680938</v>
      </c>
      <c r="N138" s="42">
        <f t="shared" ca="1" si="122"/>
        <v>0.90801282498762614</v>
      </c>
      <c r="O138" s="42">
        <f t="shared" ca="1" si="122"/>
        <v>0.9549778554356475</v>
      </c>
      <c r="P138" s="42">
        <f t="shared" ca="1" si="122"/>
        <v>0.30834723137216746</v>
      </c>
      <c r="Q138" s="42">
        <f t="shared" ca="1" si="122"/>
        <v>6.575604176520633E-2</v>
      </c>
      <c r="R138" s="42">
        <f t="shared" ca="1" si="122"/>
        <v>0.68643683899341712</v>
      </c>
      <c r="S138" s="42">
        <f t="shared" ca="1" si="122"/>
        <v>0.88067273291500991</v>
      </c>
      <c r="T138" s="42">
        <f t="shared" ca="1" si="122"/>
        <v>0.92370011330395063</v>
      </c>
      <c r="U138" s="44">
        <f ca="1">(IF(D138&gt;=Inputs!$E$12,1,IF(K138&lt;=Inputs!$C$46,Inputs!$D$46,IF(K138&lt;=Inputs!$C$47,Inputs!$D$47,Inputs!$D$48))))*((Inputs!$B$28+(P138-0.5)*2*Inputs!$B$53)/Inputs!$B$28)</f>
        <v>0.99806019464951579</v>
      </c>
      <c r="V138" s="44">
        <f ca="1">(IF(E138&gt;=Inputs!$E$13,1,IF(L138&lt;=Inputs!$C$46,Inputs!$D$46,IF(L138&lt;=Inputs!$C$47,Inputs!$D$47,Inputs!$D$48))))*((Inputs!$B$29+(Q138-0.5)*2*Inputs!$B$53)/Inputs!$B$29)</f>
        <v>0.9956225407436009</v>
      </c>
      <c r="W138" s="44">
        <f ca="1">(IF(F138&gt;=Inputs!$E$14,1,IF(M138&lt;=Inputs!$C$46,Inputs!$D$46,IF(M138&lt;=Inputs!$C$47,Inputs!$D$47,Inputs!$D$48))))*((Inputs!$B$30+(R138-0.5)*2*Inputs!$B$53)/Inputs!$B$30)</f>
        <v>1.0018737370753108</v>
      </c>
      <c r="X138" s="44">
        <f ca="1">(IF(G138&gt;=Inputs!$E$15,1,IF(N138&lt;=Inputs!$C$46,Inputs!$D$46,IF(N138&lt;=Inputs!$C$47,Inputs!$D$47,Inputs!$D$48))))*((Inputs!$B$31+(S138-0.5)*2*Inputs!$B$53)/Inputs!$B$31)</f>
        <v>0</v>
      </c>
      <c r="Y138" s="44">
        <f ca="1">(IF(H138&gt;=Inputs!$E$16,1,IF(O138&lt;=Inputs!$C$46,Inputs!$D$46,IF(O138&lt;=Inputs!$C$47,Inputs!$D$47,Inputs!$D$48))))*((Inputs!$B$32+(T138-0.5)*2*Inputs!$B$53)/Inputs!$B$32)</f>
        <v>1.004262576592595</v>
      </c>
      <c r="Z138" s="45">
        <f ca="1">ILP_C_HighResilience!$C$9*U138+ILP_C_HighResilience!$C$10*V138+ILP_C_HighResilience!$C$11*W138+ILP_C_HighResilience!$C$12*X138+ILP_C_HighResilience!$C$13*Y138</f>
        <v>10770.274548153477</v>
      </c>
      <c r="AA138" s="45">
        <f ca="1">ILP_C_HighResilience!$D$9*U138+ILP_C_HighResilience!$D$10*V138+ILP_C_HighResilience!$D$11*W138+ILP_C_HighResilience!$D$12*X138+ILP_C_HighResilience!$D$13*Y138</f>
        <v>10361.942212851467</v>
      </c>
      <c r="AB138" s="45">
        <f ca="1">ILP_C_HighResilience!$E$9*U138+ILP_C_HighResilience!$E$10*V138+ILP_C_HighResilience!$E$11*W138+ILP_C_HighResilience!$E$12*X138+ILP_C_HighResilience!$E$13*Y138</f>
        <v>11977.374711389541</v>
      </c>
      <c r="AC138" s="45">
        <f ca="1">Inputs!$B$6*$C138</f>
        <v>16200</v>
      </c>
      <c r="AD138" s="45">
        <f ca="1">Inputs!$B$7*$C138</f>
        <v>13500</v>
      </c>
      <c r="AE138" s="45">
        <f ca="1">Inputs!$B$8*$C138</f>
        <v>10800</v>
      </c>
      <c r="AF138" s="45">
        <f t="shared" ca="1" si="103"/>
        <v>5429.7254518465234</v>
      </c>
      <c r="AG138" s="45">
        <f t="shared" ca="1" si="104"/>
        <v>3138.057787148533</v>
      </c>
      <c r="AH138" s="45">
        <f t="shared" ca="1" si="105"/>
        <v>0</v>
      </c>
      <c r="AI138" s="45">
        <f t="shared" ca="1" si="106"/>
        <v>8567.7832389950563</v>
      </c>
      <c r="AJ138" s="45">
        <f ca="1">U138*(Inputs!$B$12-ILP_C_HighResilience!$F$9)+V138*(Inputs!$B$13-ILP_C_HighResilience!$F$10)+W138*(Inputs!$B$14-ILP_C_HighResilience!$F$11)+X138*(Inputs!$B$15-ILP_C_HighResilience!$F$12)+Y138*(Inputs!$B$16-ILP_C_HighResilience!$F$13)</f>
        <v>24886.384443276147</v>
      </c>
      <c r="AK138" s="45">
        <f t="shared" ca="1" si="107"/>
        <v>8567.7832389950563</v>
      </c>
      <c r="AL138" s="45">
        <f t="shared" ca="1" si="108"/>
        <v>0</v>
      </c>
      <c r="AM138" s="45">
        <f t="shared" ca="1" si="109"/>
        <v>0</v>
      </c>
      <c r="AN138" s="45">
        <f t="shared" ca="1" si="110"/>
        <v>0</v>
      </c>
      <c r="AO138" s="45">
        <f ca="1">MIN(AL138,Inputs!$B$36)</f>
        <v>0</v>
      </c>
      <c r="AP138" s="45">
        <f ca="1">MIN(AN138,Inputs!$B$36-AO138)</f>
        <v>0</v>
      </c>
      <c r="AQ138" s="45">
        <f ca="1">MIN(AM138,Inputs!$B$36-AO138-AP138)</f>
        <v>0</v>
      </c>
      <c r="AR138" s="45">
        <f t="shared" ca="1" si="111"/>
        <v>0</v>
      </c>
      <c r="AS138" s="45">
        <f t="shared" ca="1" si="112"/>
        <v>0</v>
      </c>
      <c r="AT138" s="45">
        <f t="shared" ca="1" si="113"/>
        <v>0</v>
      </c>
      <c r="AU138" s="45">
        <f t="shared" ca="1" si="114"/>
        <v>0</v>
      </c>
      <c r="AV138" s="46">
        <f ca="1">AU138*Inputs!$B$35</f>
        <v>0</v>
      </c>
      <c r="AW138" s="46">
        <f ca="1">AR138*Inputs!$C$6+AT138*Inputs!$C$7+AS138*Inputs!$C$8</f>
        <v>0</v>
      </c>
      <c r="AX138" s="46">
        <f t="shared" ca="1" si="115"/>
        <v>35213021.221664749</v>
      </c>
      <c r="AY138" s="46">
        <f ca="1">IF(J138&gt;1,($CD$4)*Inputs!$B$55*((Z138+AA138+AB138)/(SUM(ILP_C_HighResilience!$C$9:$E$13))),0)</f>
        <v>0</v>
      </c>
      <c r="AZ138" s="46">
        <f t="shared" ca="1" si="116"/>
        <v>0</v>
      </c>
      <c r="BA138" s="41">
        <f t="shared" ca="1" si="117"/>
        <v>0</v>
      </c>
      <c r="BB138" s="41">
        <f t="shared" ca="1" si="118"/>
        <v>1</v>
      </c>
      <c r="BC138" s="41">
        <f t="shared" ca="1" si="119"/>
        <v>1</v>
      </c>
      <c r="BD138" s="41">
        <f t="shared" ca="1" si="120"/>
        <v>1</v>
      </c>
    </row>
    <row r="139" spans="1:56" ht="15" customHeight="1" x14ac:dyDescent="0.3">
      <c r="A139" s="41">
        <v>132</v>
      </c>
      <c r="B139" s="42">
        <f t="shared" ca="1" si="102"/>
        <v>0.1586782833556929</v>
      </c>
      <c r="C139" s="43">
        <f ca="1">IF(B139&lt;=Inputs!$C$40,Inputs!$D$40,IF(B139&lt;=Inputs!$C$41,Inputs!$D$41,Inputs!$D$42))</f>
        <v>0.9</v>
      </c>
      <c r="D139" s="42">
        <f t="shared" ca="1" si="121"/>
        <v>0.56380288738072337</v>
      </c>
      <c r="E139" s="42">
        <f t="shared" ca="1" si="121"/>
        <v>3.9932450711595235E-2</v>
      </c>
      <c r="F139" s="42">
        <f t="shared" ca="1" si="121"/>
        <v>0.35189530349474607</v>
      </c>
      <c r="G139" s="42">
        <f t="shared" ca="1" si="121"/>
        <v>0.78627021130050467</v>
      </c>
      <c r="H139" s="42">
        <f t="shared" ca="1" si="121"/>
        <v>0.280965890180357</v>
      </c>
      <c r="I139" s="42">
        <f t="shared" ca="1" si="121"/>
        <v>0.64366071147112136</v>
      </c>
      <c r="J139" s="43">
        <f ca="1">IF(I139&lt;Inputs!$B$54,1+Inputs!$B$55,1)</f>
        <v>1</v>
      </c>
      <c r="K139" s="42">
        <f t="shared" ca="1" si="122"/>
        <v>0.66269323345562103</v>
      </c>
      <c r="L139" s="42">
        <f t="shared" ca="1" si="122"/>
        <v>0.53206237588450411</v>
      </c>
      <c r="M139" s="42">
        <f t="shared" ca="1" si="122"/>
        <v>0.70886718420804251</v>
      </c>
      <c r="N139" s="42">
        <f t="shared" ca="1" si="122"/>
        <v>0.99233721569311795</v>
      </c>
      <c r="O139" s="42">
        <f t="shared" ca="1" si="122"/>
        <v>0.46175011647553699</v>
      </c>
      <c r="P139" s="42">
        <f t="shared" ca="1" si="122"/>
        <v>0.68069555199777398</v>
      </c>
      <c r="Q139" s="42">
        <f t="shared" ca="1" si="122"/>
        <v>0.91736934052521679</v>
      </c>
      <c r="R139" s="42">
        <f t="shared" ca="1" si="122"/>
        <v>0.95795603747416791</v>
      </c>
      <c r="S139" s="42">
        <f t="shared" ca="1" si="122"/>
        <v>0.67625646221470692</v>
      </c>
      <c r="T139" s="42">
        <f t="shared" ca="1" si="122"/>
        <v>0.8199888195491517</v>
      </c>
      <c r="U139" s="44">
        <f ca="1">(IF(D139&gt;=Inputs!$E$12,1,IF(K139&lt;=Inputs!$C$46,Inputs!$D$46,IF(K139&lt;=Inputs!$C$47,Inputs!$D$47,Inputs!$D$48))))*((Inputs!$B$28+(P139-0.5)*2*Inputs!$B$53)/Inputs!$B$28)</f>
        <v>1.0018289023481557</v>
      </c>
      <c r="V139" s="44">
        <f ca="1">(IF(E139&gt;=Inputs!$E$13,1,IF(L139&lt;=Inputs!$C$46,Inputs!$D$46,IF(L139&lt;=Inputs!$C$47,Inputs!$D$47,Inputs!$D$48))))*((Inputs!$B$29+(Q139-0.5)*2*Inputs!$B$53)/Inputs!$B$29)</f>
        <v>0.30126220566691098</v>
      </c>
      <c r="W139" s="44">
        <f ca="1">(IF(F139&gt;=Inputs!$E$14,1,IF(M139&lt;=Inputs!$C$46,Inputs!$D$46,IF(M139&lt;=Inputs!$C$47,Inputs!$D$47,Inputs!$D$48))))*((Inputs!$B$30+(R139-0.5)*2*Inputs!$B$53)/Inputs!$B$30)</f>
        <v>1.0046025732409465</v>
      </c>
      <c r="X139" s="44">
        <f ca="1">(IF(G139&gt;=Inputs!$E$15,1,IF(N139&lt;=Inputs!$C$46,Inputs!$D$46,IF(N139&lt;=Inputs!$C$47,Inputs!$D$47,Inputs!$D$48))))*((Inputs!$B$31+(S139-0.5)*2*Inputs!$B$53)/Inputs!$B$31)</f>
        <v>1.0017894057077634</v>
      </c>
      <c r="Y139" s="44">
        <f ca="1">(IF(H139&gt;=Inputs!$E$16,1,IF(O139&lt;=Inputs!$C$46,Inputs!$D$46,IF(O139&lt;=Inputs!$C$47,Inputs!$D$47,Inputs!$D$48))))*((Inputs!$B$32+(T139-0.5)*2*Inputs!$B$53)/Inputs!$B$32)</f>
        <v>1.0032192034159875</v>
      </c>
      <c r="Z139" s="45">
        <f ca="1">ILP_C_HighResilience!$C$9*U139+ILP_C_HighResilience!$C$10*V139+ILP_C_HighResilience!$C$11*W139+ILP_C_HighResilience!$C$12*X139+ILP_C_HighResilience!$C$13*Y139</f>
        <v>15510.595758403499</v>
      </c>
      <c r="AA139" s="45">
        <f ca="1">ILP_C_HighResilience!$D$9*U139+ILP_C_HighResilience!$D$10*V139+ILP_C_HighResilience!$D$11*W139+ILP_C_HighResilience!$D$12*X139+ILP_C_HighResilience!$D$13*Y139</f>
        <v>10835.999559166677</v>
      </c>
      <c r="AB139" s="45">
        <f ca="1">ILP_C_HighResilience!$E$9*U139+ILP_C_HighResilience!$E$10*V139+ILP_C_HighResilience!$E$11*W139+ILP_C_HighResilience!$E$12*X139+ILP_C_HighResilience!$E$13*Y139</f>
        <v>9025.9937624484974</v>
      </c>
      <c r="AC139" s="45">
        <f ca="1">Inputs!$B$6*$C139</f>
        <v>16200</v>
      </c>
      <c r="AD139" s="45">
        <f ca="1">Inputs!$B$7*$C139</f>
        <v>13500</v>
      </c>
      <c r="AE139" s="45">
        <f ca="1">Inputs!$B$8*$C139</f>
        <v>10800</v>
      </c>
      <c r="AF139" s="45">
        <f t="shared" ca="1" si="103"/>
        <v>689.40424159650138</v>
      </c>
      <c r="AG139" s="45">
        <f t="shared" ca="1" si="104"/>
        <v>2664.0004408333225</v>
      </c>
      <c r="AH139" s="45">
        <f t="shared" ca="1" si="105"/>
        <v>1774.0062375515026</v>
      </c>
      <c r="AI139" s="45">
        <f t="shared" ca="1" si="106"/>
        <v>5127.4109199813265</v>
      </c>
      <c r="AJ139" s="45">
        <f ca="1">U139*(Inputs!$B$12-ILP_C_HighResilience!$F$9)+V139*(Inputs!$B$13-ILP_C_HighResilience!$F$10)+W139*(Inputs!$B$14-ILP_C_HighResilience!$F$11)+X139*(Inputs!$B$15-ILP_C_HighResilience!$F$12)+Y139*(Inputs!$B$16-ILP_C_HighResilience!$F$13)</f>
        <v>25003.938608753851</v>
      </c>
      <c r="AK139" s="45">
        <f t="shared" ca="1" si="107"/>
        <v>5127.4109199813265</v>
      </c>
      <c r="AL139" s="45">
        <f t="shared" ca="1" si="108"/>
        <v>0</v>
      </c>
      <c r="AM139" s="45">
        <f t="shared" ca="1" si="109"/>
        <v>0</v>
      </c>
      <c r="AN139" s="45">
        <f t="shared" ca="1" si="110"/>
        <v>0</v>
      </c>
      <c r="AO139" s="45">
        <f ca="1">MIN(AL139,Inputs!$B$36)</f>
        <v>0</v>
      </c>
      <c r="AP139" s="45">
        <f ca="1">MIN(AN139,Inputs!$B$36-AO139)</f>
        <v>0</v>
      </c>
      <c r="AQ139" s="45">
        <f ca="1">MIN(AM139,Inputs!$B$36-AO139-AP139)</f>
        <v>0</v>
      </c>
      <c r="AR139" s="45">
        <f t="shared" ca="1" si="111"/>
        <v>0</v>
      </c>
      <c r="AS139" s="45">
        <f t="shared" ca="1" si="112"/>
        <v>0</v>
      </c>
      <c r="AT139" s="45">
        <f t="shared" ca="1" si="113"/>
        <v>0</v>
      </c>
      <c r="AU139" s="45">
        <f t="shared" ca="1" si="114"/>
        <v>0</v>
      </c>
      <c r="AV139" s="46">
        <f ca="1">AU139*Inputs!$B$35</f>
        <v>0</v>
      </c>
      <c r="AW139" s="46">
        <f ca="1">AR139*Inputs!$C$6+AT139*Inputs!$C$7+AS139*Inputs!$C$8</f>
        <v>0</v>
      </c>
      <c r="AX139" s="46">
        <f t="shared" ca="1" si="115"/>
        <v>37408183.738096267</v>
      </c>
      <c r="AY139" s="46">
        <f ca="1">IF(J139&gt;1,($CD$4)*Inputs!$B$55*((Z139+AA139+AB139)/(SUM(ILP_C_HighResilience!$C$9:$E$13))),0)</f>
        <v>0</v>
      </c>
      <c r="AZ139" s="46">
        <f t="shared" ca="1" si="116"/>
        <v>0</v>
      </c>
      <c r="BA139" s="41">
        <f t="shared" ca="1" si="117"/>
        <v>0</v>
      </c>
      <c r="BB139" s="41">
        <f t="shared" ca="1" si="118"/>
        <v>1</v>
      </c>
      <c r="BC139" s="41">
        <f t="shared" ca="1" si="119"/>
        <v>1</v>
      </c>
      <c r="BD139" s="41">
        <f t="shared" ca="1" si="120"/>
        <v>1</v>
      </c>
    </row>
    <row r="140" spans="1:56" ht="15" customHeight="1" x14ac:dyDescent="0.3">
      <c r="A140" s="41">
        <v>133</v>
      </c>
      <c r="B140" s="42">
        <f t="shared" ca="1" si="102"/>
        <v>0.88603870303273491</v>
      </c>
      <c r="C140" s="43">
        <f ca="1">IF(B140&lt;=Inputs!$C$40,Inputs!$D$40,IF(B140&lt;=Inputs!$C$41,Inputs!$D$41,Inputs!$D$42))</f>
        <v>1.1499999999999999</v>
      </c>
      <c r="D140" s="42">
        <f t="shared" ca="1" si="121"/>
        <v>0.71744298782062732</v>
      </c>
      <c r="E140" s="42">
        <f t="shared" ca="1" si="121"/>
        <v>0.42974947968948596</v>
      </c>
      <c r="F140" s="42">
        <f t="shared" ca="1" si="121"/>
        <v>0.56563002295989884</v>
      </c>
      <c r="G140" s="42">
        <f t="shared" ca="1" si="121"/>
        <v>0.46532346024649318</v>
      </c>
      <c r="H140" s="42">
        <f t="shared" ca="1" si="121"/>
        <v>0.7052056762885287</v>
      </c>
      <c r="I140" s="42">
        <f t="shared" ca="1" si="121"/>
        <v>0.27393677230059654</v>
      </c>
      <c r="J140" s="43">
        <f ca="1">IF(I140&lt;Inputs!$B$54,1+Inputs!$B$55,1)</f>
        <v>1</v>
      </c>
      <c r="K140" s="42">
        <f t="shared" ca="1" si="122"/>
        <v>0.98975504489182897</v>
      </c>
      <c r="L140" s="42">
        <f t="shared" ca="1" si="122"/>
        <v>0.47373817568013621</v>
      </c>
      <c r="M140" s="42">
        <f t="shared" ca="1" si="122"/>
        <v>0.80871433720673336</v>
      </c>
      <c r="N140" s="42">
        <f t="shared" ca="1" si="122"/>
        <v>0.22743175157294504</v>
      </c>
      <c r="O140" s="42">
        <f t="shared" ca="1" si="122"/>
        <v>0.1980775174554158</v>
      </c>
      <c r="P140" s="42">
        <f t="shared" ca="1" si="122"/>
        <v>0.72322990402394971</v>
      </c>
      <c r="Q140" s="42">
        <f t="shared" ca="1" si="122"/>
        <v>0.16601653012570317</v>
      </c>
      <c r="R140" s="42">
        <f t="shared" ca="1" si="122"/>
        <v>4.4984449931886883E-2</v>
      </c>
      <c r="S140" s="42">
        <f t="shared" ca="1" si="122"/>
        <v>0.56264352421410202</v>
      </c>
      <c r="T140" s="42">
        <f t="shared" ca="1" si="122"/>
        <v>0.72147318933911231</v>
      </c>
      <c r="U140" s="44">
        <f ca="1">(IF(D140&gt;=Inputs!$E$12,1,IF(K140&lt;=Inputs!$C$46,Inputs!$D$46,IF(K140&lt;=Inputs!$C$47,Inputs!$D$47,Inputs!$D$48))))*((Inputs!$B$28+(P140-0.5)*2*Inputs!$B$53)/Inputs!$B$28)</f>
        <v>1.002259411984048</v>
      </c>
      <c r="V140" s="44">
        <f ca="1">(IF(E140&gt;=Inputs!$E$13,1,IF(L140&lt;=Inputs!$C$46,Inputs!$D$46,IF(L140&lt;=Inputs!$C$47,Inputs!$D$47,Inputs!$D$48))))*((Inputs!$B$29+(Q140-0.5)*2*Inputs!$B$53)/Inputs!$B$29)</f>
        <v>0.99663323115046065</v>
      </c>
      <c r="W140" s="44">
        <f ca="1">(IF(F140&gt;=Inputs!$E$14,1,IF(M140&lt;=Inputs!$C$46,Inputs!$D$46,IF(M140&lt;=Inputs!$C$47,Inputs!$D$47,Inputs!$D$48))))*((Inputs!$B$30+(R140-0.5)*2*Inputs!$B$53)/Inputs!$B$30)</f>
        <v>0.99542697939630032</v>
      </c>
      <c r="X140" s="44">
        <f ca="1">(IF(G140&gt;=Inputs!$E$15,1,IF(N140&lt;=Inputs!$C$46,Inputs!$D$46,IF(N140&lt;=Inputs!$C$47,Inputs!$D$47,Inputs!$D$48))))*((Inputs!$B$31+(S140-0.5)*2*Inputs!$B$53)/Inputs!$B$31)</f>
        <v>1.0006359748651177</v>
      </c>
      <c r="Y140" s="44">
        <f ca="1">(IF(H140&gt;=Inputs!$E$16,1,IF(O140&lt;=Inputs!$C$46,Inputs!$D$46,IF(O140&lt;=Inputs!$C$47,Inputs!$D$47,Inputs!$D$48))))*((Inputs!$B$32+(T140-0.5)*2*Inputs!$B$53)/Inputs!$B$32)</f>
        <v>1.0022281004963693</v>
      </c>
      <c r="Z140" s="45">
        <f ca="1">ILP_C_HighResilience!$C$9*U140+ILP_C_HighResilience!$C$10*V140+ILP_C_HighResilience!$C$11*W140+ILP_C_HighResilience!$C$12*X140+ILP_C_HighResilience!$C$13*Y140</f>
        <v>18008.726417455651</v>
      </c>
      <c r="AA140" s="45">
        <f ca="1">ILP_C_HighResilience!$D$9*U140+ILP_C_HighResilience!$D$10*V140+ILP_C_HighResilience!$D$11*W140+ILP_C_HighResilience!$D$12*X140+ILP_C_HighResilience!$D$13*Y140</f>
        <v>14962.707760535404</v>
      </c>
      <c r="AB140" s="45">
        <f ca="1">ILP_C_HighResilience!$E$9*U140+ILP_C_HighResilience!$E$10*V140+ILP_C_HighResilience!$E$11*W140+ILP_C_HighResilience!$E$12*X140+ILP_C_HighResilience!$E$13*Y140</f>
        <v>11983.091836698633</v>
      </c>
      <c r="AC140" s="45">
        <f ca="1">Inputs!$B$6*$C140</f>
        <v>20700</v>
      </c>
      <c r="AD140" s="45">
        <f ca="1">Inputs!$B$7*$C140</f>
        <v>17250</v>
      </c>
      <c r="AE140" s="45">
        <f ca="1">Inputs!$B$8*$C140</f>
        <v>13799.999999999998</v>
      </c>
      <c r="AF140" s="45">
        <f t="shared" ca="1" si="103"/>
        <v>2691.2735825443488</v>
      </c>
      <c r="AG140" s="45">
        <f t="shared" ca="1" si="104"/>
        <v>2287.2922394645957</v>
      </c>
      <c r="AH140" s="45">
        <f t="shared" ca="1" si="105"/>
        <v>1816.9081633013648</v>
      </c>
      <c r="AI140" s="45">
        <f t="shared" ca="1" si="106"/>
        <v>6795.4739853103092</v>
      </c>
      <c r="AJ140" s="45">
        <f ca="1">U140*(Inputs!$B$12-ILP_C_HighResilience!$F$9)+V140*(Inputs!$B$13-ILP_C_HighResilience!$F$10)+W140*(Inputs!$B$14-ILP_C_HighResilience!$F$11)+X140*(Inputs!$B$15-ILP_C_HighResilience!$F$12)+Y140*(Inputs!$B$16-ILP_C_HighResilience!$F$13)</f>
        <v>25016.093751140386</v>
      </c>
      <c r="AK140" s="45">
        <f t="shared" ca="1" si="107"/>
        <v>6795.4739853103092</v>
      </c>
      <c r="AL140" s="45">
        <f t="shared" ca="1" si="108"/>
        <v>0</v>
      </c>
      <c r="AM140" s="45">
        <f t="shared" ca="1" si="109"/>
        <v>0</v>
      </c>
      <c r="AN140" s="45">
        <f t="shared" ca="1" si="110"/>
        <v>0</v>
      </c>
      <c r="AO140" s="45">
        <f ca="1">MIN(AL140,Inputs!$B$36)</f>
        <v>0</v>
      </c>
      <c r="AP140" s="45">
        <f ca="1">MIN(AN140,Inputs!$B$36-AO140)</f>
        <v>0</v>
      </c>
      <c r="AQ140" s="45">
        <f ca="1">MIN(AM140,Inputs!$B$36-AO140-AP140)</f>
        <v>0</v>
      </c>
      <c r="AR140" s="45">
        <f t="shared" ca="1" si="111"/>
        <v>0</v>
      </c>
      <c r="AS140" s="45">
        <f t="shared" ca="1" si="112"/>
        <v>0</v>
      </c>
      <c r="AT140" s="45">
        <f t="shared" ca="1" si="113"/>
        <v>0</v>
      </c>
      <c r="AU140" s="45">
        <f t="shared" ca="1" si="114"/>
        <v>0</v>
      </c>
      <c r="AV140" s="46">
        <f ca="1">AU140*Inputs!$B$35</f>
        <v>0</v>
      </c>
      <c r="AW140" s="46">
        <f ca="1">AR140*Inputs!$C$6+AT140*Inputs!$C$7+AS140*Inputs!$C$8</f>
        <v>0</v>
      </c>
      <c r="AX140" s="46">
        <f t="shared" ca="1" si="115"/>
        <v>47583776.049741417</v>
      </c>
      <c r="AY140" s="46">
        <f ca="1">IF(J140&gt;1,($CD$4)*Inputs!$B$55*((Z140+AA140+AB140)/(SUM(ILP_C_HighResilience!$C$9:$E$13))),0)</f>
        <v>0</v>
      </c>
      <c r="AZ140" s="46">
        <f t="shared" ca="1" si="116"/>
        <v>0</v>
      </c>
      <c r="BA140" s="41">
        <f t="shared" ca="1" si="117"/>
        <v>0</v>
      </c>
      <c r="BB140" s="41">
        <f t="shared" ca="1" si="118"/>
        <v>1</v>
      </c>
      <c r="BC140" s="41">
        <f t="shared" ca="1" si="119"/>
        <v>1</v>
      </c>
      <c r="BD140" s="41">
        <f t="shared" ca="1" si="120"/>
        <v>1</v>
      </c>
    </row>
    <row r="141" spans="1:56" ht="15" customHeight="1" x14ac:dyDescent="0.3">
      <c r="A141" s="41">
        <v>134</v>
      </c>
      <c r="B141" s="42">
        <f t="shared" ca="1" si="102"/>
        <v>0.10497600431647036</v>
      </c>
      <c r="C141" s="43">
        <f ca="1">IF(B141&lt;=Inputs!$C$40,Inputs!$D$40,IF(B141&lt;=Inputs!$C$41,Inputs!$D$41,Inputs!$D$42))</f>
        <v>0.9</v>
      </c>
      <c r="D141" s="42">
        <f t="shared" ca="1" si="121"/>
        <v>0.19794462692158432</v>
      </c>
      <c r="E141" s="42">
        <f t="shared" ca="1" si="121"/>
        <v>0.24092558781206441</v>
      </c>
      <c r="F141" s="42">
        <f t="shared" ca="1" si="121"/>
        <v>0.29327129727166312</v>
      </c>
      <c r="G141" s="42">
        <f t="shared" ca="1" si="121"/>
        <v>0.94822310738555105</v>
      </c>
      <c r="H141" s="42">
        <f t="shared" ca="1" si="121"/>
        <v>0.10299049628284906</v>
      </c>
      <c r="I141" s="42">
        <f t="shared" ca="1" si="121"/>
        <v>0.72850323606235157</v>
      </c>
      <c r="J141" s="43">
        <f ca="1">IF(I141&lt;Inputs!$B$54,1+Inputs!$B$55,1)</f>
        <v>1</v>
      </c>
      <c r="K141" s="42">
        <f t="shared" ca="1" si="122"/>
        <v>0.3495966521871442</v>
      </c>
      <c r="L141" s="42">
        <f t="shared" ca="1" si="122"/>
        <v>0.27638676904667059</v>
      </c>
      <c r="M141" s="42">
        <f t="shared" ca="1" si="122"/>
        <v>0.91082137067886926</v>
      </c>
      <c r="N141" s="42">
        <f t="shared" ca="1" si="122"/>
        <v>0.54285959990210508</v>
      </c>
      <c r="O141" s="42">
        <f t="shared" ca="1" si="122"/>
        <v>0.67984637708281204</v>
      </c>
      <c r="P141" s="42">
        <f t="shared" ca="1" si="122"/>
        <v>0.2974483399077924</v>
      </c>
      <c r="Q141" s="42">
        <f t="shared" ca="1" si="122"/>
        <v>0.65014285552192985</v>
      </c>
      <c r="R141" s="42">
        <f t="shared" ca="1" si="122"/>
        <v>0.74130471979627488</v>
      </c>
      <c r="S141" s="42">
        <f t="shared" ca="1" si="122"/>
        <v>0.34711092731116688</v>
      </c>
      <c r="T141" s="42">
        <f t="shared" ca="1" si="122"/>
        <v>0.44432575613486969</v>
      </c>
      <c r="U141" s="44">
        <f ca="1">(IF(D141&gt;=Inputs!$E$12,1,IF(K141&lt;=Inputs!$C$46,Inputs!$D$46,IF(K141&lt;=Inputs!$C$47,Inputs!$D$47,Inputs!$D$48))))*((Inputs!$B$28+(P141-0.5)*2*Inputs!$B$53)/Inputs!$B$28)</f>
        <v>0.99794988198287238</v>
      </c>
      <c r="V141" s="44">
        <f ca="1">(IF(E141&gt;=Inputs!$E$13,1,IF(L141&lt;=Inputs!$C$46,Inputs!$D$46,IF(L141&lt;=Inputs!$C$47,Inputs!$D$47,Inputs!$D$48))))*((Inputs!$B$29+(Q141-0.5)*2*Inputs!$B$53)/Inputs!$B$29)</f>
        <v>1.0015135368500194</v>
      </c>
      <c r="W141" s="44">
        <f ca="1">(IF(F141&gt;=Inputs!$E$14,1,IF(M141&lt;=Inputs!$C$46,Inputs!$D$46,IF(M141&lt;=Inputs!$C$47,Inputs!$D$47,Inputs!$D$48))))*((Inputs!$B$30+(R141-0.5)*2*Inputs!$B$53)/Inputs!$B$30)</f>
        <v>1.0024251730632792</v>
      </c>
      <c r="X141" s="44">
        <f ca="1">(IF(G141&gt;=Inputs!$E$15,1,IF(N141&lt;=Inputs!$C$46,Inputs!$D$46,IF(N141&lt;=Inputs!$C$47,Inputs!$D$47,Inputs!$D$48))))*((Inputs!$B$31+(S141-0.5)*2*Inputs!$B$53)/Inputs!$B$31)</f>
        <v>0.99844782667320986</v>
      </c>
      <c r="Y141" s="44">
        <f ca="1">(IF(H141&gt;=Inputs!$E$16,1,IF(O141&lt;=Inputs!$C$46,Inputs!$D$46,IF(O141&lt;=Inputs!$C$47,Inputs!$D$47,Inputs!$D$48))))*((Inputs!$B$32+(T141-0.5)*2*Inputs!$B$53)/Inputs!$B$32)</f>
        <v>0.99943989694300672</v>
      </c>
      <c r="Z141" s="45">
        <f ca="1">ILP_C_HighResilience!$C$9*U141+ILP_C_HighResilience!$C$10*V141+ILP_C_HighResilience!$C$11*W141+ILP_C_HighResilience!$C$12*X141+ILP_C_HighResilience!$C$13*Y141</f>
        <v>17979.51223498386</v>
      </c>
      <c r="AA141" s="45">
        <f ca="1">ILP_C_HighResilience!$D$9*U141+ILP_C_HighResilience!$D$10*V141+ILP_C_HighResilience!$D$11*W141+ILP_C_HighResilience!$D$12*X141+ILP_C_HighResilience!$D$13*Y141</f>
        <v>15012.532438347509</v>
      </c>
      <c r="AB141" s="45">
        <f ca="1">ILP_C_HighResilience!$E$9*U141+ILP_C_HighResilience!$E$10*V141+ILP_C_HighResilience!$E$11*W141+ILP_C_HighResilience!$E$12*X141+ILP_C_HighResilience!$E$13*Y141</f>
        <v>12003.711583490938</v>
      </c>
      <c r="AC141" s="45">
        <f ca="1">Inputs!$B$6*$C141</f>
        <v>16200</v>
      </c>
      <c r="AD141" s="45">
        <f ca="1">Inputs!$B$7*$C141</f>
        <v>13500</v>
      </c>
      <c r="AE141" s="45">
        <f ca="1">Inputs!$B$8*$C141</f>
        <v>10800</v>
      </c>
      <c r="AF141" s="45">
        <f t="shared" ca="1" si="103"/>
        <v>0</v>
      </c>
      <c r="AG141" s="45">
        <f t="shared" ca="1" si="104"/>
        <v>0</v>
      </c>
      <c r="AH141" s="45">
        <f t="shared" ca="1" si="105"/>
        <v>0</v>
      </c>
      <c r="AI141" s="45">
        <f t="shared" ca="1" si="106"/>
        <v>0</v>
      </c>
      <c r="AJ141" s="45">
        <f ca="1">U141*(Inputs!$B$12-ILP_C_HighResilience!$F$9)+V141*(Inputs!$B$13-ILP_C_HighResilience!$F$10)+W141*(Inputs!$B$14-ILP_C_HighResilience!$F$11)+X141*(Inputs!$B$15-ILP_C_HighResilience!$F$12)+Y141*(Inputs!$B$16-ILP_C_HighResilience!$F$13)</f>
        <v>24997.130994850166</v>
      </c>
      <c r="AK141" s="45">
        <f t="shared" ca="1" si="107"/>
        <v>0</v>
      </c>
      <c r="AL141" s="45">
        <f t="shared" ca="1" si="108"/>
        <v>0</v>
      </c>
      <c r="AM141" s="45">
        <f t="shared" ca="1" si="109"/>
        <v>0</v>
      </c>
      <c r="AN141" s="45">
        <f t="shared" ca="1" si="110"/>
        <v>0</v>
      </c>
      <c r="AO141" s="45">
        <f ca="1">MIN(AL141,Inputs!$B$36)</f>
        <v>0</v>
      </c>
      <c r="AP141" s="45">
        <f ca="1">MIN(AN141,Inputs!$B$36-AO141)</f>
        <v>0</v>
      </c>
      <c r="AQ141" s="45">
        <f ca="1">MIN(AM141,Inputs!$B$36-AO141-AP141)</f>
        <v>0</v>
      </c>
      <c r="AR141" s="45">
        <f t="shared" ca="1" si="111"/>
        <v>0</v>
      </c>
      <c r="AS141" s="45">
        <f t="shared" ca="1" si="112"/>
        <v>0</v>
      </c>
      <c r="AT141" s="45">
        <f t="shared" ca="1" si="113"/>
        <v>0</v>
      </c>
      <c r="AU141" s="45">
        <f t="shared" ca="1" si="114"/>
        <v>0</v>
      </c>
      <c r="AV141" s="46">
        <f ca="1">AU141*Inputs!$B$35</f>
        <v>0</v>
      </c>
      <c r="AW141" s="46">
        <f ca="1">AR141*Inputs!$C$6+AT141*Inputs!$C$7+AS141*Inputs!$C$8</f>
        <v>0</v>
      </c>
      <c r="AX141" s="46">
        <f t="shared" ca="1" si="115"/>
        <v>47628371.513587065</v>
      </c>
      <c r="AY141" s="46">
        <f ca="1">IF(J141&gt;1,($CD$4)*Inputs!$B$55*((Z141+AA141+AB141)/(SUM(ILP_C_HighResilience!$C$9:$E$13))),0)</f>
        <v>0</v>
      </c>
      <c r="AZ141" s="46">
        <f t="shared" ca="1" si="116"/>
        <v>0</v>
      </c>
      <c r="BA141" s="41">
        <f t="shared" ca="1" si="117"/>
        <v>0</v>
      </c>
      <c r="BB141" s="41">
        <f t="shared" ca="1" si="118"/>
        <v>1</v>
      </c>
      <c r="BC141" s="41">
        <f t="shared" ca="1" si="119"/>
        <v>1</v>
      </c>
      <c r="BD141" s="41">
        <f t="shared" ca="1" si="120"/>
        <v>1</v>
      </c>
    </row>
    <row r="142" spans="1:56" ht="15" customHeight="1" x14ac:dyDescent="0.3">
      <c r="A142" s="41">
        <v>135</v>
      </c>
      <c r="B142" s="42">
        <f t="shared" ca="1" si="102"/>
        <v>7.6061991854389555E-2</v>
      </c>
      <c r="C142" s="43">
        <f ca="1">IF(B142&lt;=Inputs!$C$40,Inputs!$D$40,IF(B142&lt;=Inputs!$C$41,Inputs!$D$41,Inputs!$D$42))</f>
        <v>0.9</v>
      </c>
      <c r="D142" s="42">
        <f t="shared" ca="1" si="121"/>
        <v>0.27609070544649839</v>
      </c>
      <c r="E142" s="42">
        <f t="shared" ca="1" si="121"/>
        <v>0.51745889162163139</v>
      </c>
      <c r="F142" s="42">
        <f t="shared" ca="1" si="121"/>
        <v>3.7674583059642108E-2</v>
      </c>
      <c r="G142" s="42">
        <f t="shared" ca="1" si="121"/>
        <v>1.8318976585543933E-2</v>
      </c>
      <c r="H142" s="42">
        <f t="shared" ca="1" si="121"/>
        <v>0.45025868739744901</v>
      </c>
      <c r="I142" s="42">
        <f t="shared" ca="1" si="121"/>
        <v>0.16348720400244099</v>
      </c>
      <c r="J142" s="43">
        <f ca="1">IF(I142&lt;Inputs!$B$54,1+Inputs!$B$55,1)</f>
        <v>1</v>
      </c>
      <c r="K142" s="42">
        <f t="shared" ca="1" si="122"/>
        <v>0.80898773825950043</v>
      </c>
      <c r="L142" s="42">
        <f t="shared" ca="1" si="122"/>
        <v>0.80602251201104258</v>
      </c>
      <c r="M142" s="42">
        <f t="shared" ca="1" si="122"/>
        <v>0.79886804173714054</v>
      </c>
      <c r="N142" s="42">
        <f t="shared" ca="1" si="122"/>
        <v>0.23022015365293058</v>
      </c>
      <c r="O142" s="42">
        <f t="shared" ca="1" si="122"/>
        <v>0.29652367352092213</v>
      </c>
      <c r="P142" s="42">
        <f t="shared" ca="1" si="122"/>
        <v>0.14692551799329145</v>
      </c>
      <c r="Q142" s="42">
        <f t="shared" ca="1" si="122"/>
        <v>0.91156533706403287</v>
      </c>
      <c r="R142" s="42">
        <f t="shared" ca="1" si="122"/>
        <v>0.7516511138758234</v>
      </c>
      <c r="S142" s="42">
        <f t="shared" ca="1" si="122"/>
        <v>0.64653008725554995</v>
      </c>
      <c r="T142" s="42">
        <f t="shared" ca="1" si="122"/>
        <v>0.10334287993534352</v>
      </c>
      <c r="U142" s="44">
        <f ca="1">(IF(D142&gt;=Inputs!$E$12,1,IF(K142&lt;=Inputs!$C$46,Inputs!$D$46,IF(K142&lt;=Inputs!$C$47,Inputs!$D$47,Inputs!$D$48))))*((Inputs!$B$28+(P142-0.5)*2*Inputs!$B$53)/Inputs!$B$28)</f>
        <v>0.99642637163960823</v>
      </c>
      <c r="V142" s="44">
        <f ca="1">(IF(E142&gt;=Inputs!$E$13,1,IF(L142&lt;=Inputs!$C$46,Inputs!$D$46,IF(L142&lt;=Inputs!$C$47,Inputs!$D$47,Inputs!$D$48))))*((Inputs!$B$29+(Q142-0.5)*2*Inputs!$B$53)/Inputs!$B$29)</f>
        <v>1.0041488441236295</v>
      </c>
      <c r="W142" s="44">
        <f ca="1">(IF(F142&gt;=Inputs!$E$14,1,IF(M142&lt;=Inputs!$C$46,Inputs!$D$46,IF(M142&lt;=Inputs!$C$47,Inputs!$D$47,Inputs!$D$48))))*((Inputs!$B$30+(R142-0.5)*2*Inputs!$B$53)/Inputs!$B$30)</f>
        <v>0.30075874707701256</v>
      </c>
      <c r="X142" s="44">
        <f ca="1">(IF(G142&gt;=Inputs!$E$15,1,IF(N142&lt;=Inputs!$C$46,Inputs!$D$46,IF(N142&lt;=Inputs!$C$47,Inputs!$D$47,Inputs!$D$48))))*((Inputs!$B$31+(S142-0.5)*2*Inputs!$B$53)/Inputs!$B$31)</f>
        <v>0.60089256905942456</v>
      </c>
      <c r="Y142" s="44">
        <f ca="1">(IF(H142&gt;=Inputs!$E$16,1,IF(O142&lt;=Inputs!$C$46,Inputs!$D$46,IF(O142&lt;=Inputs!$C$47,Inputs!$D$47,Inputs!$D$48))))*((Inputs!$B$32+(T142-0.5)*2*Inputs!$B$53)/Inputs!$B$32)</f>
        <v>0.99600948571363523</v>
      </c>
      <c r="Z142" s="45">
        <f ca="1">ILP_C_HighResilience!$C$9*U142+ILP_C_HighResilience!$C$10*V142+ILP_C_HighResilience!$C$11*W142+ILP_C_HighResilience!$C$12*X142+ILP_C_HighResilience!$C$13*Y142</f>
        <v>15115.632211878103</v>
      </c>
      <c r="AA142" s="45">
        <f ca="1">ILP_C_HighResilience!$D$9*U142+ILP_C_HighResilience!$D$10*V142+ILP_C_HighResilience!$D$11*W142+ILP_C_HighResilience!$D$12*X142+ILP_C_HighResilience!$D$13*Y142</f>
        <v>10118.340045993633</v>
      </c>
      <c r="AB142" s="45">
        <f ca="1">ILP_C_HighResilience!$E$9*U142+ILP_C_HighResilience!$E$10*V142+ILP_C_HighResilience!$E$11*W142+ILP_C_HighResilience!$E$12*X142+ILP_C_HighResilience!$E$13*Y142</f>
        <v>9964.4462989605036</v>
      </c>
      <c r="AC142" s="45">
        <f ca="1">Inputs!$B$6*$C142</f>
        <v>16200</v>
      </c>
      <c r="AD142" s="45">
        <f ca="1">Inputs!$B$7*$C142</f>
        <v>13500</v>
      </c>
      <c r="AE142" s="45">
        <f ca="1">Inputs!$B$8*$C142</f>
        <v>10800</v>
      </c>
      <c r="AF142" s="45">
        <f t="shared" ca="1" si="103"/>
        <v>1084.3677881218973</v>
      </c>
      <c r="AG142" s="45">
        <f t="shared" ca="1" si="104"/>
        <v>3381.6599540063671</v>
      </c>
      <c r="AH142" s="45">
        <f t="shared" ca="1" si="105"/>
        <v>835.55370103949645</v>
      </c>
      <c r="AI142" s="45">
        <f t="shared" ca="1" si="106"/>
        <v>5301.5814431677609</v>
      </c>
      <c r="AJ142" s="45">
        <f ca="1">U142*(Inputs!$B$12-ILP_C_HighResilience!$F$9)+V142*(Inputs!$B$13-ILP_C_HighResilience!$F$10)+W142*(Inputs!$B$14-ILP_C_HighResilience!$F$11)+X142*(Inputs!$B$15-ILP_C_HighResilience!$F$12)+Y142*(Inputs!$B$16-ILP_C_HighResilience!$F$13)</f>
        <v>20863.20403355109</v>
      </c>
      <c r="AK142" s="45">
        <f t="shared" ca="1" si="107"/>
        <v>5301.5814431677609</v>
      </c>
      <c r="AL142" s="45">
        <f t="shared" ca="1" si="108"/>
        <v>0</v>
      </c>
      <c r="AM142" s="45">
        <f t="shared" ca="1" si="109"/>
        <v>0</v>
      </c>
      <c r="AN142" s="45">
        <f t="shared" ca="1" si="110"/>
        <v>0</v>
      </c>
      <c r="AO142" s="45">
        <f ca="1">MIN(AL142,Inputs!$B$36)</f>
        <v>0</v>
      </c>
      <c r="AP142" s="45">
        <f ca="1">MIN(AN142,Inputs!$B$36-AO142)</f>
        <v>0</v>
      </c>
      <c r="AQ142" s="45">
        <f ca="1">MIN(AM142,Inputs!$B$36-AO142-AP142)</f>
        <v>0</v>
      </c>
      <c r="AR142" s="45">
        <f t="shared" ca="1" si="111"/>
        <v>0</v>
      </c>
      <c r="AS142" s="45">
        <f t="shared" ca="1" si="112"/>
        <v>0</v>
      </c>
      <c r="AT142" s="45">
        <f t="shared" ca="1" si="113"/>
        <v>0</v>
      </c>
      <c r="AU142" s="45">
        <f t="shared" ca="1" si="114"/>
        <v>0</v>
      </c>
      <c r="AV142" s="46">
        <f ca="1">AU142*Inputs!$B$35</f>
        <v>0</v>
      </c>
      <c r="AW142" s="46">
        <f ca="1">AR142*Inputs!$C$6+AT142*Inputs!$C$7+AS142*Inputs!$C$8</f>
        <v>0</v>
      </c>
      <c r="AX142" s="46">
        <f t="shared" ca="1" si="115"/>
        <v>37270713.323850773</v>
      </c>
      <c r="AY142" s="46">
        <f ca="1">IF(J142&gt;1,($CD$4)*Inputs!$B$55*((Z142+AA142+AB142)/(SUM(ILP_C_HighResilience!$C$9:$E$13))),0)</f>
        <v>0</v>
      </c>
      <c r="AZ142" s="46">
        <f t="shared" ca="1" si="116"/>
        <v>0</v>
      </c>
      <c r="BA142" s="41">
        <f t="shared" ca="1" si="117"/>
        <v>0</v>
      </c>
      <c r="BB142" s="41">
        <f t="shared" ca="1" si="118"/>
        <v>1</v>
      </c>
      <c r="BC142" s="41">
        <f t="shared" ca="1" si="119"/>
        <v>1</v>
      </c>
      <c r="BD142" s="41">
        <f t="shared" ca="1" si="120"/>
        <v>1</v>
      </c>
    </row>
    <row r="143" spans="1:56" ht="15" customHeight="1" x14ac:dyDescent="0.3">
      <c r="A143" s="41">
        <v>136</v>
      </c>
      <c r="B143" s="42">
        <f t="shared" ca="1" si="102"/>
        <v>0.50134777723082813</v>
      </c>
      <c r="C143" s="43">
        <f ca="1">IF(B143&lt;=Inputs!$C$40,Inputs!$D$40,IF(B143&lt;=Inputs!$C$41,Inputs!$D$41,Inputs!$D$42))</f>
        <v>1</v>
      </c>
      <c r="D143" s="42">
        <f t="shared" ca="1" si="121"/>
        <v>0.83907076615773002</v>
      </c>
      <c r="E143" s="42">
        <f t="shared" ca="1" si="121"/>
        <v>1.9784953388771731E-3</v>
      </c>
      <c r="F143" s="42">
        <f t="shared" ca="1" si="121"/>
        <v>0.72446594126767372</v>
      </c>
      <c r="G143" s="42">
        <f t="shared" ca="1" si="121"/>
        <v>0.48599961140440884</v>
      </c>
      <c r="H143" s="42">
        <f t="shared" ca="1" si="121"/>
        <v>0.51170523517097988</v>
      </c>
      <c r="I143" s="42">
        <f t="shared" ca="1" si="121"/>
        <v>0.49488582001238013</v>
      </c>
      <c r="J143" s="43">
        <f ca="1">IF(I143&lt;Inputs!$B$54,1+Inputs!$B$55,1)</f>
        <v>1</v>
      </c>
      <c r="K143" s="42">
        <f t="shared" ca="1" si="122"/>
        <v>0.91627017217678086</v>
      </c>
      <c r="L143" s="42">
        <f t="shared" ca="1" si="122"/>
        <v>0.8839494050121246</v>
      </c>
      <c r="M143" s="42">
        <f t="shared" ca="1" si="122"/>
        <v>0.85755653977010282</v>
      </c>
      <c r="N143" s="42">
        <f t="shared" ca="1" si="122"/>
        <v>0.1255204719355888</v>
      </c>
      <c r="O143" s="42">
        <f t="shared" ca="1" si="122"/>
        <v>0.90350473029498846</v>
      </c>
      <c r="P143" s="42">
        <f t="shared" ca="1" si="122"/>
        <v>0.13219039756011541</v>
      </c>
      <c r="Q143" s="42">
        <f t="shared" ca="1" si="122"/>
        <v>0.75355928460281152</v>
      </c>
      <c r="R143" s="42">
        <f t="shared" ca="1" si="122"/>
        <v>0.21803065683120548</v>
      </c>
      <c r="S143" s="42">
        <f t="shared" ca="1" si="122"/>
        <v>0.8950752835267447</v>
      </c>
      <c r="T143" s="42">
        <f t="shared" ca="1" si="122"/>
        <v>0.35619572337703376</v>
      </c>
      <c r="U143" s="44">
        <f ca="1">(IF(D143&gt;=Inputs!$E$12,1,IF(K143&lt;=Inputs!$C$46,Inputs!$D$46,IF(K143&lt;=Inputs!$C$47,Inputs!$D$47,Inputs!$D$48))))*((Inputs!$B$28+(P143-0.5)*2*Inputs!$B$53)/Inputs!$B$28)</f>
        <v>0.99627723074453556</v>
      </c>
      <c r="V143" s="44">
        <f ca="1">(IF(E143&gt;=Inputs!$E$13,1,IF(L143&lt;=Inputs!$C$46,Inputs!$D$46,IF(L143&lt;=Inputs!$C$47,Inputs!$D$47,Inputs!$D$48))))*((Inputs!$B$29+(Q143-0.5)*2*Inputs!$B$53)/Inputs!$B$29)</f>
        <v>0</v>
      </c>
      <c r="W143" s="44">
        <f ca="1">(IF(F143&gt;=Inputs!$E$14,1,IF(M143&lt;=Inputs!$C$46,Inputs!$D$46,IF(M143&lt;=Inputs!$C$47,Inputs!$D$47,Inputs!$D$48))))*((Inputs!$B$30+(R143-0.5)*2*Inputs!$B$53)/Inputs!$B$30)</f>
        <v>0.99716613725458492</v>
      </c>
      <c r="X143" s="44">
        <f ca="1">(IF(G143&gt;=Inputs!$E$15,1,IF(N143&lt;=Inputs!$C$46,Inputs!$D$46,IF(N143&lt;=Inputs!$C$47,Inputs!$D$47,Inputs!$D$48))))*((Inputs!$B$31+(S143-0.5)*2*Inputs!$B$53)/Inputs!$B$31)</f>
        <v>1.0040109165840279</v>
      </c>
      <c r="Y143" s="44">
        <f ca="1">(IF(H143&gt;=Inputs!$E$16,1,IF(O143&lt;=Inputs!$C$46,Inputs!$D$46,IF(O143&lt;=Inputs!$C$47,Inputs!$D$47,Inputs!$D$48))))*((Inputs!$B$32+(T143-0.5)*2*Inputs!$B$53)/Inputs!$B$32)</f>
        <v>0.99855327689514128</v>
      </c>
      <c r="Z143" s="45">
        <f ca="1">ILP_C_HighResilience!$C$9*U143+ILP_C_HighResilience!$C$10*V143+ILP_C_HighResilience!$C$11*W143+ILP_C_HighResilience!$C$12*X143+ILP_C_HighResilience!$C$13*Y143</f>
        <v>14402.074660765657</v>
      </c>
      <c r="AA143" s="45">
        <f ca="1">ILP_C_HighResilience!$D$9*U143+ILP_C_HighResilience!$D$10*V143+ILP_C_HighResilience!$D$11*W143+ILP_C_HighResilience!$D$12*X143+ILP_C_HighResilience!$D$13*Y143</f>
        <v>9006.1181157932915</v>
      </c>
      <c r="AB143" s="45">
        <f ca="1">ILP_C_HighResilience!$E$9*U143+ILP_C_HighResilience!$E$10*V143+ILP_C_HighResilience!$E$11*W143+ILP_C_HighResilience!$E$12*X143+ILP_C_HighResilience!$E$13*Y143</f>
        <v>7685.8784992591218</v>
      </c>
      <c r="AC143" s="45">
        <f ca="1">Inputs!$B$6*$C143</f>
        <v>18000</v>
      </c>
      <c r="AD143" s="45">
        <f ca="1">Inputs!$B$7*$C143</f>
        <v>15000</v>
      </c>
      <c r="AE143" s="45">
        <f ca="1">Inputs!$B$8*$C143</f>
        <v>12000</v>
      </c>
      <c r="AF143" s="45">
        <f t="shared" ca="1" si="103"/>
        <v>3597.9253392343435</v>
      </c>
      <c r="AG143" s="45">
        <f t="shared" ca="1" si="104"/>
        <v>5993.8818842067085</v>
      </c>
      <c r="AH143" s="45">
        <f t="shared" ca="1" si="105"/>
        <v>4314.1215007408782</v>
      </c>
      <c r="AI143" s="45">
        <f t="shared" ca="1" si="106"/>
        <v>13905.928724181929</v>
      </c>
      <c r="AJ143" s="45">
        <f ca="1">U143*(Inputs!$B$12-ILP_C_HighResilience!$F$9)+V143*(Inputs!$B$13-ILP_C_HighResilience!$F$10)+W143*(Inputs!$B$14-ILP_C_HighResilience!$F$11)+X143*(Inputs!$B$15-ILP_C_HighResilience!$F$12)+Y143*(Inputs!$B$16-ILP_C_HighResilience!$F$13)</f>
        <v>24835.954352839559</v>
      </c>
      <c r="AK143" s="45">
        <f t="shared" ca="1" si="107"/>
        <v>13905.928724181929</v>
      </c>
      <c r="AL143" s="45">
        <f t="shared" ca="1" si="108"/>
        <v>0</v>
      </c>
      <c r="AM143" s="45">
        <f t="shared" ca="1" si="109"/>
        <v>0</v>
      </c>
      <c r="AN143" s="45">
        <f t="shared" ca="1" si="110"/>
        <v>0</v>
      </c>
      <c r="AO143" s="45">
        <f ca="1">MIN(AL143,Inputs!$B$36)</f>
        <v>0</v>
      </c>
      <c r="AP143" s="45">
        <f ca="1">MIN(AN143,Inputs!$B$36-AO143)</f>
        <v>0</v>
      </c>
      <c r="AQ143" s="45">
        <f ca="1">MIN(AM143,Inputs!$B$36-AO143-AP143)</f>
        <v>0</v>
      </c>
      <c r="AR143" s="45">
        <f t="shared" ca="1" si="111"/>
        <v>0</v>
      </c>
      <c r="AS143" s="45">
        <f t="shared" ca="1" si="112"/>
        <v>0</v>
      </c>
      <c r="AT143" s="45">
        <f t="shared" ca="1" si="113"/>
        <v>0</v>
      </c>
      <c r="AU143" s="45">
        <f t="shared" ca="1" si="114"/>
        <v>0</v>
      </c>
      <c r="AV143" s="46">
        <f ca="1">AU143*Inputs!$B$35</f>
        <v>0</v>
      </c>
      <c r="AW143" s="46">
        <f ca="1">AR143*Inputs!$C$6+AT143*Inputs!$C$7+AS143*Inputs!$C$8</f>
        <v>0</v>
      </c>
      <c r="AX143" s="46">
        <f t="shared" ca="1" si="115"/>
        <v>32863643.895619158</v>
      </c>
      <c r="AY143" s="46">
        <f ca="1">IF(J143&gt;1,($CD$4)*Inputs!$B$55*((Z143+AA143+AB143)/(SUM(ILP_C_HighResilience!$C$9:$E$13))),0)</f>
        <v>0</v>
      </c>
      <c r="AZ143" s="46">
        <f t="shared" ca="1" si="116"/>
        <v>0</v>
      </c>
      <c r="BA143" s="41">
        <f t="shared" ca="1" si="117"/>
        <v>0</v>
      </c>
      <c r="BB143" s="41">
        <f t="shared" ca="1" si="118"/>
        <v>1</v>
      </c>
      <c r="BC143" s="41">
        <f t="shared" ca="1" si="119"/>
        <v>1</v>
      </c>
      <c r="BD143" s="41">
        <f t="shared" ca="1" si="120"/>
        <v>1</v>
      </c>
    </row>
    <row r="144" spans="1:56" ht="15" customHeight="1" x14ac:dyDescent="0.3">
      <c r="A144" s="41">
        <v>137</v>
      </c>
      <c r="B144" s="42">
        <f t="shared" ca="1" si="102"/>
        <v>0.38340813013263242</v>
      </c>
      <c r="C144" s="43">
        <f ca="1">IF(B144&lt;=Inputs!$C$40,Inputs!$D$40,IF(B144&lt;=Inputs!$C$41,Inputs!$D$41,Inputs!$D$42))</f>
        <v>1</v>
      </c>
      <c r="D144" s="42">
        <f t="shared" ca="1" si="121"/>
        <v>0.19426739592737075</v>
      </c>
      <c r="E144" s="42">
        <f t="shared" ca="1" si="121"/>
        <v>0.51386299880414532</v>
      </c>
      <c r="F144" s="42">
        <f t="shared" ca="1" si="121"/>
        <v>0.30492730930769563</v>
      </c>
      <c r="G144" s="42">
        <f t="shared" ca="1" si="121"/>
        <v>0.84517898604152941</v>
      </c>
      <c r="H144" s="42">
        <f t="shared" ca="1" si="121"/>
        <v>0.18368814570163194</v>
      </c>
      <c r="I144" s="42">
        <f t="shared" ca="1" si="121"/>
        <v>0.34751679890223264</v>
      </c>
      <c r="J144" s="43">
        <f ca="1">IF(I144&lt;Inputs!$B$54,1+Inputs!$B$55,1)</f>
        <v>1</v>
      </c>
      <c r="K144" s="42">
        <f t="shared" ca="1" si="122"/>
        <v>0.25463624383441397</v>
      </c>
      <c r="L144" s="42">
        <f t="shared" ca="1" si="122"/>
        <v>0.12300993547771988</v>
      </c>
      <c r="M144" s="42">
        <f t="shared" ca="1" si="122"/>
        <v>0.48209650423248307</v>
      </c>
      <c r="N144" s="42">
        <f t="shared" ca="1" si="122"/>
        <v>0.49788264529330084</v>
      </c>
      <c r="O144" s="42">
        <f t="shared" ca="1" si="122"/>
        <v>0.41147953536134863</v>
      </c>
      <c r="P144" s="42">
        <f t="shared" ca="1" si="122"/>
        <v>0.22518115865986654</v>
      </c>
      <c r="Q144" s="42">
        <f t="shared" ca="1" si="122"/>
        <v>0.67968988347870551</v>
      </c>
      <c r="R144" s="42">
        <f t="shared" ca="1" si="122"/>
        <v>0.60526529959813424</v>
      </c>
      <c r="S144" s="42">
        <f t="shared" ca="1" si="122"/>
        <v>0.88398657617323184</v>
      </c>
      <c r="T144" s="42">
        <f t="shared" ca="1" si="122"/>
        <v>0.27018652527900056</v>
      </c>
      <c r="U144" s="44">
        <f ca="1">(IF(D144&gt;=Inputs!$E$12,1,IF(K144&lt;=Inputs!$C$46,Inputs!$D$46,IF(K144&lt;=Inputs!$C$47,Inputs!$D$47,Inputs!$D$48))))*((Inputs!$B$28+(P144-0.5)*2*Inputs!$B$53)/Inputs!$B$28)</f>
        <v>0.99721843277995825</v>
      </c>
      <c r="V144" s="44">
        <f ca="1">(IF(E144&gt;=Inputs!$E$13,1,IF(L144&lt;=Inputs!$C$46,Inputs!$D$46,IF(L144&lt;=Inputs!$C$47,Inputs!$D$47,Inputs!$D$48))))*((Inputs!$B$29+(Q144-0.5)*2*Inputs!$B$53)/Inputs!$B$29)</f>
        <v>1.0018113899544225</v>
      </c>
      <c r="W144" s="44">
        <f ca="1">(IF(F144&gt;=Inputs!$E$14,1,IF(M144&lt;=Inputs!$C$46,Inputs!$D$46,IF(M144&lt;=Inputs!$C$47,Inputs!$D$47,Inputs!$D$48))))*((Inputs!$B$30+(R144-0.5)*2*Inputs!$B$53)/Inputs!$B$30)</f>
        <v>1.001057942709529</v>
      </c>
      <c r="X144" s="44">
        <f ca="1">(IF(G144&gt;=Inputs!$E$15,1,IF(N144&lt;=Inputs!$C$46,Inputs!$D$46,IF(N144&lt;=Inputs!$C$47,Inputs!$D$47,Inputs!$D$48))))*((Inputs!$B$31+(S144-0.5)*2*Inputs!$B$53)/Inputs!$B$31)</f>
        <v>1.0038983408748552</v>
      </c>
      <c r="Y144" s="44">
        <f ca="1">(IF(H144&gt;=Inputs!$E$16,1,IF(O144&lt;=Inputs!$C$46,Inputs!$D$46,IF(O144&lt;=Inputs!$C$47,Inputs!$D$47,Inputs!$D$48))))*((Inputs!$B$32+(T144-0.5)*2*Inputs!$B$53)/Inputs!$B$32)</f>
        <v>0.99768799321206236</v>
      </c>
      <c r="Z144" s="45">
        <f ca="1">ILP_C_HighResilience!$C$9*U144+ILP_C_HighResilience!$C$10*V144+ILP_C_HighResilience!$C$11*W144+ILP_C_HighResilience!$C$12*X144+ILP_C_HighResilience!$C$13*Y144</f>
        <v>18014.561774150578</v>
      </c>
      <c r="AA144" s="45">
        <f ca="1">ILP_C_HighResilience!$D$9*U144+ILP_C_HighResilience!$D$10*V144+ILP_C_HighResilience!$D$11*W144+ILP_C_HighResilience!$D$12*X144+ILP_C_HighResilience!$D$13*Y144</f>
        <v>15033.512463636103</v>
      </c>
      <c r="AB144" s="45">
        <f ca="1">ILP_C_HighResilience!$E$9*U144+ILP_C_HighResilience!$E$10*V144+ILP_C_HighResilience!$E$11*W144+ILP_C_HighResilience!$E$12*X144+ILP_C_HighResilience!$E$13*Y144</f>
        <v>11997.496446638514</v>
      </c>
      <c r="AC144" s="45">
        <f ca="1">Inputs!$B$6*$C144</f>
        <v>18000</v>
      </c>
      <c r="AD144" s="45">
        <f ca="1">Inputs!$B$7*$C144</f>
        <v>15000</v>
      </c>
      <c r="AE144" s="45">
        <f ca="1">Inputs!$B$8*$C144</f>
        <v>12000</v>
      </c>
      <c r="AF144" s="45">
        <f t="shared" ca="1" si="103"/>
        <v>0</v>
      </c>
      <c r="AG144" s="45">
        <f t="shared" ca="1" si="104"/>
        <v>0</v>
      </c>
      <c r="AH144" s="45">
        <f t="shared" ca="1" si="105"/>
        <v>2.5035533614864107</v>
      </c>
      <c r="AI144" s="45">
        <f t="shared" ca="1" si="106"/>
        <v>2.5035533614864107</v>
      </c>
      <c r="AJ144" s="45">
        <f ca="1">U144*(Inputs!$B$12-ILP_C_HighResilience!$F$9)+V144*(Inputs!$B$13-ILP_C_HighResilience!$F$10)+W144*(Inputs!$B$14-ILP_C_HighResilience!$F$11)+X144*(Inputs!$B$15-ILP_C_HighResilience!$F$12)+Y144*(Inputs!$B$16-ILP_C_HighResilience!$F$13)</f>
        <v>24961.136943319128</v>
      </c>
      <c r="AK144" s="45">
        <f t="shared" ca="1" si="107"/>
        <v>2.5035533614864107</v>
      </c>
      <c r="AL144" s="45">
        <f t="shared" ca="1" si="108"/>
        <v>0</v>
      </c>
      <c r="AM144" s="45">
        <f t="shared" ca="1" si="109"/>
        <v>0</v>
      </c>
      <c r="AN144" s="45">
        <f t="shared" ca="1" si="110"/>
        <v>0</v>
      </c>
      <c r="AO144" s="45">
        <f ca="1">MIN(AL144,Inputs!$B$36)</f>
        <v>0</v>
      </c>
      <c r="AP144" s="45">
        <f ca="1">MIN(AN144,Inputs!$B$36-AO144)</f>
        <v>0</v>
      </c>
      <c r="AQ144" s="45">
        <f ca="1">MIN(AM144,Inputs!$B$36-AO144-AP144)</f>
        <v>0</v>
      </c>
      <c r="AR144" s="45">
        <f t="shared" ca="1" si="111"/>
        <v>0</v>
      </c>
      <c r="AS144" s="45">
        <f t="shared" ca="1" si="112"/>
        <v>0</v>
      </c>
      <c r="AT144" s="45">
        <f t="shared" ca="1" si="113"/>
        <v>0</v>
      </c>
      <c r="AU144" s="45">
        <f t="shared" ca="1" si="114"/>
        <v>0</v>
      </c>
      <c r="AV144" s="46">
        <f ca="1">AU144*Inputs!$B$35</f>
        <v>0</v>
      </c>
      <c r="AW144" s="46">
        <f ca="1">AR144*Inputs!$C$6+AT144*Inputs!$C$7+AS144*Inputs!$C$8</f>
        <v>0</v>
      </c>
      <c r="AX144" s="46">
        <f t="shared" ca="1" si="115"/>
        <v>47680070.615858614</v>
      </c>
      <c r="AY144" s="46">
        <f ca="1">IF(J144&gt;1,($CD$4)*Inputs!$B$55*((Z144+AA144+AB144)/(SUM(ILP_C_HighResilience!$C$9:$E$13))),0)</f>
        <v>0</v>
      </c>
      <c r="AZ144" s="46">
        <f t="shared" ca="1" si="116"/>
        <v>0</v>
      </c>
      <c r="BA144" s="41">
        <f t="shared" ca="1" si="117"/>
        <v>0</v>
      </c>
      <c r="BB144" s="41">
        <f t="shared" ca="1" si="118"/>
        <v>1</v>
      </c>
      <c r="BC144" s="41">
        <f t="shared" ca="1" si="119"/>
        <v>1</v>
      </c>
      <c r="BD144" s="41">
        <f t="shared" ca="1" si="120"/>
        <v>1</v>
      </c>
    </row>
    <row r="145" spans="1:56" ht="15" customHeight="1" x14ac:dyDescent="0.3">
      <c r="A145" s="41">
        <v>138</v>
      </c>
      <c r="B145" s="42">
        <f t="shared" ca="1" si="102"/>
        <v>0.52716407751729266</v>
      </c>
      <c r="C145" s="43">
        <f ca="1">IF(B145&lt;=Inputs!$C$40,Inputs!$D$40,IF(B145&lt;=Inputs!$C$41,Inputs!$D$41,Inputs!$D$42))</f>
        <v>1</v>
      </c>
      <c r="D145" s="42">
        <f t="shared" ca="1" si="121"/>
        <v>0.97132961503285087</v>
      </c>
      <c r="E145" s="42">
        <f t="shared" ca="1" si="121"/>
        <v>0.97653244870611289</v>
      </c>
      <c r="F145" s="42">
        <f t="shared" ca="1" si="121"/>
        <v>0.39852348137402893</v>
      </c>
      <c r="G145" s="42">
        <f t="shared" ca="1" si="121"/>
        <v>0.45877771665659794</v>
      </c>
      <c r="H145" s="42">
        <f t="shared" ca="1" si="121"/>
        <v>0.33914282392833917</v>
      </c>
      <c r="I145" s="42">
        <f t="shared" ca="1" si="121"/>
        <v>0.58704178973717036</v>
      </c>
      <c r="J145" s="43">
        <f ca="1">IF(I145&lt;Inputs!$B$54,1+Inputs!$B$55,1)</f>
        <v>1</v>
      </c>
      <c r="K145" s="42">
        <f t="shared" ca="1" si="122"/>
        <v>0.34638462993342611</v>
      </c>
      <c r="L145" s="42">
        <f t="shared" ca="1" si="122"/>
        <v>0.15104208483525539</v>
      </c>
      <c r="M145" s="42">
        <f t="shared" ca="1" si="122"/>
        <v>1.6341024578143348E-2</v>
      </c>
      <c r="N145" s="42">
        <f t="shared" ca="1" si="122"/>
        <v>0.3204076844763698</v>
      </c>
      <c r="O145" s="42">
        <f t="shared" ca="1" si="122"/>
        <v>7.132495196739308E-3</v>
      </c>
      <c r="P145" s="42">
        <f t="shared" ca="1" si="122"/>
        <v>0.41342684930533735</v>
      </c>
      <c r="Q145" s="42">
        <f t="shared" ca="1" si="122"/>
        <v>0.14559768282190788</v>
      </c>
      <c r="R145" s="42">
        <f t="shared" ca="1" si="122"/>
        <v>0.57444497628376989</v>
      </c>
      <c r="S145" s="42">
        <f t="shared" ca="1" si="122"/>
        <v>0.8675623810856431</v>
      </c>
      <c r="T145" s="42">
        <f t="shared" ca="1" si="122"/>
        <v>0.16655777116622306</v>
      </c>
      <c r="U145" s="44">
        <f ca="1">(IF(D145&gt;=Inputs!$E$12,1,IF(K145&lt;=Inputs!$C$46,Inputs!$D$46,IF(K145&lt;=Inputs!$C$47,Inputs!$D$47,Inputs!$D$48))))*((Inputs!$B$28+(P145-0.5)*2*Inputs!$B$53)/Inputs!$B$28)</f>
        <v>0.99912375353547922</v>
      </c>
      <c r="V145" s="44">
        <f ca="1">(IF(E145&gt;=Inputs!$E$13,1,IF(L145&lt;=Inputs!$C$46,Inputs!$D$46,IF(L145&lt;=Inputs!$C$47,Inputs!$D$47,Inputs!$D$48))))*((Inputs!$B$29+(Q145-0.5)*2*Inputs!$B$53)/Inputs!$B$29)</f>
        <v>0.99642739599618857</v>
      </c>
      <c r="W145" s="44">
        <f ca="1">(IF(F145&gt;=Inputs!$E$14,1,IF(M145&lt;=Inputs!$C$46,Inputs!$D$46,IF(M145&lt;=Inputs!$C$47,Inputs!$D$47,Inputs!$D$48))))*((Inputs!$B$30+(R145-0.5)*2*Inputs!$B$53)/Inputs!$B$30)</f>
        <v>1.0007481907164197</v>
      </c>
      <c r="X145" s="44">
        <f ca="1">(IF(G145&gt;=Inputs!$E$15,1,IF(N145&lt;=Inputs!$C$46,Inputs!$D$46,IF(N145&lt;=Inputs!$C$47,Inputs!$D$47,Inputs!$D$48))))*((Inputs!$B$31+(S145-0.5)*2*Inputs!$B$53)/Inputs!$B$31)</f>
        <v>1.0037315977775192</v>
      </c>
      <c r="Y145" s="44">
        <f ca="1">(IF(H145&gt;=Inputs!$E$16,1,IF(O145&lt;=Inputs!$C$46,Inputs!$D$46,IF(O145&lt;=Inputs!$C$47,Inputs!$D$47,Inputs!$D$48))))*((Inputs!$B$32+(T145-0.5)*2*Inputs!$B$53)/Inputs!$B$32)</f>
        <v>0.99664545041414709</v>
      </c>
      <c r="Z145" s="45">
        <f ca="1">ILP_C_HighResilience!$C$9*U145+ILP_C_HighResilience!$C$10*V145+ILP_C_HighResilience!$C$11*W145+ILP_C_HighResilience!$C$12*X145+ILP_C_HighResilience!$C$13*Y145</f>
        <v>18007.697155039867</v>
      </c>
      <c r="AA145" s="45">
        <f ca="1">ILP_C_HighResilience!$D$9*U145+ILP_C_HighResilience!$D$10*V145+ILP_C_HighResilience!$D$11*W145+ILP_C_HighResilience!$D$12*X145+ILP_C_HighResilience!$D$13*Y145</f>
        <v>14999.081433047188</v>
      </c>
      <c r="AB145" s="45">
        <f ca="1">ILP_C_HighResilience!$E$9*U145+ILP_C_HighResilience!$E$10*V145+ILP_C_HighResilience!$E$11*W145+ILP_C_HighResilience!$E$12*X145+ILP_C_HighResilience!$E$13*Y145</f>
        <v>11982.65342236817</v>
      </c>
      <c r="AC145" s="45">
        <f ca="1">Inputs!$B$6*$C145</f>
        <v>18000</v>
      </c>
      <c r="AD145" s="45">
        <f ca="1">Inputs!$B$7*$C145</f>
        <v>15000</v>
      </c>
      <c r="AE145" s="45">
        <f ca="1">Inputs!$B$8*$C145</f>
        <v>12000</v>
      </c>
      <c r="AF145" s="45">
        <f t="shared" ca="1" si="103"/>
        <v>0</v>
      </c>
      <c r="AG145" s="45">
        <f t="shared" ca="1" si="104"/>
        <v>0.91856695281239809</v>
      </c>
      <c r="AH145" s="45">
        <f t="shared" ca="1" si="105"/>
        <v>17.346577631829859</v>
      </c>
      <c r="AI145" s="45">
        <f t="shared" ca="1" si="106"/>
        <v>18.265144584642258</v>
      </c>
      <c r="AJ145" s="45">
        <f ca="1">U145*(Inputs!$B$12-ILP_C_HighResilience!$F$9)+V145*(Inputs!$B$13-ILP_C_HighResilience!$F$10)+W145*(Inputs!$B$14-ILP_C_HighResilience!$F$11)+X145*(Inputs!$B$15-ILP_C_HighResilience!$F$12)+Y145*(Inputs!$B$16-ILP_C_HighResilience!$F$13)</f>
        <v>24950.718998914974</v>
      </c>
      <c r="AK145" s="45">
        <f t="shared" ca="1" si="107"/>
        <v>18.265144584642258</v>
      </c>
      <c r="AL145" s="45">
        <f t="shared" ca="1" si="108"/>
        <v>0</v>
      </c>
      <c r="AM145" s="45">
        <f t="shared" ca="1" si="109"/>
        <v>0</v>
      </c>
      <c r="AN145" s="45">
        <f t="shared" ca="1" si="110"/>
        <v>0</v>
      </c>
      <c r="AO145" s="45">
        <f ca="1">MIN(AL145,Inputs!$B$36)</f>
        <v>0</v>
      </c>
      <c r="AP145" s="45">
        <f ca="1">MIN(AN145,Inputs!$B$36-AO145)</f>
        <v>0</v>
      </c>
      <c r="AQ145" s="45">
        <f ca="1">MIN(AM145,Inputs!$B$36-AO145-AP145)</f>
        <v>0</v>
      </c>
      <c r="AR145" s="45">
        <f t="shared" ca="1" si="111"/>
        <v>0</v>
      </c>
      <c r="AS145" s="45">
        <f t="shared" ca="1" si="112"/>
        <v>0</v>
      </c>
      <c r="AT145" s="45">
        <f t="shared" ca="1" si="113"/>
        <v>0</v>
      </c>
      <c r="AU145" s="45">
        <f t="shared" ca="1" si="114"/>
        <v>0</v>
      </c>
      <c r="AV145" s="46">
        <f ca="1">AU145*Inputs!$B$35</f>
        <v>0</v>
      </c>
      <c r="AW145" s="46">
        <f ca="1">AR145*Inputs!$C$6+AT145*Inputs!$C$7+AS145*Inputs!$C$8</f>
        <v>0</v>
      </c>
      <c r="AX145" s="46">
        <f t="shared" ca="1" si="115"/>
        <v>47620471.980420299</v>
      </c>
      <c r="AY145" s="46">
        <f ca="1">IF(J145&gt;1,($CD$4)*Inputs!$B$55*((Z145+AA145+AB145)/(SUM(ILP_C_HighResilience!$C$9:$E$13))),0)</f>
        <v>0</v>
      </c>
      <c r="AZ145" s="46">
        <f t="shared" ca="1" si="116"/>
        <v>0</v>
      </c>
      <c r="BA145" s="41">
        <f t="shared" ca="1" si="117"/>
        <v>0</v>
      </c>
      <c r="BB145" s="41">
        <f t="shared" ca="1" si="118"/>
        <v>1</v>
      </c>
      <c r="BC145" s="41">
        <f t="shared" ca="1" si="119"/>
        <v>1</v>
      </c>
      <c r="BD145" s="41">
        <f t="shared" ca="1" si="120"/>
        <v>1</v>
      </c>
    </row>
    <row r="146" spans="1:56" ht="15" customHeight="1" x14ac:dyDescent="0.3">
      <c r="A146" s="41">
        <v>139</v>
      </c>
      <c r="B146" s="42">
        <f t="shared" ca="1" si="102"/>
        <v>0.80197501777613045</v>
      </c>
      <c r="C146" s="43">
        <f ca="1">IF(B146&lt;=Inputs!$C$40,Inputs!$D$40,IF(B146&lt;=Inputs!$C$41,Inputs!$D$41,Inputs!$D$42))</f>
        <v>1.1499999999999999</v>
      </c>
      <c r="D146" s="42">
        <f t="shared" ca="1" si="121"/>
        <v>0.35025791349330671</v>
      </c>
      <c r="E146" s="42">
        <f t="shared" ca="1" si="121"/>
        <v>0.39580959364953561</v>
      </c>
      <c r="F146" s="42">
        <f t="shared" ca="1" si="121"/>
        <v>0.32518447772755321</v>
      </c>
      <c r="G146" s="42">
        <f t="shared" ca="1" si="121"/>
        <v>0.3592873141770988</v>
      </c>
      <c r="H146" s="42">
        <f t="shared" ca="1" si="121"/>
        <v>0.81429511529885368</v>
      </c>
      <c r="I146" s="42">
        <f t="shared" ca="1" si="121"/>
        <v>0.25064580325022601</v>
      </c>
      <c r="J146" s="43">
        <f ca="1">IF(I146&lt;Inputs!$B$54,1+Inputs!$B$55,1)</f>
        <v>1</v>
      </c>
      <c r="K146" s="42">
        <f t="shared" ca="1" si="122"/>
        <v>0.63998862983128368</v>
      </c>
      <c r="L146" s="42">
        <f t="shared" ca="1" si="122"/>
        <v>0.95300340296154995</v>
      </c>
      <c r="M146" s="42">
        <f t="shared" ca="1" si="122"/>
        <v>1.6649797089159923E-3</v>
      </c>
      <c r="N146" s="42">
        <f t="shared" ca="1" si="122"/>
        <v>3.0577370998210895E-2</v>
      </c>
      <c r="O146" s="42">
        <f t="shared" ca="1" si="122"/>
        <v>0.31519040022179801</v>
      </c>
      <c r="P146" s="42">
        <f t="shared" ca="1" si="122"/>
        <v>0.49600962419700889</v>
      </c>
      <c r="Q146" s="42">
        <f t="shared" ca="1" si="122"/>
        <v>0.80893023880489956</v>
      </c>
      <c r="R146" s="42">
        <f t="shared" ca="1" si="122"/>
        <v>0.93390360407998974</v>
      </c>
      <c r="S146" s="42">
        <f t="shared" ca="1" si="122"/>
        <v>0.14543007952613041</v>
      </c>
      <c r="T146" s="42">
        <f t="shared" ca="1" si="122"/>
        <v>0.46746006367446447</v>
      </c>
      <c r="U146" s="44">
        <f ca="1">(IF(D146&gt;=Inputs!$E$12,1,IF(K146&lt;=Inputs!$C$46,Inputs!$D$46,IF(K146&lt;=Inputs!$C$47,Inputs!$D$47,Inputs!$D$48))))*((Inputs!$B$28+(P146-0.5)*2*Inputs!$B$53)/Inputs!$B$28)</f>
        <v>0.99995961158094138</v>
      </c>
      <c r="V146" s="44">
        <f ca="1">(IF(E146&gt;=Inputs!$E$13,1,IF(L146&lt;=Inputs!$C$46,Inputs!$D$46,IF(L146&lt;=Inputs!$C$47,Inputs!$D$47,Inputs!$D$48))))*((Inputs!$B$29+(Q146-0.5)*2*Inputs!$B$53)/Inputs!$B$29)</f>
        <v>1.0031142161169848</v>
      </c>
      <c r="W146" s="44">
        <f ca="1">(IF(F146&gt;=Inputs!$E$14,1,IF(M146&lt;=Inputs!$C$46,Inputs!$D$46,IF(M146&lt;=Inputs!$C$47,Inputs!$D$47,Inputs!$D$48))))*((Inputs!$B$30+(R146-0.5)*2*Inputs!$B$53)/Inputs!$B$30)</f>
        <v>1.0043608402420099</v>
      </c>
      <c r="X146" s="44">
        <f ca="1">(IF(G146&gt;=Inputs!$E$15,1,IF(N146&lt;=Inputs!$C$46,Inputs!$D$46,IF(N146&lt;=Inputs!$C$47,Inputs!$D$47,Inputs!$D$48))))*((Inputs!$B$31+(S146-0.5)*2*Inputs!$B$53)/Inputs!$B$31)</f>
        <v>0.99640030537589985</v>
      </c>
      <c r="Y146" s="44">
        <f ca="1">(IF(H146&gt;=Inputs!$E$16,1,IF(O146&lt;=Inputs!$C$46,Inputs!$D$46,IF(O146&lt;=Inputs!$C$47,Inputs!$D$47,Inputs!$D$48))))*((Inputs!$B$32+(T146-0.5)*2*Inputs!$B$53)/Inputs!$B$32)</f>
        <v>0.99967263645547744</v>
      </c>
      <c r="Z146" s="45">
        <f ca="1">ILP_C_HighResilience!$C$9*U146+ILP_C_HighResilience!$C$10*V146+ILP_C_HighResilience!$C$11*W146+ILP_C_HighResilience!$C$12*X146+ILP_C_HighResilience!$C$13*Y146</f>
        <v>17985.002580110402</v>
      </c>
      <c r="AA146" s="45">
        <f ca="1">ILP_C_HighResilience!$D$9*U146+ILP_C_HighResilience!$D$10*V146+ILP_C_HighResilience!$D$11*W146+ILP_C_HighResilience!$D$12*X146+ILP_C_HighResilience!$D$13*Y146</f>
        <v>15021.155187798569</v>
      </c>
      <c r="AB146" s="45">
        <f ca="1">ILP_C_HighResilience!$E$9*U146+ILP_C_HighResilience!$E$10*V146+ILP_C_HighResilience!$E$11*W146+ILP_C_HighResilience!$E$12*X146+ILP_C_HighResilience!$E$13*Y146</f>
        <v>12025.858661082882</v>
      </c>
      <c r="AC146" s="45">
        <f ca="1">Inputs!$B$6*$C146</f>
        <v>20700</v>
      </c>
      <c r="AD146" s="45">
        <f ca="1">Inputs!$B$7*$C146</f>
        <v>17250</v>
      </c>
      <c r="AE146" s="45">
        <f ca="1">Inputs!$B$8*$C146</f>
        <v>13799.999999999998</v>
      </c>
      <c r="AF146" s="45">
        <f t="shared" ca="1" si="103"/>
        <v>2714.9974198895979</v>
      </c>
      <c r="AG146" s="45">
        <f t="shared" ca="1" si="104"/>
        <v>2228.8448122014306</v>
      </c>
      <c r="AH146" s="45">
        <f t="shared" ca="1" si="105"/>
        <v>1774.1413389171157</v>
      </c>
      <c r="AI146" s="45">
        <f t="shared" ca="1" si="106"/>
        <v>6717.9835710081443</v>
      </c>
      <c r="AJ146" s="45">
        <f ca="1">U146*(Inputs!$B$12-ILP_C_HighResilience!$F$9)+V146*(Inputs!$B$13-ILP_C_HighResilience!$F$10)+W146*(Inputs!$B$14-ILP_C_HighResilience!$F$11)+X146*(Inputs!$B$15-ILP_C_HighResilience!$F$12)+Y146*(Inputs!$B$16-ILP_C_HighResilience!$F$13)</f>
        <v>25019.520516430082</v>
      </c>
      <c r="AK146" s="45">
        <f t="shared" ca="1" si="107"/>
        <v>6717.9835710081443</v>
      </c>
      <c r="AL146" s="45">
        <f t="shared" ca="1" si="108"/>
        <v>0</v>
      </c>
      <c r="AM146" s="45">
        <f t="shared" ca="1" si="109"/>
        <v>0</v>
      </c>
      <c r="AN146" s="45">
        <f t="shared" ca="1" si="110"/>
        <v>0</v>
      </c>
      <c r="AO146" s="45">
        <f ca="1">MIN(AL146,Inputs!$B$36)</f>
        <v>0</v>
      </c>
      <c r="AP146" s="45">
        <f ca="1">MIN(AN146,Inputs!$B$36-AO146)</f>
        <v>0</v>
      </c>
      <c r="AQ146" s="45">
        <f ca="1">MIN(AM146,Inputs!$B$36-AO146-AP146)</f>
        <v>0</v>
      </c>
      <c r="AR146" s="45">
        <f t="shared" ca="1" si="111"/>
        <v>0</v>
      </c>
      <c r="AS146" s="45">
        <f t="shared" ca="1" si="112"/>
        <v>0</v>
      </c>
      <c r="AT146" s="45">
        <f t="shared" ca="1" si="113"/>
        <v>0</v>
      </c>
      <c r="AU146" s="45">
        <f t="shared" ca="1" si="114"/>
        <v>0</v>
      </c>
      <c r="AV146" s="46">
        <f ca="1">AU146*Inputs!$B$35</f>
        <v>0</v>
      </c>
      <c r="AW146" s="46">
        <f ca="1">AR146*Inputs!$C$6+AT146*Inputs!$C$7+AS146*Inputs!$C$8</f>
        <v>0</v>
      </c>
      <c r="AX146" s="46">
        <f t="shared" ca="1" si="115"/>
        <v>47667403.84480118</v>
      </c>
      <c r="AY146" s="46">
        <f ca="1">IF(J146&gt;1,($CD$4)*Inputs!$B$55*((Z146+AA146+AB146)/(SUM(ILP_C_HighResilience!$C$9:$E$13))),0)</f>
        <v>0</v>
      </c>
      <c r="AZ146" s="46">
        <f t="shared" ca="1" si="116"/>
        <v>0</v>
      </c>
      <c r="BA146" s="41">
        <f t="shared" ca="1" si="117"/>
        <v>0</v>
      </c>
      <c r="BB146" s="41">
        <f t="shared" ca="1" si="118"/>
        <v>1</v>
      </c>
      <c r="BC146" s="41">
        <f t="shared" ca="1" si="119"/>
        <v>1</v>
      </c>
      <c r="BD146" s="41">
        <f t="shared" ca="1" si="120"/>
        <v>1</v>
      </c>
    </row>
    <row r="147" spans="1:56" ht="15" customHeight="1" x14ac:dyDescent="0.3">
      <c r="A147" s="41">
        <v>140</v>
      </c>
      <c r="B147" s="42">
        <f t="shared" ca="1" si="102"/>
        <v>0.60956234772853013</v>
      </c>
      <c r="C147" s="43">
        <f ca="1">IF(B147&lt;=Inputs!$C$40,Inputs!$D$40,IF(B147&lt;=Inputs!$C$41,Inputs!$D$41,Inputs!$D$42))</f>
        <v>1</v>
      </c>
      <c r="D147" s="42">
        <f t="shared" ca="1" si="121"/>
        <v>0.72315117156309094</v>
      </c>
      <c r="E147" s="42">
        <f t="shared" ca="1" si="121"/>
        <v>0.36320499506358539</v>
      </c>
      <c r="F147" s="42">
        <f t="shared" ca="1" si="121"/>
        <v>0.18799665375445473</v>
      </c>
      <c r="G147" s="42">
        <f t="shared" ca="1" si="121"/>
        <v>0.39625061569291598</v>
      </c>
      <c r="H147" s="42">
        <f t="shared" ca="1" si="121"/>
        <v>0.831821736418353</v>
      </c>
      <c r="I147" s="42">
        <f t="shared" ca="1" si="121"/>
        <v>0.70536230351257412</v>
      </c>
      <c r="J147" s="43">
        <f ca="1">IF(I147&lt;Inputs!$B$54,1+Inputs!$B$55,1)</f>
        <v>1</v>
      </c>
      <c r="K147" s="42">
        <f t="shared" ca="1" si="122"/>
        <v>0.33895471287867884</v>
      </c>
      <c r="L147" s="42">
        <f t="shared" ca="1" si="122"/>
        <v>0.1581556543089202</v>
      </c>
      <c r="M147" s="42">
        <f t="shared" ca="1" si="122"/>
        <v>0.74636492297204138</v>
      </c>
      <c r="N147" s="42">
        <f t="shared" ca="1" si="122"/>
        <v>0.20575350657969749</v>
      </c>
      <c r="O147" s="42">
        <f t="shared" ca="1" si="122"/>
        <v>0.63021978569268267</v>
      </c>
      <c r="P147" s="42">
        <f t="shared" ca="1" si="122"/>
        <v>0.50516413769278146</v>
      </c>
      <c r="Q147" s="42">
        <f t="shared" ca="1" si="122"/>
        <v>0.52850451859793424</v>
      </c>
      <c r="R147" s="42">
        <f t="shared" ca="1" si="122"/>
        <v>0.40136331968125272</v>
      </c>
      <c r="S147" s="42">
        <f t="shared" ca="1" si="122"/>
        <v>0.15342546971694981</v>
      </c>
      <c r="T147" s="42">
        <f t="shared" ca="1" si="122"/>
        <v>0.84411614286444447</v>
      </c>
      <c r="U147" s="44">
        <f ca="1">(IF(D147&gt;=Inputs!$E$12,1,IF(K147&lt;=Inputs!$C$46,Inputs!$D$46,IF(K147&lt;=Inputs!$C$47,Inputs!$D$47,Inputs!$D$48))))*((Inputs!$B$28+(P147-0.5)*2*Inputs!$B$53)/Inputs!$B$28)</f>
        <v>1.0000522686001294</v>
      </c>
      <c r="V147" s="44">
        <f ca="1">(IF(E147&gt;=Inputs!$E$13,1,IF(L147&lt;=Inputs!$C$46,Inputs!$D$46,IF(L147&lt;=Inputs!$C$47,Inputs!$D$47,Inputs!$D$48))))*((Inputs!$B$29+(Q147-0.5)*2*Inputs!$B$53)/Inputs!$B$29)</f>
        <v>1.0002873439374793</v>
      </c>
      <c r="W147" s="44">
        <f ca="1">(IF(F147&gt;=Inputs!$E$14,1,IF(M147&lt;=Inputs!$C$46,Inputs!$D$46,IF(M147&lt;=Inputs!$C$47,Inputs!$D$47,Inputs!$D$48))))*((Inputs!$B$30+(R147-0.5)*2*Inputs!$B$53)/Inputs!$B$30)</f>
        <v>0.99900867657971115</v>
      </c>
      <c r="X147" s="44">
        <f ca="1">(IF(G147&gt;=Inputs!$E$15,1,IF(N147&lt;=Inputs!$C$46,Inputs!$D$46,IF(N147&lt;=Inputs!$C$47,Inputs!$D$47,Inputs!$D$48))))*((Inputs!$B$31+(S147-0.5)*2*Inputs!$B$53)/Inputs!$B$31)</f>
        <v>0.99648147684991828</v>
      </c>
      <c r="Y147" s="44">
        <f ca="1">(IF(H147&gt;=Inputs!$E$16,1,IF(O147&lt;=Inputs!$C$46,Inputs!$D$46,IF(O147&lt;=Inputs!$C$47,Inputs!$D$47,Inputs!$D$48))))*((Inputs!$B$32+(T147-0.5)*2*Inputs!$B$53)/Inputs!$B$32)</f>
        <v>1.0034619330268053</v>
      </c>
      <c r="Z147" s="45">
        <f ca="1">ILP_C_HighResilience!$C$9*U147+ILP_C_HighResilience!$C$10*V147+ILP_C_HighResilience!$C$11*W147+ILP_C_HighResilience!$C$12*X147+ILP_C_HighResilience!$C$13*Y147</f>
        <v>17976.077405415268</v>
      </c>
      <c r="AA147" s="45">
        <f ca="1">ILP_C_HighResilience!$D$9*U147+ILP_C_HighResilience!$D$10*V147+ILP_C_HighResilience!$D$11*W147+ILP_C_HighResilience!$D$12*X147+ILP_C_HighResilience!$D$13*Y147</f>
        <v>14981.126490090634</v>
      </c>
      <c r="AB147" s="45">
        <f ca="1">ILP_C_HighResilience!$E$9*U147+ILP_C_HighResilience!$E$10*V147+ILP_C_HighResilience!$E$11*W147+ILP_C_HighResilience!$E$12*X147+ILP_C_HighResilience!$E$13*Y147</f>
        <v>11998.59628628465</v>
      </c>
      <c r="AC147" s="45">
        <f ca="1">Inputs!$B$6*$C147</f>
        <v>18000</v>
      </c>
      <c r="AD147" s="45">
        <f ca="1">Inputs!$B$7*$C147</f>
        <v>15000</v>
      </c>
      <c r="AE147" s="45">
        <f ca="1">Inputs!$B$8*$C147</f>
        <v>12000</v>
      </c>
      <c r="AF147" s="45">
        <f t="shared" ca="1" si="103"/>
        <v>23.922594584731996</v>
      </c>
      <c r="AG147" s="45">
        <f t="shared" ca="1" si="104"/>
        <v>18.873509909366476</v>
      </c>
      <c r="AH147" s="45">
        <f t="shared" ca="1" si="105"/>
        <v>1.4037137153500225</v>
      </c>
      <c r="AI147" s="45">
        <f t="shared" ca="1" si="106"/>
        <v>44.199818209448495</v>
      </c>
      <c r="AJ147" s="45">
        <f ca="1">U147*(Inputs!$B$12-ILP_C_HighResilience!$F$9)+V147*(Inputs!$B$13-ILP_C_HighResilience!$F$10)+W147*(Inputs!$B$14-ILP_C_HighResilience!$F$11)+X147*(Inputs!$B$15-ILP_C_HighResilience!$F$12)+Y147*(Inputs!$B$16-ILP_C_HighResilience!$F$13)</f>
        <v>25045.878444073573</v>
      </c>
      <c r="AK147" s="45">
        <f t="shared" ca="1" si="107"/>
        <v>44.199818209448495</v>
      </c>
      <c r="AL147" s="45">
        <f t="shared" ca="1" si="108"/>
        <v>0</v>
      </c>
      <c r="AM147" s="45">
        <f t="shared" ca="1" si="109"/>
        <v>0</v>
      </c>
      <c r="AN147" s="45">
        <f t="shared" ca="1" si="110"/>
        <v>0</v>
      </c>
      <c r="AO147" s="45">
        <f ca="1">MIN(AL147,Inputs!$B$36)</f>
        <v>0</v>
      </c>
      <c r="AP147" s="45">
        <f ca="1">MIN(AN147,Inputs!$B$36-AO147)</f>
        <v>0</v>
      </c>
      <c r="AQ147" s="45">
        <f ca="1">MIN(AM147,Inputs!$B$36-AO147-AP147)</f>
        <v>0</v>
      </c>
      <c r="AR147" s="45">
        <f t="shared" ca="1" si="111"/>
        <v>0</v>
      </c>
      <c r="AS147" s="45">
        <f t="shared" ca="1" si="112"/>
        <v>0</v>
      </c>
      <c r="AT147" s="45">
        <f t="shared" ca="1" si="113"/>
        <v>0</v>
      </c>
      <c r="AU147" s="45">
        <f t="shared" ca="1" si="114"/>
        <v>0</v>
      </c>
      <c r="AV147" s="46">
        <f ca="1">AU147*Inputs!$B$35</f>
        <v>0</v>
      </c>
      <c r="AW147" s="46">
        <f ca="1">AR147*Inputs!$C$6+AT147*Inputs!$C$7+AS147*Inputs!$C$8</f>
        <v>0</v>
      </c>
      <c r="AX147" s="46">
        <f t="shared" ca="1" si="115"/>
        <v>47586174.423529446</v>
      </c>
      <c r="AY147" s="46">
        <f ca="1">IF(J147&gt;1,($CD$4)*Inputs!$B$55*((Z147+AA147+AB147)/(SUM(ILP_C_HighResilience!$C$9:$E$13))),0)</f>
        <v>0</v>
      </c>
      <c r="AZ147" s="46">
        <f t="shared" ca="1" si="116"/>
        <v>0</v>
      </c>
      <c r="BA147" s="41">
        <f t="shared" ca="1" si="117"/>
        <v>0</v>
      </c>
      <c r="BB147" s="41">
        <f t="shared" ca="1" si="118"/>
        <v>1</v>
      </c>
      <c r="BC147" s="41">
        <f t="shared" ca="1" si="119"/>
        <v>1</v>
      </c>
      <c r="BD147" s="41">
        <f t="shared" ca="1" si="120"/>
        <v>1</v>
      </c>
    </row>
    <row r="148" spans="1:56" ht="15" customHeight="1" x14ac:dyDescent="0.3">
      <c r="A148" s="41">
        <v>141</v>
      </c>
      <c r="B148" s="42">
        <f t="shared" ca="1" si="102"/>
        <v>0.42360248551935509</v>
      </c>
      <c r="C148" s="43">
        <f ca="1">IF(B148&lt;=Inputs!$C$40,Inputs!$D$40,IF(B148&lt;=Inputs!$C$41,Inputs!$D$41,Inputs!$D$42))</f>
        <v>1</v>
      </c>
      <c r="D148" s="42">
        <f t="shared" ref="D148:I157" ca="1" si="123">RAND()</f>
        <v>0.78246293055313632</v>
      </c>
      <c r="E148" s="42">
        <f t="shared" ca="1" si="123"/>
        <v>0.71499234422097402</v>
      </c>
      <c r="F148" s="42">
        <f t="shared" ca="1" si="123"/>
        <v>0.19635269533364841</v>
      </c>
      <c r="G148" s="42">
        <f t="shared" ca="1" si="123"/>
        <v>0.57884024737269368</v>
      </c>
      <c r="H148" s="42">
        <f t="shared" ca="1" si="123"/>
        <v>0.27103197434887616</v>
      </c>
      <c r="I148" s="42">
        <f t="shared" ca="1" si="123"/>
        <v>0.45622973200226469</v>
      </c>
      <c r="J148" s="43">
        <f ca="1">IF(I148&lt;Inputs!$B$54,1+Inputs!$B$55,1)</f>
        <v>1</v>
      </c>
      <c r="K148" s="42">
        <f t="shared" ref="K148:T157" ca="1" si="124">RAND()</f>
        <v>0.6644122747333171</v>
      </c>
      <c r="L148" s="42">
        <f t="shared" ca="1" si="124"/>
        <v>0.38442806653217709</v>
      </c>
      <c r="M148" s="42">
        <f t="shared" ca="1" si="124"/>
        <v>0.5862103153575895</v>
      </c>
      <c r="N148" s="42">
        <f t="shared" ca="1" si="124"/>
        <v>0.27255999324673774</v>
      </c>
      <c r="O148" s="42">
        <f t="shared" ca="1" si="124"/>
        <v>0.11244713589141109</v>
      </c>
      <c r="P148" s="42">
        <f t="shared" ca="1" si="124"/>
        <v>0.21082582897976399</v>
      </c>
      <c r="Q148" s="42">
        <f t="shared" ca="1" si="124"/>
        <v>0.11864577131859977</v>
      </c>
      <c r="R148" s="42">
        <f t="shared" ca="1" si="124"/>
        <v>0.89944841690550714</v>
      </c>
      <c r="S148" s="42">
        <f t="shared" ca="1" si="124"/>
        <v>0.99949845681870753</v>
      </c>
      <c r="T148" s="42">
        <f t="shared" ca="1" si="124"/>
        <v>0.70021381449968523</v>
      </c>
      <c r="U148" s="44">
        <f ca="1">(IF(D148&gt;=Inputs!$E$12,1,IF(K148&lt;=Inputs!$C$46,Inputs!$D$46,IF(K148&lt;=Inputs!$C$47,Inputs!$D$47,Inputs!$D$48))))*((Inputs!$B$28+(P148-0.5)*2*Inputs!$B$53)/Inputs!$B$28)</f>
        <v>0.99707313592084779</v>
      </c>
      <c r="V148" s="44">
        <f ca="1">(IF(E148&gt;=Inputs!$E$13,1,IF(L148&lt;=Inputs!$C$46,Inputs!$D$46,IF(L148&lt;=Inputs!$C$47,Inputs!$D$47,Inputs!$D$48))))*((Inputs!$B$29+(Q148-0.5)*2*Inputs!$B$53)/Inputs!$B$29)</f>
        <v>0.99615570333990533</v>
      </c>
      <c r="W148" s="44">
        <f ca="1">(IF(F148&gt;=Inputs!$E$14,1,IF(M148&lt;=Inputs!$C$46,Inputs!$D$46,IF(M148&lt;=Inputs!$C$47,Inputs!$D$47,Inputs!$D$48))))*((Inputs!$B$30+(R148-0.5)*2*Inputs!$B$53)/Inputs!$B$30)</f>
        <v>1.0040145569538244</v>
      </c>
      <c r="X148" s="44">
        <f ca="1">(IF(G148&gt;=Inputs!$E$15,1,IF(N148&lt;=Inputs!$C$46,Inputs!$D$46,IF(N148&lt;=Inputs!$C$47,Inputs!$D$47,Inputs!$D$48))))*((Inputs!$B$31+(S148-0.5)*2*Inputs!$B$53)/Inputs!$B$31)</f>
        <v>1.0050710503230325</v>
      </c>
      <c r="Y148" s="44">
        <f ca="1">(IF(H148&gt;=Inputs!$E$16,1,IF(O148&lt;=Inputs!$C$46,Inputs!$D$46,IF(O148&lt;=Inputs!$C$47,Inputs!$D$47,Inputs!$D$48))))*((Inputs!$B$32+(T148-0.5)*2*Inputs!$B$53)/Inputs!$B$32)</f>
        <v>1.0020142234859124</v>
      </c>
      <c r="Z148" s="45">
        <f ca="1">ILP_C_HighResilience!$C$9*U148+ILP_C_HighResilience!$C$10*V148+ILP_C_HighResilience!$C$11*W148+ILP_C_HighResilience!$C$12*X148+ILP_C_HighResilience!$C$13*Y148</f>
        <v>18001.598672979599</v>
      </c>
      <c r="AA148" s="45">
        <f ca="1">ILP_C_HighResilience!$D$9*U148+ILP_C_HighResilience!$D$10*V148+ILP_C_HighResilience!$D$11*W148+ILP_C_HighResilience!$D$12*X148+ILP_C_HighResilience!$D$13*Y148</f>
        <v>15017.946231989594</v>
      </c>
      <c r="AB148" s="45">
        <f ca="1">ILP_C_HighResilience!$E$9*U148+ILP_C_HighResilience!$E$10*V148+ILP_C_HighResilience!$E$11*W148+ILP_C_HighResilience!$E$12*X148+ILP_C_HighResilience!$E$13*Y148</f>
        <v>11981.157098191121</v>
      </c>
      <c r="AC148" s="45">
        <f ca="1">Inputs!$B$6*$C148</f>
        <v>18000</v>
      </c>
      <c r="AD148" s="45">
        <f ca="1">Inputs!$B$7*$C148</f>
        <v>15000</v>
      </c>
      <c r="AE148" s="45">
        <f ca="1">Inputs!$B$8*$C148</f>
        <v>12000</v>
      </c>
      <c r="AF148" s="45">
        <f t="shared" ca="1" si="103"/>
        <v>0</v>
      </c>
      <c r="AG148" s="45">
        <f t="shared" ca="1" si="104"/>
        <v>0</v>
      </c>
      <c r="AH148" s="45">
        <f t="shared" ca="1" si="105"/>
        <v>18.842901808879105</v>
      </c>
      <c r="AI148" s="45">
        <f t="shared" ca="1" si="106"/>
        <v>18.842901808879105</v>
      </c>
      <c r="AJ148" s="45">
        <f ca="1">U148*(Inputs!$B$12-ILP_C_HighResilience!$F$9)+V148*(Inputs!$B$13-ILP_C_HighResilience!$F$10)+W148*(Inputs!$B$14-ILP_C_HighResilience!$F$11)+X148*(Inputs!$B$15-ILP_C_HighResilience!$F$12)+Y148*(Inputs!$B$16-ILP_C_HighResilience!$F$13)</f>
        <v>25041.90321489672</v>
      </c>
      <c r="AK148" s="45">
        <f t="shared" ca="1" si="107"/>
        <v>18.842901808879105</v>
      </c>
      <c r="AL148" s="45">
        <f t="shared" ca="1" si="108"/>
        <v>0</v>
      </c>
      <c r="AM148" s="45">
        <f t="shared" ca="1" si="109"/>
        <v>0</v>
      </c>
      <c r="AN148" s="45">
        <f t="shared" ca="1" si="110"/>
        <v>0</v>
      </c>
      <c r="AO148" s="45">
        <f ca="1">MIN(AL148,Inputs!$B$36)</f>
        <v>0</v>
      </c>
      <c r="AP148" s="45">
        <f ca="1">MIN(AN148,Inputs!$B$36-AO148)</f>
        <v>0</v>
      </c>
      <c r="AQ148" s="45">
        <f ca="1">MIN(AM148,Inputs!$B$36-AO148-AP148)</f>
        <v>0</v>
      </c>
      <c r="AR148" s="45">
        <f t="shared" ca="1" si="111"/>
        <v>0</v>
      </c>
      <c r="AS148" s="45">
        <f t="shared" ca="1" si="112"/>
        <v>0</v>
      </c>
      <c r="AT148" s="45">
        <f t="shared" ca="1" si="113"/>
        <v>0</v>
      </c>
      <c r="AU148" s="45">
        <f t="shared" ca="1" si="114"/>
        <v>0</v>
      </c>
      <c r="AV148" s="46">
        <f ca="1">AU148*Inputs!$B$35</f>
        <v>0</v>
      </c>
      <c r="AW148" s="46">
        <f ca="1">AR148*Inputs!$C$6+AT148*Inputs!$C$7+AS148*Inputs!$C$8</f>
        <v>0</v>
      </c>
      <c r="AX148" s="46">
        <f t="shared" ca="1" si="115"/>
        <v>47632327.723056868</v>
      </c>
      <c r="AY148" s="46">
        <f ca="1">IF(J148&gt;1,($CD$4)*Inputs!$B$55*((Z148+AA148+AB148)/(SUM(ILP_C_HighResilience!$C$9:$E$13))),0)</f>
        <v>0</v>
      </c>
      <c r="AZ148" s="46">
        <f t="shared" ca="1" si="116"/>
        <v>0</v>
      </c>
      <c r="BA148" s="41">
        <f t="shared" ca="1" si="117"/>
        <v>0</v>
      </c>
      <c r="BB148" s="41">
        <f t="shared" ca="1" si="118"/>
        <v>1</v>
      </c>
      <c r="BC148" s="41">
        <f t="shared" ca="1" si="119"/>
        <v>1</v>
      </c>
      <c r="BD148" s="41">
        <f t="shared" ca="1" si="120"/>
        <v>1</v>
      </c>
    </row>
    <row r="149" spans="1:56" ht="15" customHeight="1" x14ac:dyDescent="0.3">
      <c r="A149" s="41">
        <v>142</v>
      </c>
      <c r="B149" s="42">
        <f t="shared" ca="1" si="102"/>
        <v>0.17742157225235211</v>
      </c>
      <c r="C149" s="43">
        <f ca="1">IF(B149&lt;=Inputs!$C$40,Inputs!$D$40,IF(B149&lt;=Inputs!$C$41,Inputs!$D$41,Inputs!$D$42))</f>
        <v>0.9</v>
      </c>
      <c r="D149" s="42">
        <f t="shared" ca="1" si="123"/>
        <v>0.36074562521151332</v>
      </c>
      <c r="E149" s="42">
        <f t="shared" ca="1" si="123"/>
        <v>0.56234103620524178</v>
      </c>
      <c r="F149" s="42">
        <f t="shared" ca="1" si="123"/>
        <v>0.99780956649272368</v>
      </c>
      <c r="G149" s="42">
        <f t="shared" ca="1" si="123"/>
        <v>0.90734391199956466</v>
      </c>
      <c r="H149" s="42">
        <f t="shared" ca="1" si="123"/>
        <v>0.14292850379751998</v>
      </c>
      <c r="I149" s="42">
        <f t="shared" ca="1" si="123"/>
        <v>8.9961755437330981E-2</v>
      </c>
      <c r="J149" s="43">
        <f ca="1">IF(I149&lt;Inputs!$B$54,1+Inputs!$B$55,1)</f>
        <v>1</v>
      </c>
      <c r="K149" s="42">
        <f t="shared" ca="1" si="124"/>
        <v>0.34276805653076592</v>
      </c>
      <c r="L149" s="42">
        <f t="shared" ca="1" si="124"/>
        <v>0.96077742045232606</v>
      </c>
      <c r="M149" s="42">
        <f t="shared" ca="1" si="124"/>
        <v>0.36096564447517587</v>
      </c>
      <c r="N149" s="42">
        <f t="shared" ca="1" si="124"/>
        <v>0.44161549611227879</v>
      </c>
      <c r="O149" s="42">
        <f t="shared" ca="1" si="124"/>
        <v>0.63745868446114606</v>
      </c>
      <c r="P149" s="42">
        <f t="shared" ca="1" si="124"/>
        <v>0.82847761292253386</v>
      </c>
      <c r="Q149" s="42">
        <f t="shared" ca="1" si="124"/>
        <v>0.46076871294293542</v>
      </c>
      <c r="R149" s="42">
        <f t="shared" ca="1" si="124"/>
        <v>0.65557608162581049</v>
      </c>
      <c r="S149" s="42">
        <f t="shared" ca="1" si="124"/>
        <v>0.76742693289534203</v>
      </c>
      <c r="T149" s="42">
        <f t="shared" ca="1" si="124"/>
        <v>0.14775423253616038</v>
      </c>
      <c r="U149" s="44">
        <f ca="1">(IF(D149&gt;=Inputs!$E$12,1,IF(K149&lt;=Inputs!$C$46,Inputs!$D$46,IF(K149&lt;=Inputs!$C$47,Inputs!$D$47,Inputs!$D$48))))*((Inputs!$B$28+(P149-0.5)*2*Inputs!$B$53)/Inputs!$B$28)</f>
        <v>1.0033246721955722</v>
      </c>
      <c r="V149" s="44">
        <f ca="1">(IF(E149&gt;=Inputs!$E$13,1,IF(L149&lt;=Inputs!$C$46,Inputs!$D$46,IF(L149&lt;=Inputs!$C$47,Inputs!$D$47,Inputs!$D$48))))*((Inputs!$B$29+(Q149-0.5)*2*Inputs!$B$53)/Inputs!$B$29)</f>
        <v>0.99960452331595706</v>
      </c>
      <c r="W149" s="44">
        <f ca="1">(IF(F149&gt;=Inputs!$E$14,1,IF(M149&lt;=Inputs!$C$46,Inputs!$D$46,IF(M149&lt;=Inputs!$C$47,Inputs!$D$47,Inputs!$D$48))))*((Inputs!$B$30+(R149-0.5)*2*Inputs!$B$53)/Inputs!$B$30)</f>
        <v>1.0015635787098072</v>
      </c>
      <c r="X149" s="44">
        <f ca="1">(IF(G149&gt;=Inputs!$E$15,1,IF(N149&lt;=Inputs!$C$46,Inputs!$D$46,IF(N149&lt;=Inputs!$C$47,Inputs!$D$47,Inputs!$D$48))))*((Inputs!$B$31+(S149-0.5)*2*Inputs!$B$53)/Inputs!$B$31)</f>
        <v>1.0027149942425924</v>
      </c>
      <c r="Y149" s="44">
        <f ca="1">(IF(H149&gt;=Inputs!$E$16,1,IF(O149&lt;=Inputs!$C$46,Inputs!$D$46,IF(O149&lt;=Inputs!$C$47,Inputs!$D$47,Inputs!$D$48))))*((Inputs!$B$32+(T149-0.5)*2*Inputs!$B$53)/Inputs!$B$32)</f>
        <v>0.99645628000539388</v>
      </c>
      <c r="Z149" s="45">
        <f ca="1">ILP_C_HighResilience!$C$9*U149+ILP_C_HighResilience!$C$10*V149+ILP_C_HighResilience!$C$11*W149+ILP_C_HighResilience!$C$12*X149+ILP_C_HighResilience!$C$13*Y149</f>
        <v>18042.06188229223</v>
      </c>
      <c r="AA149" s="45">
        <f ca="1">ILP_C_HighResilience!$D$9*U149+ILP_C_HighResilience!$D$10*V149+ILP_C_HighResilience!$D$11*W149+ILP_C_HighResilience!$D$12*X149+ILP_C_HighResilience!$D$13*Y149</f>
        <v>15017.018888045473</v>
      </c>
      <c r="AB149" s="45">
        <f ca="1">ILP_C_HighResilience!$E$9*U149+ILP_C_HighResilience!$E$10*V149+ILP_C_HighResilience!$E$11*W149+ILP_C_HighResilience!$E$12*X149+ILP_C_HighResilience!$E$13*Y149</f>
        <v>12018.81576372053</v>
      </c>
      <c r="AC149" s="45">
        <f ca="1">Inputs!$B$6*$C149</f>
        <v>16200</v>
      </c>
      <c r="AD149" s="45">
        <f ca="1">Inputs!$B$7*$C149</f>
        <v>13500</v>
      </c>
      <c r="AE149" s="45">
        <f ca="1">Inputs!$B$8*$C149</f>
        <v>10800</v>
      </c>
      <c r="AF149" s="45">
        <f t="shared" ca="1" si="103"/>
        <v>0</v>
      </c>
      <c r="AG149" s="45">
        <f t="shared" ca="1" si="104"/>
        <v>0</v>
      </c>
      <c r="AH149" s="45">
        <f t="shared" ca="1" si="105"/>
        <v>0</v>
      </c>
      <c r="AI149" s="45">
        <f t="shared" ca="1" si="106"/>
        <v>0</v>
      </c>
      <c r="AJ149" s="45">
        <f ca="1">U149*(Inputs!$B$12-ILP_C_HighResilience!$F$9)+V149*(Inputs!$B$13-ILP_C_HighResilience!$F$10)+W149*(Inputs!$B$14-ILP_C_HighResilience!$F$11)+X149*(Inputs!$B$15-ILP_C_HighResilience!$F$12)+Y149*(Inputs!$B$16-ILP_C_HighResilience!$F$13)</f>
        <v>24969.512201713831</v>
      </c>
      <c r="AK149" s="45">
        <f t="shared" ca="1" si="107"/>
        <v>0</v>
      </c>
      <c r="AL149" s="45">
        <f t="shared" ca="1" si="108"/>
        <v>0</v>
      </c>
      <c r="AM149" s="45">
        <f t="shared" ca="1" si="109"/>
        <v>0</v>
      </c>
      <c r="AN149" s="45">
        <f t="shared" ca="1" si="110"/>
        <v>0</v>
      </c>
      <c r="AO149" s="45">
        <f ca="1">MIN(AL149,Inputs!$B$36)</f>
        <v>0</v>
      </c>
      <c r="AP149" s="45">
        <f ca="1">MIN(AN149,Inputs!$B$36-AO149)</f>
        <v>0</v>
      </c>
      <c r="AQ149" s="45">
        <f ca="1">MIN(AM149,Inputs!$B$36-AO149-AP149)</f>
        <v>0</v>
      </c>
      <c r="AR149" s="45">
        <f t="shared" ca="1" si="111"/>
        <v>0</v>
      </c>
      <c r="AS149" s="45">
        <f t="shared" ca="1" si="112"/>
        <v>0</v>
      </c>
      <c r="AT149" s="45">
        <f t="shared" ca="1" si="113"/>
        <v>0</v>
      </c>
      <c r="AU149" s="45">
        <f t="shared" ca="1" si="114"/>
        <v>0</v>
      </c>
      <c r="AV149" s="46">
        <f ca="1">AU149*Inputs!$B$35</f>
        <v>0</v>
      </c>
      <c r="AW149" s="46">
        <f ca="1">AR149*Inputs!$C$6+AT149*Inputs!$C$7+AS149*Inputs!$C$8</f>
        <v>0</v>
      </c>
      <c r="AX149" s="46">
        <f t="shared" ca="1" si="115"/>
        <v>47714673.610284589</v>
      </c>
      <c r="AY149" s="46">
        <f ca="1">IF(J149&gt;1,($CD$4)*Inputs!$B$55*((Z149+AA149+AB149)/(SUM(ILP_C_HighResilience!$C$9:$E$13))),0)</f>
        <v>0</v>
      </c>
      <c r="AZ149" s="46">
        <f t="shared" ca="1" si="116"/>
        <v>0</v>
      </c>
      <c r="BA149" s="41">
        <f t="shared" ca="1" si="117"/>
        <v>0</v>
      </c>
      <c r="BB149" s="41">
        <f t="shared" ca="1" si="118"/>
        <v>1</v>
      </c>
      <c r="BC149" s="41">
        <f t="shared" ca="1" si="119"/>
        <v>1</v>
      </c>
      <c r="BD149" s="41">
        <f t="shared" ca="1" si="120"/>
        <v>1</v>
      </c>
    </row>
    <row r="150" spans="1:56" ht="15" customHeight="1" x14ac:dyDescent="0.3">
      <c r="A150" s="41">
        <v>143</v>
      </c>
      <c r="B150" s="42">
        <f t="shared" ca="1" si="102"/>
        <v>0.28590294990282472</v>
      </c>
      <c r="C150" s="43">
        <f ca="1">IF(B150&lt;=Inputs!$C$40,Inputs!$D$40,IF(B150&lt;=Inputs!$C$41,Inputs!$D$41,Inputs!$D$42))</f>
        <v>1</v>
      </c>
      <c r="D150" s="42">
        <f t="shared" ca="1" si="123"/>
        <v>0.98966018664921618</v>
      </c>
      <c r="E150" s="42">
        <f t="shared" ca="1" si="123"/>
        <v>0.79039584363251791</v>
      </c>
      <c r="F150" s="42">
        <f t="shared" ca="1" si="123"/>
        <v>2.3921542278239283E-2</v>
      </c>
      <c r="G150" s="42">
        <f t="shared" ca="1" si="123"/>
        <v>0.22695709233870576</v>
      </c>
      <c r="H150" s="42">
        <f t="shared" ca="1" si="123"/>
        <v>0.7870561374510272</v>
      </c>
      <c r="I150" s="42">
        <f t="shared" ca="1" si="123"/>
        <v>0.64359251001488404</v>
      </c>
      <c r="J150" s="43">
        <f ca="1">IF(I150&lt;Inputs!$B$54,1+Inputs!$B$55,1)</f>
        <v>1</v>
      </c>
      <c r="K150" s="42">
        <f t="shared" ca="1" si="124"/>
        <v>0.31894787489214238</v>
      </c>
      <c r="L150" s="42">
        <f t="shared" ca="1" si="124"/>
        <v>0.87182854268472698</v>
      </c>
      <c r="M150" s="42">
        <f t="shared" ca="1" si="124"/>
        <v>0.35585538610406831</v>
      </c>
      <c r="N150" s="42">
        <f t="shared" ca="1" si="124"/>
        <v>0.52267503670051463</v>
      </c>
      <c r="O150" s="42">
        <f t="shared" ca="1" si="124"/>
        <v>0.2282751969872483</v>
      </c>
      <c r="P150" s="42">
        <f t="shared" ca="1" si="124"/>
        <v>0.77314166699883302</v>
      </c>
      <c r="Q150" s="42">
        <f t="shared" ca="1" si="124"/>
        <v>0.66433143781538573</v>
      </c>
      <c r="R150" s="42">
        <f t="shared" ca="1" si="124"/>
        <v>1.0800714619060736E-2</v>
      </c>
      <c r="S150" s="42">
        <f t="shared" ca="1" si="124"/>
        <v>0.61208274418330499</v>
      </c>
      <c r="T150" s="42">
        <f t="shared" ca="1" si="124"/>
        <v>0.14203397821919594</v>
      </c>
      <c r="U150" s="44">
        <f ca="1">(IF(D150&gt;=Inputs!$E$12,1,IF(K150&lt;=Inputs!$C$46,Inputs!$D$46,IF(K150&lt;=Inputs!$C$47,Inputs!$D$47,Inputs!$D$48))))*((Inputs!$B$28+(P150-0.5)*2*Inputs!$B$53)/Inputs!$B$28)</f>
        <v>1.0027645917712433</v>
      </c>
      <c r="V150" s="44">
        <f ca="1">(IF(E150&gt;=Inputs!$E$13,1,IF(L150&lt;=Inputs!$C$46,Inputs!$D$46,IF(L150&lt;=Inputs!$C$47,Inputs!$D$47,Inputs!$D$48))))*((Inputs!$B$29+(Q150-0.5)*2*Inputs!$B$53)/Inputs!$B$29)</f>
        <v>1.0016565669134616</v>
      </c>
      <c r="W150" s="44">
        <f ca="1">(IF(F150&gt;=Inputs!$E$14,1,IF(M150&lt;=Inputs!$C$46,Inputs!$D$46,IF(M150&lt;=Inputs!$C$47,Inputs!$D$47,Inputs!$D$48))))*((Inputs!$B$30+(R150-0.5)*2*Inputs!$B$53)/Inputs!$B$30)</f>
        <v>0.29852502728025848</v>
      </c>
      <c r="X150" s="44">
        <f ca="1">(IF(G150&gt;=Inputs!$E$15,1,IF(N150&lt;=Inputs!$C$46,Inputs!$D$46,IF(N150&lt;=Inputs!$C$47,Inputs!$D$47,Inputs!$D$48))))*((Inputs!$B$31+(S150-0.5)*2*Inputs!$B$53)/Inputs!$B$31)</f>
        <v>1.0011378958800337</v>
      </c>
      <c r="Y150" s="44">
        <f ca="1">(IF(H150&gt;=Inputs!$E$16,1,IF(O150&lt;=Inputs!$C$46,Inputs!$D$46,IF(O150&lt;=Inputs!$C$47,Inputs!$D$47,Inputs!$D$48))))*((Inputs!$B$32+(T150-0.5)*2*Inputs!$B$53)/Inputs!$B$32)</f>
        <v>0.99639873217524333</v>
      </c>
      <c r="Z150" s="45">
        <f ca="1">ILP_C_HighResilience!$C$9*U150+ILP_C_HighResilience!$C$10*V150+ILP_C_HighResilience!$C$11*W150+ILP_C_HighResilience!$C$12*X150+ILP_C_HighResilience!$C$13*Y150</f>
        <v>18034.061551977655</v>
      </c>
      <c r="AA150" s="45">
        <f ca="1">ILP_C_HighResilience!$D$9*U150+ILP_C_HighResilience!$D$10*V150+ILP_C_HighResilience!$D$11*W150+ILP_C_HighResilience!$D$12*X150+ILP_C_HighResilience!$D$13*Y150</f>
        <v>11942.736099934056</v>
      </c>
      <c r="AB150" s="45">
        <f ca="1">ILP_C_HighResilience!$E$9*U150+ILP_C_HighResilience!$E$10*V150+ILP_C_HighResilience!$E$11*W150+ILP_C_HighResilience!$E$12*X150+ILP_C_HighResilience!$E$13*Y150</f>
        <v>9977.6782788670043</v>
      </c>
      <c r="AC150" s="45">
        <f ca="1">Inputs!$B$6*$C150</f>
        <v>18000</v>
      </c>
      <c r="AD150" s="45">
        <f ca="1">Inputs!$B$7*$C150</f>
        <v>15000</v>
      </c>
      <c r="AE150" s="45">
        <f ca="1">Inputs!$B$8*$C150</f>
        <v>12000</v>
      </c>
      <c r="AF150" s="45">
        <f t="shared" ca="1" si="103"/>
        <v>0</v>
      </c>
      <c r="AG150" s="45">
        <f t="shared" ca="1" si="104"/>
        <v>3057.2639000659437</v>
      </c>
      <c r="AH150" s="45">
        <f t="shared" ca="1" si="105"/>
        <v>2022.3217211329957</v>
      </c>
      <c r="AI150" s="45">
        <f t="shared" ca="1" si="106"/>
        <v>5079.5856211989394</v>
      </c>
      <c r="AJ150" s="45">
        <f ca="1">U150*(Inputs!$B$12-ILP_C_HighResilience!$F$9)+V150*(Inputs!$B$13-ILP_C_HighResilience!$F$10)+W150*(Inputs!$B$14-ILP_C_HighResilience!$F$11)+X150*(Inputs!$B$15-ILP_C_HighResilience!$F$12)+Y150*(Inputs!$B$16-ILP_C_HighResilience!$F$13)</f>
        <v>20953.410562182053</v>
      </c>
      <c r="AK150" s="45">
        <f t="shared" ca="1" si="107"/>
        <v>5079.5856211989394</v>
      </c>
      <c r="AL150" s="45">
        <f t="shared" ca="1" si="108"/>
        <v>0</v>
      </c>
      <c r="AM150" s="45">
        <f t="shared" ca="1" si="109"/>
        <v>0</v>
      </c>
      <c r="AN150" s="45">
        <f t="shared" ca="1" si="110"/>
        <v>0</v>
      </c>
      <c r="AO150" s="45">
        <f ca="1">MIN(AL150,Inputs!$B$36)</f>
        <v>0</v>
      </c>
      <c r="AP150" s="45">
        <f ca="1">MIN(AN150,Inputs!$B$36-AO150)</f>
        <v>0</v>
      </c>
      <c r="AQ150" s="45">
        <f ca="1">MIN(AM150,Inputs!$B$36-AO150-AP150)</f>
        <v>0</v>
      </c>
      <c r="AR150" s="45">
        <f t="shared" ca="1" si="111"/>
        <v>0</v>
      </c>
      <c r="AS150" s="45">
        <f t="shared" ca="1" si="112"/>
        <v>0</v>
      </c>
      <c r="AT150" s="45">
        <f t="shared" ca="1" si="113"/>
        <v>0</v>
      </c>
      <c r="AU150" s="45">
        <f t="shared" ca="1" si="114"/>
        <v>0</v>
      </c>
      <c r="AV150" s="46">
        <f ca="1">AU150*Inputs!$B$35</f>
        <v>0</v>
      </c>
      <c r="AW150" s="46">
        <f ca="1">AR150*Inputs!$C$6+AT150*Inputs!$C$7+AS150*Inputs!$C$8</f>
        <v>0</v>
      </c>
      <c r="AX150" s="46">
        <f t="shared" ca="1" si="115"/>
        <v>42238240.511043176</v>
      </c>
      <c r="AY150" s="46">
        <f ca="1">IF(J150&gt;1,($CD$4)*Inputs!$B$55*((Z150+AA150+AB150)/(SUM(ILP_C_HighResilience!$C$9:$E$13))),0)</f>
        <v>0</v>
      </c>
      <c r="AZ150" s="46">
        <f t="shared" ca="1" si="116"/>
        <v>0</v>
      </c>
      <c r="BA150" s="41">
        <f t="shared" ca="1" si="117"/>
        <v>0</v>
      </c>
      <c r="BB150" s="41">
        <f t="shared" ca="1" si="118"/>
        <v>1</v>
      </c>
      <c r="BC150" s="41">
        <f t="shared" ca="1" si="119"/>
        <v>1</v>
      </c>
      <c r="BD150" s="41">
        <f t="shared" ca="1" si="120"/>
        <v>1</v>
      </c>
    </row>
    <row r="151" spans="1:56" ht="15" customHeight="1" x14ac:dyDescent="0.3">
      <c r="A151" s="41">
        <v>144</v>
      </c>
      <c r="B151" s="42">
        <f t="shared" ca="1" si="102"/>
        <v>0.12212674901434151</v>
      </c>
      <c r="C151" s="43">
        <f ca="1">IF(B151&lt;=Inputs!$C$40,Inputs!$D$40,IF(B151&lt;=Inputs!$C$41,Inputs!$D$41,Inputs!$D$42))</f>
        <v>0.9</v>
      </c>
      <c r="D151" s="42">
        <f t="shared" ca="1" si="123"/>
        <v>0.98616137118807379</v>
      </c>
      <c r="E151" s="42">
        <f t="shared" ca="1" si="123"/>
        <v>3.3324884892079298E-2</v>
      </c>
      <c r="F151" s="42">
        <f t="shared" ca="1" si="123"/>
        <v>0.68590671312198959</v>
      </c>
      <c r="G151" s="42">
        <f t="shared" ca="1" si="123"/>
        <v>0.58816224067880463</v>
      </c>
      <c r="H151" s="42">
        <f t="shared" ca="1" si="123"/>
        <v>0.26879588680013222</v>
      </c>
      <c r="I151" s="42">
        <f t="shared" ca="1" si="123"/>
        <v>0.50842507834205908</v>
      </c>
      <c r="J151" s="43">
        <f ca="1">IF(I151&lt;Inputs!$B$54,1+Inputs!$B$55,1)</f>
        <v>1</v>
      </c>
      <c r="K151" s="42">
        <f t="shared" ca="1" si="124"/>
        <v>0.75790787586109187</v>
      </c>
      <c r="L151" s="42">
        <f t="shared" ca="1" si="124"/>
        <v>0.99227224193833674</v>
      </c>
      <c r="M151" s="42">
        <f t="shared" ca="1" si="124"/>
        <v>0.9139055227683277</v>
      </c>
      <c r="N151" s="42">
        <f t="shared" ca="1" si="124"/>
        <v>0.59819906375297605</v>
      </c>
      <c r="O151" s="42">
        <f t="shared" ca="1" si="124"/>
        <v>6.3451039424792799E-2</v>
      </c>
      <c r="P151" s="42">
        <f t="shared" ca="1" si="124"/>
        <v>0.19343895590386107</v>
      </c>
      <c r="Q151" s="42">
        <f t="shared" ca="1" si="124"/>
        <v>0.6089465779681239</v>
      </c>
      <c r="R151" s="42">
        <f t="shared" ca="1" si="124"/>
        <v>0.63383572228361118</v>
      </c>
      <c r="S151" s="42">
        <f t="shared" ca="1" si="124"/>
        <v>0.86906577500377391</v>
      </c>
      <c r="T151" s="42">
        <f t="shared" ca="1" si="124"/>
        <v>0.90035165509107851</v>
      </c>
      <c r="U151" s="44">
        <f ca="1">(IF(D151&gt;=Inputs!$E$12,1,IF(K151&lt;=Inputs!$C$46,Inputs!$D$46,IF(K151&lt;=Inputs!$C$47,Inputs!$D$47,Inputs!$D$48))))*((Inputs!$B$28+(P151-0.5)*2*Inputs!$B$53)/Inputs!$B$28)</f>
        <v>0.99689715542412816</v>
      </c>
      <c r="V151" s="44">
        <f ca="1">(IF(E151&gt;=Inputs!$E$13,1,IF(L151&lt;=Inputs!$C$46,Inputs!$D$46,IF(L151&lt;=Inputs!$C$47,Inputs!$D$47,Inputs!$D$48))))*((Inputs!$B$29+(Q151-0.5)*2*Inputs!$B$53)/Inputs!$B$29)</f>
        <v>0</v>
      </c>
      <c r="W151" s="44">
        <f ca="1">(IF(F151&gt;=Inputs!$E$14,1,IF(M151&lt;=Inputs!$C$46,Inputs!$D$46,IF(M151&lt;=Inputs!$C$47,Inputs!$D$47,Inputs!$D$48))))*((Inputs!$B$30+(R151-0.5)*2*Inputs!$B$53)/Inputs!$B$30)</f>
        <v>1.0013450826360162</v>
      </c>
      <c r="X151" s="44">
        <f ca="1">(IF(G151&gt;=Inputs!$E$15,1,IF(N151&lt;=Inputs!$C$46,Inputs!$D$46,IF(N151&lt;=Inputs!$C$47,Inputs!$D$47,Inputs!$D$48))))*((Inputs!$B$31+(S151-0.5)*2*Inputs!$B$53)/Inputs!$B$31)</f>
        <v>1.0037468606599369</v>
      </c>
      <c r="Y151" s="44">
        <f ca="1">(IF(H151&gt;=Inputs!$E$16,1,IF(O151&lt;=Inputs!$C$46,Inputs!$D$46,IF(O151&lt;=Inputs!$C$47,Inputs!$D$47,Inputs!$D$48))))*((Inputs!$B$32+(T151-0.5)*2*Inputs!$B$53)/Inputs!$B$32)</f>
        <v>1.0040276826467915</v>
      </c>
      <c r="Z151" s="45">
        <f ca="1">ILP_C_HighResilience!$C$9*U151+ILP_C_HighResilience!$C$10*V151+ILP_C_HighResilience!$C$11*W151+ILP_C_HighResilience!$C$12*X151+ILP_C_HighResilience!$C$13*Y151</f>
        <v>14404.636915805269</v>
      </c>
      <c r="AA151" s="45">
        <f ca="1">ILP_C_HighResilience!$D$9*U151+ILP_C_HighResilience!$D$10*V151+ILP_C_HighResilience!$D$11*W151+ILP_C_HighResilience!$D$12*X151+ILP_C_HighResilience!$D$13*Y151</f>
        <v>9023.2019581946588</v>
      </c>
      <c r="AB151" s="45">
        <f ca="1">ILP_C_HighResilience!$E$9*U151+ILP_C_HighResilience!$E$10*V151+ILP_C_HighResilience!$E$11*W151+ILP_C_HighResilience!$E$12*X151+ILP_C_HighResilience!$E$13*Y151</f>
        <v>7701.023226671894</v>
      </c>
      <c r="AC151" s="45">
        <f ca="1">Inputs!$B$6*$C151</f>
        <v>16200</v>
      </c>
      <c r="AD151" s="45">
        <f ca="1">Inputs!$B$7*$C151</f>
        <v>13500</v>
      </c>
      <c r="AE151" s="45">
        <f ca="1">Inputs!$B$8*$C151</f>
        <v>10800</v>
      </c>
      <c r="AF151" s="45">
        <f t="shared" ca="1" si="103"/>
        <v>1795.3630841947306</v>
      </c>
      <c r="AG151" s="45">
        <f t="shared" ca="1" si="104"/>
        <v>4476.7980418053412</v>
      </c>
      <c r="AH151" s="45">
        <f t="shared" ca="1" si="105"/>
        <v>3098.976773328106</v>
      </c>
      <c r="AI151" s="45">
        <f t="shared" ca="1" si="106"/>
        <v>9371.1378993281778</v>
      </c>
      <c r="AJ151" s="45">
        <f ca="1">U151*(Inputs!$B$12-ILP_C_HighResilience!$F$9)+V151*(Inputs!$B$13-ILP_C_HighResilience!$F$10)+W151*(Inputs!$B$14-ILP_C_HighResilience!$F$11)+X151*(Inputs!$B$15-ILP_C_HighResilience!$F$12)+Y151*(Inputs!$B$16-ILP_C_HighResilience!$F$13)</f>
        <v>24944.356028003553</v>
      </c>
      <c r="AK151" s="45">
        <f t="shared" ca="1" si="107"/>
        <v>9371.1378993281778</v>
      </c>
      <c r="AL151" s="45">
        <f t="shared" ca="1" si="108"/>
        <v>0</v>
      </c>
      <c r="AM151" s="45">
        <f t="shared" ca="1" si="109"/>
        <v>0</v>
      </c>
      <c r="AN151" s="45">
        <f t="shared" ca="1" si="110"/>
        <v>0</v>
      </c>
      <c r="AO151" s="45">
        <f ca="1">MIN(AL151,Inputs!$B$36)</f>
        <v>0</v>
      </c>
      <c r="AP151" s="45">
        <f ca="1">MIN(AN151,Inputs!$B$36-AO151)</f>
        <v>0</v>
      </c>
      <c r="AQ151" s="45">
        <f ca="1">MIN(AM151,Inputs!$B$36-AO151-AP151)</f>
        <v>0</v>
      </c>
      <c r="AR151" s="45">
        <f t="shared" ca="1" si="111"/>
        <v>0</v>
      </c>
      <c r="AS151" s="45">
        <f t="shared" ca="1" si="112"/>
        <v>0</v>
      </c>
      <c r="AT151" s="45">
        <f t="shared" ca="1" si="113"/>
        <v>0</v>
      </c>
      <c r="AU151" s="45">
        <f t="shared" ca="1" si="114"/>
        <v>0</v>
      </c>
      <c r="AV151" s="46">
        <f ca="1">AU151*Inputs!$B$35</f>
        <v>0</v>
      </c>
      <c r="AW151" s="46">
        <f ca="1">AR151*Inputs!$C$6+AT151*Inputs!$C$7+AS151*Inputs!$C$8</f>
        <v>0</v>
      </c>
      <c r="AX151" s="46">
        <f t="shared" ca="1" si="115"/>
        <v>32900858.87573605</v>
      </c>
      <c r="AY151" s="46">
        <f ca="1">IF(J151&gt;1,($CD$4)*Inputs!$B$55*((Z151+AA151+AB151)/(SUM(ILP_C_HighResilience!$C$9:$E$13))),0)</f>
        <v>0</v>
      </c>
      <c r="AZ151" s="46">
        <f t="shared" ca="1" si="116"/>
        <v>0</v>
      </c>
      <c r="BA151" s="41">
        <f t="shared" ca="1" si="117"/>
        <v>0</v>
      </c>
      <c r="BB151" s="41">
        <f t="shared" ca="1" si="118"/>
        <v>1</v>
      </c>
      <c r="BC151" s="41">
        <f t="shared" ca="1" si="119"/>
        <v>1</v>
      </c>
      <c r="BD151" s="41">
        <f t="shared" ca="1" si="120"/>
        <v>1</v>
      </c>
    </row>
    <row r="152" spans="1:56" ht="15" customHeight="1" x14ac:dyDescent="0.3">
      <c r="A152" s="41">
        <v>145</v>
      </c>
      <c r="B152" s="42">
        <f t="shared" ca="1" si="102"/>
        <v>0.3664968541882887</v>
      </c>
      <c r="C152" s="43">
        <f ca="1">IF(B152&lt;=Inputs!$C$40,Inputs!$D$40,IF(B152&lt;=Inputs!$C$41,Inputs!$D$41,Inputs!$D$42))</f>
        <v>1</v>
      </c>
      <c r="D152" s="42">
        <f t="shared" ca="1" si="123"/>
        <v>0.32749183602140741</v>
      </c>
      <c r="E152" s="42">
        <f t="shared" ca="1" si="123"/>
        <v>0.27193810853968114</v>
      </c>
      <c r="F152" s="42">
        <f t="shared" ca="1" si="123"/>
        <v>9.2510103997515469E-2</v>
      </c>
      <c r="G152" s="42">
        <f t="shared" ca="1" si="123"/>
        <v>0.9846331648152763</v>
      </c>
      <c r="H152" s="42">
        <f t="shared" ca="1" si="123"/>
        <v>0.33223401219721849</v>
      </c>
      <c r="I152" s="42">
        <f t="shared" ca="1" si="123"/>
        <v>0.34702443374283765</v>
      </c>
      <c r="J152" s="43">
        <f ca="1">IF(I152&lt;Inputs!$B$54,1+Inputs!$B$55,1)</f>
        <v>1</v>
      </c>
      <c r="K152" s="42">
        <f t="shared" ca="1" si="124"/>
        <v>0.68676434143298137</v>
      </c>
      <c r="L152" s="42">
        <f t="shared" ca="1" si="124"/>
        <v>6.6178381725163882E-2</v>
      </c>
      <c r="M152" s="42">
        <f t="shared" ca="1" si="124"/>
        <v>0.48965044117403966</v>
      </c>
      <c r="N152" s="42">
        <f t="shared" ca="1" si="124"/>
        <v>6.6528602187310826E-2</v>
      </c>
      <c r="O152" s="42">
        <f t="shared" ca="1" si="124"/>
        <v>0.43178519286870176</v>
      </c>
      <c r="P152" s="42">
        <f t="shared" ca="1" si="124"/>
        <v>0.10345079465298024</v>
      </c>
      <c r="Q152" s="42">
        <f t="shared" ca="1" si="124"/>
        <v>0.70500555643052143</v>
      </c>
      <c r="R152" s="42">
        <f t="shared" ca="1" si="124"/>
        <v>0.60604012007289587</v>
      </c>
      <c r="S152" s="42">
        <f t="shared" ca="1" si="124"/>
        <v>0.53035014193598295</v>
      </c>
      <c r="T152" s="42">
        <f t="shared" ca="1" si="124"/>
        <v>0.54705290874227563</v>
      </c>
      <c r="U152" s="44">
        <f ca="1">(IF(D152&gt;=Inputs!$E$12,1,IF(K152&lt;=Inputs!$C$46,Inputs!$D$46,IF(K152&lt;=Inputs!$C$47,Inputs!$D$47,Inputs!$D$48))))*((Inputs!$B$28+(P152-0.5)*2*Inputs!$B$53)/Inputs!$B$28)</f>
        <v>0.99598634407543507</v>
      </c>
      <c r="V152" s="44">
        <f ca="1">(IF(E152&gt;=Inputs!$E$13,1,IF(L152&lt;=Inputs!$C$46,Inputs!$D$46,IF(L152&lt;=Inputs!$C$47,Inputs!$D$47,Inputs!$D$48))))*((Inputs!$B$29+(Q152-0.5)*2*Inputs!$B$53)/Inputs!$B$29)</f>
        <v>1.0020665882704689</v>
      </c>
      <c r="W152" s="44">
        <f ca="1">(IF(F152&gt;=Inputs!$E$14,1,IF(M152&lt;=Inputs!$C$46,Inputs!$D$46,IF(M152&lt;=Inputs!$C$47,Inputs!$D$47,Inputs!$D$48))))*((Inputs!$B$30+(R152-0.5)*2*Inputs!$B$53)/Inputs!$B$30)</f>
        <v>1.0010657298499788</v>
      </c>
      <c r="X152" s="44">
        <f ca="1">(IF(G152&gt;=Inputs!$E$15,1,IF(N152&lt;=Inputs!$C$46,Inputs!$D$46,IF(N152&lt;=Inputs!$C$47,Inputs!$D$47,Inputs!$D$48))))*((Inputs!$B$31+(S152-0.5)*2*Inputs!$B$53)/Inputs!$B$31)</f>
        <v>1.0003081232683857</v>
      </c>
      <c r="Y152" s="44">
        <f ca="1">(IF(H152&gt;=Inputs!$E$16,1,IF(O152&lt;=Inputs!$C$46,Inputs!$D$46,IF(O152&lt;=Inputs!$C$47,Inputs!$D$47,Inputs!$D$48))))*((Inputs!$B$32+(T152-0.5)*2*Inputs!$B$53)/Inputs!$B$32)</f>
        <v>1.0004733693032422</v>
      </c>
      <c r="Z152" s="45">
        <f ca="1">ILP_C_HighResilience!$C$9*U152+ILP_C_HighResilience!$C$10*V152+ILP_C_HighResilience!$C$11*W152+ILP_C_HighResilience!$C$12*X152+ILP_C_HighResilience!$C$13*Y152</f>
        <v>17980.759882649199</v>
      </c>
      <c r="AA152" s="45">
        <f ca="1">ILP_C_HighResilience!$D$9*U152+ILP_C_HighResilience!$D$10*V152+ILP_C_HighResilience!$D$11*W152+ILP_C_HighResilience!$D$12*X152+ILP_C_HighResilience!$D$13*Y152</f>
        <v>15018.490955865662</v>
      </c>
      <c r="AB152" s="45">
        <f ca="1">ILP_C_HighResilience!$E$9*U152+ILP_C_HighResilience!$E$10*V152+ILP_C_HighResilience!$E$11*W152+ILP_C_HighResilience!$E$12*X152+ILP_C_HighResilience!$E$13*Y152</f>
        <v>11992.699387388997</v>
      </c>
      <c r="AC152" s="45">
        <f ca="1">Inputs!$B$6*$C152</f>
        <v>18000</v>
      </c>
      <c r="AD152" s="45">
        <f ca="1">Inputs!$B$7*$C152</f>
        <v>15000</v>
      </c>
      <c r="AE152" s="45">
        <f ca="1">Inputs!$B$8*$C152</f>
        <v>12000</v>
      </c>
      <c r="AF152" s="45">
        <f t="shared" ca="1" si="103"/>
        <v>19.240117350800574</v>
      </c>
      <c r="AG152" s="45">
        <f t="shared" ca="1" si="104"/>
        <v>0</v>
      </c>
      <c r="AH152" s="45">
        <f t="shared" ca="1" si="105"/>
        <v>7.3006126110030891</v>
      </c>
      <c r="AI152" s="45">
        <f t="shared" ca="1" si="106"/>
        <v>26.540729961803663</v>
      </c>
      <c r="AJ152" s="45">
        <f ca="1">U152*(Inputs!$B$12-ILP_C_HighResilience!$F$9)+V152*(Inputs!$B$13-ILP_C_HighResilience!$F$10)+W152*(Inputs!$B$14-ILP_C_HighResilience!$F$11)+X152*(Inputs!$B$15-ILP_C_HighResilience!$F$12)+Y152*(Inputs!$B$16-ILP_C_HighResilience!$F$13)</f>
        <v>24997.416021908655</v>
      </c>
      <c r="AK152" s="45">
        <f t="shared" ca="1" si="107"/>
        <v>26.540729961803663</v>
      </c>
      <c r="AL152" s="45">
        <f t="shared" ca="1" si="108"/>
        <v>0</v>
      </c>
      <c r="AM152" s="45">
        <f t="shared" ca="1" si="109"/>
        <v>0</v>
      </c>
      <c r="AN152" s="45">
        <f t="shared" ca="1" si="110"/>
        <v>0</v>
      </c>
      <c r="AO152" s="45">
        <f ca="1">MIN(AL152,Inputs!$B$36)</f>
        <v>0</v>
      </c>
      <c r="AP152" s="45">
        <f ca="1">MIN(AN152,Inputs!$B$36-AO152)</f>
        <v>0</v>
      </c>
      <c r="AQ152" s="45">
        <f ca="1">MIN(AM152,Inputs!$B$36-AO152-AP152)</f>
        <v>0</v>
      </c>
      <c r="AR152" s="45">
        <f t="shared" ca="1" si="111"/>
        <v>0</v>
      </c>
      <c r="AS152" s="45">
        <f t="shared" ca="1" si="112"/>
        <v>0</v>
      </c>
      <c r="AT152" s="45">
        <f t="shared" ca="1" si="113"/>
        <v>0</v>
      </c>
      <c r="AU152" s="45">
        <f t="shared" ca="1" si="114"/>
        <v>0</v>
      </c>
      <c r="AV152" s="46">
        <f ca="1">AU152*Inputs!$B$35</f>
        <v>0</v>
      </c>
      <c r="AW152" s="46">
        <f ca="1">AR152*Inputs!$C$6+AT152*Inputs!$C$7+AS152*Inputs!$C$8</f>
        <v>0</v>
      </c>
      <c r="AX152" s="46">
        <f t="shared" ca="1" si="115"/>
        <v>47623873.080081217</v>
      </c>
      <c r="AY152" s="46">
        <f ca="1">IF(J152&gt;1,($CD$4)*Inputs!$B$55*((Z152+AA152+AB152)/(SUM(ILP_C_HighResilience!$C$9:$E$13))),0)</f>
        <v>0</v>
      </c>
      <c r="AZ152" s="46">
        <f t="shared" ca="1" si="116"/>
        <v>0</v>
      </c>
      <c r="BA152" s="41">
        <f t="shared" ca="1" si="117"/>
        <v>0</v>
      </c>
      <c r="BB152" s="41">
        <f t="shared" ca="1" si="118"/>
        <v>1</v>
      </c>
      <c r="BC152" s="41">
        <f t="shared" ca="1" si="119"/>
        <v>1</v>
      </c>
      <c r="BD152" s="41">
        <f t="shared" ca="1" si="120"/>
        <v>1</v>
      </c>
    </row>
    <row r="153" spans="1:56" ht="15" customHeight="1" x14ac:dyDescent="0.3">
      <c r="A153" s="41">
        <v>146</v>
      </c>
      <c r="B153" s="42">
        <f t="shared" ca="1" si="102"/>
        <v>0.23161276455618141</v>
      </c>
      <c r="C153" s="43">
        <f ca="1">IF(B153&lt;=Inputs!$C$40,Inputs!$D$40,IF(B153&lt;=Inputs!$C$41,Inputs!$D$41,Inputs!$D$42))</f>
        <v>1</v>
      </c>
      <c r="D153" s="42">
        <f t="shared" ca="1" si="123"/>
        <v>0.58976631435930837</v>
      </c>
      <c r="E153" s="42">
        <f t="shared" ca="1" si="123"/>
        <v>0.45558384736249302</v>
      </c>
      <c r="F153" s="42">
        <f t="shared" ca="1" si="123"/>
        <v>0.98921043151721177</v>
      </c>
      <c r="G153" s="42">
        <f t="shared" ca="1" si="123"/>
        <v>0.21997687160672252</v>
      </c>
      <c r="H153" s="42">
        <f t="shared" ca="1" si="123"/>
        <v>0.92548519845022703</v>
      </c>
      <c r="I153" s="42">
        <f t="shared" ca="1" si="123"/>
        <v>0.69219868400914364</v>
      </c>
      <c r="J153" s="43">
        <f ca="1">IF(I153&lt;Inputs!$B$54,1+Inputs!$B$55,1)</f>
        <v>1</v>
      </c>
      <c r="K153" s="42">
        <f t="shared" ca="1" si="124"/>
        <v>0.8492601199574209</v>
      </c>
      <c r="L153" s="42">
        <f t="shared" ca="1" si="124"/>
        <v>0.65956491228276393</v>
      </c>
      <c r="M153" s="42">
        <f t="shared" ca="1" si="124"/>
        <v>0.38669612750772742</v>
      </c>
      <c r="N153" s="42">
        <f t="shared" ca="1" si="124"/>
        <v>0.86655849361761284</v>
      </c>
      <c r="O153" s="42">
        <f t="shared" ca="1" si="124"/>
        <v>0.78437006441747747</v>
      </c>
      <c r="P153" s="42">
        <f t="shared" ca="1" si="124"/>
        <v>0.10082597013504524</v>
      </c>
      <c r="Q153" s="42">
        <f t="shared" ca="1" si="124"/>
        <v>0.75931499847740003</v>
      </c>
      <c r="R153" s="42">
        <f t="shared" ca="1" si="124"/>
        <v>0.91103362142304878</v>
      </c>
      <c r="S153" s="42">
        <f t="shared" ca="1" si="124"/>
        <v>0.24322534198722123</v>
      </c>
      <c r="T153" s="42">
        <f t="shared" ca="1" si="124"/>
        <v>0.15450027506406616</v>
      </c>
      <c r="U153" s="44">
        <f ca="1">(IF(D153&gt;=Inputs!$E$12,1,IF(K153&lt;=Inputs!$C$46,Inputs!$D$46,IF(K153&lt;=Inputs!$C$47,Inputs!$D$47,Inputs!$D$48))))*((Inputs!$B$28+(P153-0.5)*2*Inputs!$B$53)/Inputs!$B$28)</f>
        <v>0.9959597770256583</v>
      </c>
      <c r="V153" s="44">
        <f ca="1">(IF(E153&gt;=Inputs!$E$13,1,IF(L153&lt;=Inputs!$C$46,Inputs!$D$46,IF(L153&lt;=Inputs!$C$47,Inputs!$D$47,Inputs!$D$48))))*((Inputs!$B$29+(Q153-0.5)*2*Inputs!$B$53)/Inputs!$B$29)</f>
        <v>1.0026140624846511</v>
      </c>
      <c r="W153" s="44">
        <f ca="1">(IF(F153&gt;=Inputs!$E$14,1,IF(M153&lt;=Inputs!$C$46,Inputs!$D$46,IF(M153&lt;=Inputs!$C$47,Inputs!$D$47,Inputs!$D$48))))*((Inputs!$B$30+(R153-0.5)*2*Inputs!$B$53)/Inputs!$B$30)</f>
        <v>1.0041309911700809</v>
      </c>
      <c r="X153" s="44">
        <f ca="1">(IF(G153&gt;=Inputs!$E$15,1,IF(N153&lt;=Inputs!$C$46,Inputs!$D$46,IF(N153&lt;=Inputs!$C$47,Inputs!$D$47,Inputs!$D$48))))*((Inputs!$B$31+(S153-0.5)*2*Inputs!$B$53)/Inputs!$B$31)</f>
        <v>0.99739315068007328</v>
      </c>
      <c r="Y153" s="44">
        <f ca="1">(IF(H153&gt;=Inputs!$E$16,1,IF(O153&lt;=Inputs!$C$46,Inputs!$D$46,IF(O153&lt;=Inputs!$C$47,Inputs!$D$47,Inputs!$D$48))))*((Inputs!$B$32+(T153-0.5)*2*Inputs!$B$53)/Inputs!$B$32)</f>
        <v>0.99652414763645936</v>
      </c>
      <c r="Z153" s="45">
        <f ca="1">ILP_C_HighResilience!$C$9*U153+ILP_C_HighResilience!$C$10*V153+ILP_C_HighResilience!$C$11*W153+ILP_C_HighResilience!$C$12*X153+ILP_C_HighResilience!$C$13*Y153</f>
        <v>17961.551704426012</v>
      </c>
      <c r="AA153" s="45">
        <f ca="1">ILP_C_HighResilience!$D$9*U153+ILP_C_HighResilience!$D$10*V153+ILP_C_HighResilience!$D$11*W153+ILP_C_HighResilience!$D$12*X153+ILP_C_HighResilience!$D$13*Y153</f>
        <v>15021.734472374799</v>
      </c>
      <c r="AB153" s="45">
        <f ca="1">ILP_C_HighResilience!$E$9*U153+ILP_C_HighResilience!$E$10*V153+ILP_C_HighResilience!$E$11*W153+ILP_C_HighResilience!$E$12*X153+ILP_C_HighResilience!$E$13*Y153</f>
        <v>12003.845475944619</v>
      </c>
      <c r="AC153" s="45">
        <f ca="1">Inputs!$B$6*$C153</f>
        <v>18000</v>
      </c>
      <c r="AD153" s="45">
        <f ca="1">Inputs!$B$7*$C153</f>
        <v>15000</v>
      </c>
      <c r="AE153" s="45">
        <f ca="1">Inputs!$B$8*$C153</f>
        <v>12000</v>
      </c>
      <c r="AF153" s="45">
        <f t="shared" ca="1" si="103"/>
        <v>38.448295573987707</v>
      </c>
      <c r="AG153" s="45">
        <f t="shared" ca="1" si="104"/>
        <v>0</v>
      </c>
      <c r="AH153" s="45">
        <f t="shared" ca="1" si="105"/>
        <v>0</v>
      </c>
      <c r="AI153" s="45">
        <f t="shared" ca="1" si="106"/>
        <v>38.448295573987707</v>
      </c>
      <c r="AJ153" s="45">
        <f ca="1">U153*(Inputs!$B$12-ILP_C_HighResilience!$F$9)+V153*(Inputs!$B$13-ILP_C_HighResilience!$F$10)+W153*(Inputs!$B$14-ILP_C_HighResilience!$F$11)+X153*(Inputs!$B$15-ILP_C_HighResilience!$F$12)+Y153*(Inputs!$B$16-ILP_C_HighResilience!$F$13)</f>
        <v>24955.104562369037</v>
      </c>
      <c r="AK153" s="45">
        <f t="shared" ca="1" si="107"/>
        <v>38.448295573987707</v>
      </c>
      <c r="AL153" s="45">
        <f t="shared" ca="1" si="108"/>
        <v>0</v>
      </c>
      <c r="AM153" s="45">
        <f t="shared" ca="1" si="109"/>
        <v>0</v>
      </c>
      <c r="AN153" s="45">
        <f t="shared" ca="1" si="110"/>
        <v>0</v>
      </c>
      <c r="AO153" s="45">
        <f ca="1">MIN(AL153,Inputs!$B$36)</f>
        <v>0</v>
      </c>
      <c r="AP153" s="45">
        <f ca="1">MIN(AN153,Inputs!$B$36-AO153)</f>
        <v>0</v>
      </c>
      <c r="AQ153" s="45">
        <f ca="1">MIN(AM153,Inputs!$B$36-AO153-AP153)</f>
        <v>0</v>
      </c>
      <c r="AR153" s="45">
        <f t="shared" ca="1" si="111"/>
        <v>0</v>
      </c>
      <c r="AS153" s="45">
        <f t="shared" ca="1" si="112"/>
        <v>0</v>
      </c>
      <c r="AT153" s="45">
        <f t="shared" ca="1" si="113"/>
        <v>0</v>
      </c>
      <c r="AU153" s="45">
        <f t="shared" ca="1" si="114"/>
        <v>0</v>
      </c>
      <c r="AV153" s="46">
        <f ca="1">AU153*Inputs!$B$35</f>
        <v>0</v>
      </c>
      <c r="AW153" s="46">
        <f ca="1">AR153*Inputs!$C$6+AT153*Inputs!$C$7+AS153*Inputs!$C$8</f>
        <v>0</v>
      </c>
      <c r="AX153" s="46">
        <f t="shared" ca="1" si="115"/>
        <v>47619517.820762537</v>
      </c>
      <c r="AY153" s="46">
        <f ca="1">IF(J153&gt;1,($CD$4)*Inputs!$B$55*((Z153+AA153+AB153)/(SUM(ILP_C_HighResilience!$C$9:$E$13))),0)</f>
        <v>0</v>
      </c>
      <c r="AZ153" s="46">
        <f t="shared" ca="1" si="116"/>
        <v>0</v>
      </c>
      <c r="BA153" s="41">
        <f t="shared" ca="1" si="117"/>
        <v>0</v>
      </c>
      <c r="BB153" s="41">
        <f t="shared" ca="1" si="118"/>
        <v>1</v>
      </c>
      <c r="BC153" s="41">
        <f t="shared" ca="1" si="119"/>
        <v>1</v>
      </c>
      <c r="BD153" s="41">
        <f t="shared" ca="1" si="120"/>
        <v>1</v>
      </c>
    </row>
    <row r="154" spans="1:56" ht="15" customHeight="1" x14ac:dyDescent="0.3">
      <c r="A154" s="41">
        <v>147</v>
      </c>
      <c r="B154" s="42">
        <f t="shared" ca="1" si="102"/>
        <v>0.26624406573870407</v>
      </c>
      <c r="C154" s="43">
        <f ca="1">IF(B154&lt;=Inputs!$C$40,Inputs!$D$40,IF(B154&lt;=Inputs!$C$41,Inputs!$D$41,Inputs!$D$42))</f>
        <v>1</v>
      </c>
      <c r="D154" s="42">
        <f t="shared" ca="1" si="123"/>
        <v>0.28164325979215721</v>
      </c>
      <c r="E154" s="42">
        <f t="shared" ca="1" si="123"/>
        <v>0.48369441523574419</v>
      </c>
      <c r="F154" s="42">
        <f t="shared" ca="1" si="123"/>
        <v>0.38201399298891014</v>
      </c>
      <c r="G154" s="42">
        <f t="shared" ca="1" si="123"/>
        <v>0.95982603391680987</v>
      </c>
      <c r="H154" s="42">
        <f t="shared" ca="1" si="123"/>
        <v>0.6087830864821393</v>
      </c>
      <c r="I154" s="42">
        <f t="shared" ca="1" si="123"/>
        <v>0.46308118295039402</v>
      </c>
      <c r="J154" s="43">
        <f ca="1">IF(I154&lt;Inputs!$B$54,1+Inputs!$B$55,1)</f>
        <v>1</v>
      </c>
      <c r="K154" s="42">
        <f t="shared" ca="1" si="124"/>
        <v>0.3294736337242351</v>
      </c>
      <c r="L154" s="42">
        <f t="shared" ca="1" si="124"/>
        <v>0.27329965167421644</v>
      </c>
      <c r="M154" s="42">
        <f t="shared" ca="1" si="124"/>
        <v>0.73031696074708141</v>
      </c>
      <c r="N154" s="42">
        <f t="shared" ca="1" si="124"/>
        <v>0.89615211016948382</v>
      </c>
      <c r="O154" s="42">
        <f t="shared" ca="1" si="124"/>
        <v>0.71394764081280926</v>
      </c>
      <c r="P154" s="42">
        <f t="shared" ca="1" si="124"/>
        <v>0.88160848031283956</v>
      </c>
      <c r="Q154" s="42">
        <f t="shared" ca="1" si="124"/>
        <v>0.72048905271389874</v>
      </c>
      <c r="R154" s="42">
        <f t="shared" ca="1" si="124"/>
        <v>0.16895606705818977</v>
      </c>
      <c r="S154" s="42">
        <f t="shared" ca="1" si="124"/>
        <v>0.45469423691033617</v>
      </c>
      <c r="T154" s="42">
        <f t="shared" ca="1" si="124"/>
        <v>5.3468451049827004E-2</v>
      </c>
      <c r="U154" s="44">
        <f ca="1">(IF(D154&gt;=Inputs!$E$12,1,IF(K154&lt;=Inputs!$C$46,Inputs!$D$46,IF(K154&lt;=Inputs!$C$47,Inputs!$D$47,Inputs!$D$48))))*((Inputs!$B$28+(P154-0.5)*2*Inputs!$B$53)/Inputs!$B$28)</f>
        <v>1.0038624340112636</v>
      </c>
      <c r="V154" s="44">
        <f ca="1">(IF(E154&gt;=Inputs!$E$13,1,IF(L154&lt;=Inputs!$C$46,Inputs!$D$46,IF(L154&lt;=Inputs!$C$47,Inputs!$D$47,Inputs!$D$48))))*((Inputs!$B$29+(Q154-0.5)*2*Inputs!$B$53)/Inputs!$B$29)</f>
        <v>1.0022226719023579</v>
      </c>
      <c r="W154" s="44">
        <f ca="1">(IF(F154&gt;=Inputs!$E$14,1,IF(M154&lt;=Inputs!$C$46,Inputs!$D$46,IF(M154&lt;=Inputs!$C$47,Inputs!$D$47,Inputs!$D$48))))*((Inputs!$B$30+(R154-0.5)*2*Inputs!$B$53)/Inputs!$B$30)</f>
        <v>0.99667292529706719</v>
      </c>
      <c r="X154" s="44">
        <f ca="1">(IF(G154&gt;=Inputs!$E$15,1,IF(N154&lt;=Inputs!$C$46,Inputs!$D$46,IF(N154&lt;=Inputs!$C$47,Inputs!$D$47,Inputs!$D$48))))*((Inputs!$B$31+(S154-0.5)*2*Inputs!$B$53)/Inputs!$B$31)</f>
        <v>0.99954004301431809</v>
      </c>
      <c r="Y154" s="44">
        <f ca="1">(IF(H154&gt;=Inputs!$E$16,1,IF(O154&lt;=Inputs!$C$46,Inputs!$D$46,IF(O154&lt;=Inputs!$C$47,Inputs!$D$47,Inputs!$D$48))))*((Inputs!$B$32+(T154-0.5)*2*Inputs!$B$53)/Inputs!$B$32)</f>
        <v>0.99550773089587352</v>
      </c>
      <c r="Z154" s="45">
        <f ca="1">ILP_C_HighResilience!$C$9*U154+ILP_C_HighResilience!$C$10*V154+ILP_C_HighResilience!$C$11*W154+ILP_C_HighResilience!$C$12*X154+ILP_C_HighResilience!$C$13*Y154</f>
        <v>18032.499453432676</v>
      </c>
      <c r="AA154" s="45">
        <f ca="1">ILP_C_HighResilience!$D$9*U154+ILP_C_HighResilience!$D$10*V154+ILP_C_HighResilience!$D$11*W154+ILP_C_HighResilience!$D$12*X154+ILP_C_HighResilience!$D$13*Y154</f>
        <v>14996.63844294145</v>
      </c>
      <c r="AB154" s="45">
        <f ca="1">ILP_C_HighResilience!$E$9*U154+ILP_C_HighResilience!$E$10*V154+ILP_C_HighResilience!$E$11*W154+ILP_C_HighResilience!$E$12*X154+ILP_C_HighResilience!$E$13*Y154</f>
        <v>12018.382058836436</v>
      </c>
      <c r="AC154" s="45">
        <f ca="1">Inputs!$B$6*$C154</f>
        <v>18000</v>
      </c>
      <c r="AD154" s="45">
        <f ca="1">Inputs!$B$7*$C154</f>
        <v>15000</v>
      </c>
      <c r="AE154" s="45">
        <f ca="1">Inputs!$B$8*$C154</f>
        <v>12000</v>
      </c>
      <c r="AF154" s="45">
        <f t="shared" ca="1" si="103"/>
        <v>0</v>
      </c>
      <c r="AG154" s="45">
        <f t="shared" ca="1" si="104"/>
        <v>3.3615570585498062</v>
      </c>
      <c r="AH154" s="45">
        <f t="shared" ca="1" si="105"/>
        <v>0</v>
      </c>
      <c r="AI154" s="45">
        <f t="shared" ca="1" si="106"/>
        <v>3.3615570585498062</v>
      </c>
      <c r="AJ154" s="45">
        <f ca="1">U154*(Inputs!$B$12-ILP_C_HighResilience!$F$9)+V154*(Inputs!$B$13-ILP_C_HighResilience!$F$10)+W154*(Inputs!$B$14-ILP_C_HighResilience!$F$11)+X154*(Inputs!$B$15-ILP_C_HighResilience!$F$12)+Y154*(Inputs!$B$16-ILP_C_HighResilience!$F$13)</f>
        <v>24929.240904074457</v>
      </c>
      <c r="AK154" s="45">
        <f t="shared" ca="1" si="107"/>
        <v>3.3615570585498062</v>
      </c>
      <c r="AL154" s="45">
        <f t="shared" ca="1" si="108"/>
        <v>0</v>
      </c>
      <c r="AM154" s="45">
        <f t="shared" ca="1" si="109"/>
        <v>0</v>
      </c>
      <c r="AN154" s="45">
        <f t="shared" ca="1" si="110"/>
        <v>0</v>
      </c>
      <c r="AO154" s="45">
        <f ca="1">MIN(AL154,Inputs!$B$36)</f>
        <v>0</v>
      </c>
      <c r="AP154" s="45">
        <f ca="1">MIN(AN154,Inputs!$B$36-AO154)</f>
        <v>0</v>
      </c>
      <c r="AQ154" s="45">
        <f ca="1">MIN(AM154,Inputs!$B$36-AO154-AP154)</f>
        <v>0</v>
      </c>
      <c r="AR154" s="45">
        <f t="shared" ca="1" si="111"/>
        <v>0</v>
      </c>
      <c r="AS154" s="45">
        <f t="shared" ca="1" si="112"/>
        <v>0</v>
      </c>
      <c r="AT154" s="45">
        <f t="shared" ca="1" si="113"/>
        <v>0</v>
      </c>
      <c r="AU154" s="45">
        <f t="shared" ca="1" si="114"/>
        <v>0</v>
      </c>
      <c r="AV154" s="46">
        <f ca="1">AU154*Inputs!$B$35</f>
        <v>0</v>
      </c>
      <c r="AW154" s="46">
        <f ca="1">AR154*Inputs!$C$6+AT154*Inputs!$C$7+AS154*Inputs!$C$8</f>
        <v>0</v>
      </c>
      <c r="AX154" s="46">
        <f t="shared" ca="1" si="115"/>
        <v>47682825.43255163</v>
      </c>
      <c r="AY154" s="46">
        <f ca="1">IF(J154&gt;1,($CD$4)*Inputs!$B$55*((Z154+AA154+AB154)/(SUM(ILP_C_HighResilience!$C$9:$E$13))),0)</f>
        <v>0</v>
      </c>
      <c r="AZ154" s="46">
        <f t="shared" ca="1" si="116"/>
        <v>0</v>
      </c>
      <c r="BA154" s="41">
        <f t="shared" ca="1" si="117"/>
        <v>0</v>
      </c>
      <c r="BB154" s="41">
        <f t="shared" ca="1" si="118"/>
        <v>1</v>
      </c>
      <c r="BC154" s="41">
        <f t="shared" ca="1" si="119"/>
        <v>1</v>
      </c>
      <c r="BD154" s="41">
        <f t="shared" ca="1" si="120"/>
        <v>1</v>
      </c>
    </row>
    <row r="155" spans="1:56" ht="15" customHeight="1" x14ac:dyDescent="0.3">
      <c r="A155" s="41">
        <v>148</v>
      </c>
      <c r="B155" s="42">
        <f t="shared" ca="1" si="102"/>
        <v>0.89906162458384309</v>
      </c>
      <c r="C155" s="43">
        <f ca="1">IF(B155&lt;=Inputs!$C$40,Inputs!$D$40,IF(B155&lt;=Inputs!$C$41,Inputs!$D$41,Inputs!$D$42))</f>
        <v>1.1499999999999999</v>
      </c>
      <c r="D155" s="42">
        <f t="shared" ca="1" si="123"/>
        <v>0.28500797729677707</v>
      </c>
      <c r="E155" s="42">
        <f t="shared" ca="1" si="123"/>
        <v>0.17985130825624573</v>
      </c>
      <c r="F155" s="42">
        <f t="shared" ca="1" si="123"/>
        <v>0.95975352896404831</v>
      </c>
      <c r="G155" s="42">
        <f t="shared" ca="1" si="123"/>
        <v>0.22257791270043426</v>
      </c>
      <c r="H155" s="42">
        <f t="shared" ca="1" si="123"/>
        <v>0.71832337747031894</v>
      </c>
      <c r="I155" s="42">
        <f t="shared" ca="1" si="123"/>
        <v>0.14062715703660056</v>
      </c>
      <c r="J155" s="43">
        <f ca="1">IF(I155&lt;Inputs!$B$54,1+Inputs!$B$55,1)</f>
        <v>1</v>
      </c>
      <c r="K155" s="42">
        <f t="shared" ca="1" si="124"/>
        <v>0.82321823016156714</v>
      </c>
      <c r="L155" s="42">
        <f t="shared" ca="1" si="124"/>
        <v>0.79015794361037051</v>
      </c>
      <c r="M155" s="42">
        <f t="shared" ca="1" si="124"/>
        <v>0.82054066754222676</v>
      </c>
      <c r="N155" s="42">
        <f t="shared" ca="1" si="124"/>
        <v>0.97633210353337552</v>
      </c>
      <c r="O155" s="42">
        <f t="shared" ca="1" si="124"/>
        <v>0.47318387899906134</v>
      </c>
      <c r="P155" s="42">
        <f t="shared" ca="1" si="124"/>
        <v>0.60079712857977008</v>
      </c>
      <c r="Q155" s="42">
        <f t="shared" ca="1" si="124"/>
        <v>0.17168607143275272</v>
      </c>
      <c r="R155" s="42">
        <f t="shared" ca="1" si="124"/>
        <v>0.55326347165751499</v>
      </c>
      <c r="S155" s="42">
        <f t="shared" ca="1" si="124"/>
        <v>0.78956362112716738</v>
      </c>
      <c r="T155" s="42">
        <f t="shared" ca="1" si="124"/>
        <v>0.39729852385260767</v>
      </c>
      <c r="U155" s="44">
        <f ca="1">(IF(D155&gt;=Inputs!$E$12,1,IF(K155&lt;=Inputs!$C$46,Inputs!$D$46,IF(K155&lt;=Inputs!$C$47,Inputs!$D$47,Inputs!$D$48))))*((Inputs!$B$28+(P155-0.5)*2*Inputs!$B$53)/Inputs!$B$28)</f>
        <v>1.0010202138520219</v>
      </c>
      <c r="V155" s="44">
        <f ca="1">(IF(E155&gt;=Inputs!$E$13,1,IF(L155&lt;=Inputs!$C$46,Inputs!$D$46,IF(L155&lt;=Inputs!$C$47,Inputs!$D$47,Inputs!$D$48))))*((Inputs!$B$29+(Q155-0.5)*2*Inputs!$B$53)/Inputs!$B$29)</f>
        <v>0.99669038378460439</v>
      </c>
      <c r="W155" s="44">
        <f ca="1">(IF(F155&gt;=Inputs!$E$14,1,IF(M155&lt;=Inputs!$C$46,Inputs!$D$46,IF(M155&lt;=Inputs!$C$47,Inputs!$D$47,Inputs!$D$48))))*((Inputs!$B$30+(R155-0.5)*2*Inputs!$B$53)/Inputs!$B$30)</f>
        <v>1.0005353112729398</v>
      </c>
      <c r="X155" s="44">
        <f ca="1">(IF(G155&gt;=Inputs!$E$15,1,IF(N155&lt;=Inputs!$C$46,Inputs!$D$46,IF(N155&lt;=Inputs!$C$47,Inputs!$D$47,Inputs!$D$48))))*((Inputs!$B$31+(S155-0.5)*2*Inputs!$B$53)/Inputs!$B$31)</f>
        <v>1.0029397321941844</v>
      </c>
      <c r="Y155" s="44">
        <f ca="1">(IF(H155&gt;=Inputs!$E$16,1,IF(O155&lt;=Inputs!$C$46,Inputs!$D$46,IF(O155&lt;=Inputs!$C$47,Inputs!$D$47,Inputs!$D$48))))*((Inputs!$B$32+(T155-0.5)*2*Inputs!$B$53)/Inputs!$B$32)</f>
        <v>0.99896678595425159</v>
      </c>
      <c r="Z155" s="45">
        <f ca="1">ILP_C_HighResilience!$C$9*U155+ILP_C_HighResilience!$C$10*V155+ILP_C_HighResilience!$C$11*W155+ILP_C_HighResilience!$C$12*X155+ILP_C_HighResilience!$C$13*Y155</f>
        <v>18016.596993157262</v>
      </c>
      <c r="AA155" s="45">
        <f ca="1">ILP_C_HighResilience!$D$9*U155+ILP_C_HighResilience!$D$10*V155+ILP_C_HighResilience!$D$11*W155+ILP_C_HighResilience!$D$12*X155+ILP_C_HighResilience!$D$13*Y155</f>
        <v>14996.068528820235</v>
      </c>
      <c r="AB155" s="45">
        <f ca="1">ILP_C_HighResilience!$E$9*U155+ILP_C_HighResilience!$E$10*V155+ILP_C_HighResilience!$E$11*W155+ILP_C_HighResilience!$E$12*X155+ILP_C_HighResilience!$E$13*Y155</f>
        <v>11992.264218584889</v>
      </c>
      <c r="AC155" s="45">
        <f ca="1">Inputs!$B$6*$C155</f>
        <v>20700</v>
      </c>
      <c r="AD155" s="45">
        <f ca="1">Inputs!$B$7*$C155</f>
        <v>17250</v>
      </c>
      <c r="AE155" s="45">
        <f ca="1">Inputs!$B$8*$C155</f>
        <v>13799.999999999998</v>
      </c>
      <c r="AF155" s="45">
        <f t="shared" ca="1" si="103"/>
        <v>2683.4030068427383</v>
      </c>
      <c r="AG155" s="45">
        <f t="shared" ca="1" si="104"/>
        <v>2253.9314711797651</v>
      </c>
      <c r="AH155" s="45">
        <f t="shared" ca="1" si="105"/>
        <v>1807.7357814151092</v>
      </c>
      <c r="AI155" s="45">
        <f t="shared" ca="1" si="106"/>
        <v>6745.0702594376125</v>
      </c>
      <c r="AJ155" s="45">
        <f ca="1">U155*(Inputs!$B$12-ILP_C_HighResilience!$F$9)+V155*(Inputs!$B$13-ILP_C_HighResilience!$F$10)+W155*(Inputs!$B$14-ILP_C_HighResilience!$F$11)+X155*(Inputs!$B$15-ILP_C_HighResilience!$F$12)+Y155*(Inputs!$B$16-ILP_C_HighResilience!$F$13)</f>
        <v>24991.796676246631</v>
      </c>
      <c r="AK155" s="45">
        <f t="shared" ca="1" si="107"/>
        <v>6745.0702594376125</v>
      </c>
      <c r="AL155" s="45">
        <f t="shared" ca="1" si="108"/>
        <v>0</v>
      </c>
      <c r="AM155" s="45">
        <f t="shared" ca="1" si="109"/>
        <v>0</v>
      </c>
      <c r="AN155" s="45">
        <f t="shared" ca="1" si="110"/>
        <v>0</v>
      </c>
      <c r="AO155" s="45">
        <f ca="1">MIN(AL155,Inputs!$B$36)</f>
        <v>0</v>
      </c>
      <c r="AP155" s="45">
        <f ca="1">MIN(AN155,Inputs!$B$36-AO155)</f>
        <v>0</v>
      </c>
      <c r="AQ155" s="45">
        <f ca="1">MIN(AM155,Inputs!$B$36-AO155-AP155)</f>
        <v>0</v>
      </c>
      <c r="AR155" s="45">
        <f t="shared" ca="1" si="111"/>
        <v>0</v>
      </c>
      <c r="AS155" s="45">
        <f t="shared" ca="1" si="112"/>
        <v>0</v>
      </c>
      <c r="AT155" s="45">
        <f t="shared" ca="1" si="113"/>
        <v>0</v>
      </c>
      <c r="AU155" s="45">
        <f t="shared" ca="1" si="114"/>
        <v>0</v>
      </c>
      <c r="AV155" s="46">
        <f ca="1">AU155*Inputs!$B$35</f>
        <v>0</v>
      </c>
      <c r="AW155" s="46">
        <f ca="1">AR155*Inputs!$C$6+AT155*Inputs!$C$7+AS155*Inputs!$C$8</f>
        <v>0</v>
      </c>
      <c r="AX155" s="46">
        <f t="shared" ca="1" si="115"/>
        <v>47637084.598767653</v>
      </c>
      <c r="AY155" s="46">
        <f ca="1">IF(J155&gt;1,($CD$4)*Inputs!$B$55*((Z155+AA155+AB155)/(SUM(ILP_C_HighResilience!$C$9:$E$13))),0)</f>
        <v>0</v>
      </c>
      <c r="AZ155" s="46">
        <f t="shared" ca="1" si="116"/>
        <v>0</v>
      </c>
      <c r="BA155" s="41">
        <f t="shared" ca="1" si="117"/>
        <v>0</v>
      </c>
      <c r="BB155" s="41">
        <f t="shared" ca="1" si="118"/>
        <v>1</v>
      </c>
      <c r="BC155" s="41">
        <f t="shared" ca="1" si="119"/>
        <v>1</v>
      </c>
      <c r="BD155" s="41">
        <f t="shared" ca="1" si="120"/>
        <v>1</v>
      </c>
    </row>
    <row r="156" spans="1:56" ht="15" customHeight="1" x14ac:dyDescent="0.3">
      <c r="A156" s="41">
        <v>149</v>
      </c>
      <c r="B156" s="42">
        <f t="shared" ca="1" si="102"/>
        <v>0.99656818242609968</v>
      </c>
      <c r="C156" s="43">
        <f ca="1">IF(B156&lt;=Inputs!$C$40,Inputs!$D$40,IF(B156&lt;=Inputs!$C$41,Inputs!$D$41,Inputs!$D$42))</f>
        <v>1.1499999999999999</v>
      </c>
      <c r="D156" s="42">
        <f t="shared" ca="1" si="123"/>
        <v>0.41218930099622653</v>
      </c>
      <c r="E156" s="42">
        <f t="shared" ca="1" si="123"/>
        <v>1.3340666382433808E-2</v>
      </c>
      <c r="F156" s="42">
        <f t="shared" ca="1" si="123"/>
        <v>0.82206220101085381</v>
      </c>
      <c r="G156" s="42">
        <f t="shared" ca="1" si="123"/>
        <v>0.60372570482331367</v>
      </c>
      <c r="H156" s="42">
        <f t="shared" ca="1" si="123"/>
        <v>0.25667219596853241</v>
      </c>
      <c r="I156" s="42">
        <f t="shared" ca="1" si="123"/>
        <v>0.24351581223834207</v>
      </c>
      <c r="J156" s="43">
        <f ca="1">IF(I156&lt;Inputs!$B$54,1+Inputs!$B$55,1)</f>
        <v>1</v>
      </c>
      <c r="K156" s="42">
        <f t="shared" ca="1" si="124"/>
        <v>0.77245176267947768</v>
      </c>
      <c r="L156" s="42">
        <f t="shared" ca="1" si="124"/>
        <v>0.27365731248430447</v>
      </c>
      <c r="M156" s="42">
        <f t="shared" ca="1" si="124"/>
        <v>0.43302369748835412</v>
      </c>
      <c r="N156" s="42">
        <f t="shared" ca="1" si="124"/>
        <v>0.81808279689439689</v>
      </c>
      <c r="O156" s="42">
        <f t="shared" ca="1" si="124"/>
        <v>0.46684879956864145</v>
      </c>
      <c r="P156" s="42">
        <f t="shared" ca="1" si="124"/>
        <v>0.16580207722777207</v>
      </c>
      <c r="Q156" s="42">
        <f t="shared" ca="1" si="124"/>
        <v>0.43483261027299169</v>
      </c>
      <c r="R156" s="42">
        <f t="shared" ca="1" si="124"/>
        <v>0.37737564627834697</v>
      </c>
      <c r="S156" s="42">
        <f t="shared" ca="1" si="124"/>
        <v>0.53624106837023044</v>
      </c>
      <c r="T156" s="42">
        <f t="shared" ca="1" si="124"/>
        <v>0.91792811813399011</v>
      </c>
      <c r="U156" s="44">
        <f ca="1">(IF(D156&gt;=Inputs!$E$12,1,IF(K156&lt;=Inputs!$C$46,Inputs!$D$46,IF(K156&lt;=Inputs!$C$47,Inputs!$D$47,Inputs!$D$48))))*((Inputs!$B$28+(P156-0.5)*2*Inputs!$B$53)/Inputs!$B$28)</f>
        <v>0.99661742993145519</v>
      </c>
      <c r="V156" s="44">
        <f ca="1">(IF(E156&gt;=Inputs!$E$13,1,IF(L156&lt;=Inputs!$C$46,Inputs!$D$46,IF(L156&lt;=Inputs!$C$47,Inputs!$D$47,Inputs!$D$48))))*((Inputs!$B$29+(Q156-0.5)*2*Inputs!$B$53)/Inputs!$B$29)</f>
        <v>0.59960584240084469</v>
      </c>
      <c r="W156" s="44">
        <f ca="1">(IF(F156&gt;=Inputs!$E$14,1,IF(M156&lt;=Inputs!$C$46,Inputs!$D$46,IF(M156&lt;=Inputs!$C$47,Inputs!$D$47,Inputs!$D$48))))*((Inputs!$B$30+(R156-0.5)*2*Inputs!$B$53)/Inputs!$B$30)</f>
        <v>0.99876759443495822</v>
      </c>
      <c r="X156" s="44">
        <f ca="1">(IF(G156&gt;=Inputs!$E$15,1,IF(N156&lt;=Inputs!$C$46,Inputs!$D$46,IF(N156&lt;=Inputs!$C$47,Inputs!$D$47,Inputs!$D$48))))*((Inputs!$B$31+(S156-0.5)*2*Inputs!$B$53)/Inputs!$B$31)</f>
        <v>1.0003679296281243</v>
      </c>
      <c r="Y156" s="44">
        <f ca="1">(IF(H156&gt;=Inputs!$E$16,1,IF(O156&lt;=Inputs!$C$46,Inputs!$D$46,IF(O156&lt;=Inputs!$C$47,Inputs!$D$47,Inputs!$D$48))))*((Inputs!$B$32+(T156-0.5)*2*Inputs!$B$53)/Inputs!$B$32)</f>
        <v>1.0042045082307243</v>
      </c>
      <c r="Z156" s="45">
        <f ca="1">ILP_C_HighResilience!$C$9*U156+ILP_C_HighResilience!$C$10*V156+ILP_C_HighResilience!$C$11*W156+ILP_C_HighResilience!$C$12*X156+ILP_C_HighResilience!$C$13*Y156</f>
        <v>16536.875621472012</v>
      </c>
      <c r="AA156" s="45">
        <f ca="1">ILP_C_HighResilience!$D$9*U156+ILP_C_HighResilience!$D$10*V156+ILP_C_HighResilience!$D$11*W156+ILP_C_HighResilience!$D$12*X156+ILP_C_HighResilience!$D$13*Y156</f>
        <v>12593.93695291212</v>
      </c>
      <c r="AB156" s="45">
        <f ca="1">ILP_C_HighResilience!$E$9*U156+ILP_C_HighResilience!$E$10*V156+ILP_C_HighResilience!$E$11*W156+ILP_C_HighResilience!$E$12*X156+ILP_C_HighResilience!$E$13*Y156</f>
        <v>10263.284750880406</v>
      </c>
      <c r="AC156" s="45">
        <f ca="1">Inputs!$B$6*$C156</f>
        <v>20700</v>
      </c>
      <c r="AD156" s="45">
        <f ca="1">Inputs!$B$7*$C156</f>
        <v>17250</v>
      </c>
      <c r="AE156" s="45">
        <f ca="1">Inputs!$B$8*$C156</f>
        <v>13799.999999999998</v>
      </c>
      <c r="AF156" s="45">
        <f t="shared" ca="1" si="103"/>
        <v>4163.1243785279876</v>
      </c>
      <c r="AG156" s="45">
        <f t="shared" ca="1" si="104"/>
        <v>4656.0630470878805</v>
      </c>
      <c r="AH156" s="45">
        <f t="shared" ca="1" si="105"/>
        <v>3536.715249119592</v>
      </c>
      <c r="AI156" s="45">
        <f t="shared" ca="1" si="106"/>
        <v>12355.90267473546</v>
      </c>
      <c r="AJ156" s="45">
        <f ca="1">U156*(Inputs!$B$12-ILP_C_HighResilience!$F$9)+V156*(Inputs!$B$13-ILP_C_HighResilience!$F$10)+W156*(Inputs!$B$14-ILP_C_HighResilience!$F$11)+X156*(Inputs!$B$15-ILP_C_HighResilience!$F$12)+Y156*(Inputs!$B$16-ILP_C_HighResilience!$F$13)</f>
        <v>24997.724853903383</v>
      </c>
      <c r="AK156" s="45">
        <f t="shared" ca="1" si="107"/>
        <v>12355.90267473546</v>
      </c>
      <c r="AL156" s="45">
        <f t="shared" ca="1" si="108"/>
        <v>0</v>
      </c>
      <c r="AM156" s="45">
        <f t="shared" ca="1" si="109"/>
        <v>0</v>
      </c>
      <c r="AN156" s="45">
        <f t="shared" ca="1" si="110"/>
        <v>0</v>
      </c>
      <c r="AO156" s="45">
        <f ca="1">MIN(AL156,Inputs!$B$36)</f>
        <v>0</v>
      </c>
      <c r="AP156" s="45">
        <f ca="1">MIN(AN156,Inputs!$B$36-AO156)</f>
        <v>0</v>
      </c>
      <c r="AQ156" s="45">
        <f ca="1">MIN(AM156,Inputs!$B$36-AO156-AP156)</f>
        <v>0</v>
      </c>
      <c r="AR156" s="45">
        <f t="shared" ca="1" si="111"/>
        <v>0</v>
      </c>
      <c r="AS156" s="45">
        <f t="shared" ca="1" si="112"/>
        <v>0</v>
      </c>
      <c r="AT156" s="45">
        <f t="shared" ca="1" si="113"/>
        <v>0</v>
      </c>
      <c r="AU156" s="45">
        <f t="shared" ca="1" si="114"/>
        <v>0</v>
      </c>
      <c r="AV156" s="46">
        <f ca="1">AU156*Inputs!$B$35</f>
        <v>0</v>
      </c>
      <c r="AW156" s="46">
        <f ca="1">AR156*Inputs!$C$6+AT156*Inputs!$C$7+AS156*Inputs!$C$8</f>
        <v>0</v>
      </c>
      <c r="AX156" s="46">
        <f t="shared" ca="1" si="115"/>
        <v>41678939.409129605</v>
      </c>
      <c r="AY156" s="46">
        <f ca="1">IF(J156&gt;1,($CD$4)*Inputs!$B$55*((Z156+AA156+AB156)/(SUM(ILP_C_HighResilience!$C$9:$E$13))),0)</f>
        <v>0</v>
      </c>
      <c r="AZ156" s="46">
        <f t="shared" ca="1" si="116"/>
        <v>0</v>
      </c>
      <c r="BA156" s="41">
        <f t="shared" ca="1" si="117"/>
        <v>0</v>
      </c>
      <c r="BB156" s="41">
        <f t="shared" ca="1" si="118"/>
        <v>1</v>
      </c>
      <c r="BC156" s="41">
        <f t="shared" ca="1" si="119"/>
        <v>1</v>
      </c>
      <c r="BD156" s="41">
        <f t="shared" ca="1" si="120"/>
        <v>1</v>
      </c>
    </row>
    <row r="157" spans="1:56" ht="15" customHeight="1" x14ac:dyDescent="0.3">
      <c r="A157" s="41">
        <v>150</v>
      </c>
      <c r="B157" s="42">
        <f t="shared" ca="1" si="102"/>
        <v>0.13766303498165045</v>
      </c>
      <c r="C157" s="43">
        <f ca="1">IF(B157&lt;=Inputs!$C$40,Inputs!$D$40,IF(B157&lt;=Inputs!$C$41,Inputs!$D$41,Inputs!$D$42))</f>
        <v>0.9</v>
      </c>
      <c r="D157" s="42">
        <f t="shared" ca="1" si="123"/>
        <v>0.23079758013268292</v>
      </c>
      <c r="E157" s="42">
        <f t="shared" ca="1" si="123"/>
        <v>0.14382773570259433</v>
      </c>
      <c r="F157" s="42">
        <f t="shared" ca="1" si="123"/>
        <v>0.69352601135418379</v>
      </c>
      <c r="G157" s="42">
        <f t="shared" ca="1" si="123"/>
        <v>8.4667582194064228E-2</v>
      </c>
      <c r="H157" s="42">
        <f t="shared" ca="1" si="123"/>
        <v>0.16857270946965475</v>
      </c>
      <c r="I157" s="42">
        <f t="shared" ca="1" si="123"/>
        <v>0.20655373334563909</v>
      </c>
      <c r="J157" s="43">
        <f ca="1">IF(I157&lt;Inputs!$B$54,1+Inputs!$B$55,1)</f>
        <v>1</v>
      </c>
      <c r="K157" s="42">
        <f t="shared" ca="1" si="124"/>
        <v>0.67714881825522366</v>
      </c>
      <c r="L157" s="42">
        <f t="shared" ca="1" si="124"/>
        <v>0.29598517135208346</v>
      </c>
      <c r="M157" s="42">
        <f t="shared" ca="1" si="124"/>
        <v>0.91415184951151984</v>
      </c>
      <c r="N157" s="42">
        <f t="shared" ca="1" si="124"/>
        <v>0.78123986095888742</v>
      </c>
      <c r="O157" s="42">
        <f t="shared" ca="1" si="124"/>
        <v>0.39915830704098565</v>
      </c>
      <c r="P157" s="42">
        <f t="shared" ca="1" si="124"/>
        <v>0.15100787025844553</v>
      </c>
      <c r="Q157" s="42">
        <f t="shared" ca="1" si="124"/>
        <v>0.55501171096482382</v>
      </c>
      <c r="R157" s="42">
        <f t="shared" ca="1" si="124"/>
        <v>0.62754364102139326</v>
      </c>
      <c r="S157" s="42">
        <f t="shared" ca="1" si="124"/>
        <v>8.0892134133058846E-2</v>
      </c>
      <c r="T157" s="42">
        <f t="shared" ca="1" si="124"/>
        <v>4.0066821301747435E-2</v>
      </c>
      <c r="U157" s="44">
        <f ca="1">(IF(D157&gt;=Inputs!$E$12,1,IF(K157&lt;=Inputs!$C$46,Inputs!$D$46,IF(K157&lt;=Inputs!$C$47,Inputs!$D$47,Inputs!$D$48))))*((Inputs!$B$28+(P157-0.5)*2*Inputs!$B$53)/Inputs!$B$28)</f>
        <v>0.99646769099451871</v>
      </c>
      <c r="V157" s="44">
        <f ca="1">(IF(E157&gt;=Inputs!$E$13,1,IF(L157&lt;=Inputs!$C$46,Inputs!$D$46,IF(L157&lt;=Inputs!$C$47,Inputs!$D$47,Inputs!$D$48))))*((Inputs!$B$29+(Q157-0.5)*2*Inputs!$B$53)/Inputs!$B$29)</f>
        <v>1.0005545535379519</v>
      </c>
      <c r="W157" s="44">
        <f ca="1">(IF(F157&gt;=Inputs!$E$14,1,IF(M157&lt;=Inputs!$C$46,Inputs!$D$46,IF(M157&lt;=Inputs!$C$47,Inputs!$D$47,Inputs!$D$48))))*((Inputs!$B$30+(R157-0.5)*2*Inputs!$B$53)/Inputs!$B$30)</f>
        <v>1.0012818456384058</v>
      </c>
      <c r="X157" s="44">
        <f ca="1">(IF(G157&gt;=Inputs!$E$15,1,IF(N157&lt;=Inputs!$C$46,Inputs!$D$46,IF(N157&lt;=Inputs!$C$47,Inputs!$D$47,Inputs!$D$48))))*((Inputs!$B$31+(S157-0.5)*2*Inputs!$B$53)/Inputs!$B$31)</f>
        <v>0.29872352934253721</v>
      </c>
      <c r="Y157" s="44">
        <f ca="1">(IF(H157&gt;=Inputs!$E$16,1,IF(O157&lt;=Inputs!$C$46,Inputs!$D$46,IF(O157&lt;=Inputs!$C$47,Inputs!$D$47,Inputs!$D$48))))*((Inputs!$B$32+(T157-0.5)*2*Inputs!$B$53)/Inputs!$B$32)</f>
        <v>0.99537290564689884</v>
      </c>
      <c r="Z157" s="45">
        <f ca="1">ILP_C_HighResilience!$C$9*U157+ILP_C_HighResilience!$C$10*V157+ILP_C_HighResilience!$C$11*W157+ILP_C_HighResilience!$C$12*X157+ILP_C_HighResilience!$C$13*Y157</f>
        <v>12927.373179163429</v>
      </c>
      <c r="AA157" s="45">
        <f ca="1">ILP_C_HighResilience!$D$9*U157+ILP_C_HighResilience!$D$10*V157+ILP_C_HighResilience!$D$11*W157+ILP_C_HighResilience!$D$12*X157+ILP_C_HighResilience!$D$13*Y157</f>
        <v>11769.04451068645</v>
      </c>
      <c r="AB157" s="45">
        <f ca="1">ILP_C_HighResilience!$E$9*U157+ILP_C_HighResilience!$E$10*V157+ILP_C_HighResilience!$E$11*W157+ILP_C_HighResilience!$E$12*X157+ILP_C_HighResilience!$E$13*Y157</f>
        <v>11989.155576843465</v>
      </c>
      <c r="AC157" s="45">
        <f ca="1">Inputs!$B$6*$C157</f>
        <v>16200</v>
      </c>
      <c r="AD157" s="45">
        <f ca="1">Inputs!$B$7*$C157</f>
        <v>13500</v>
      </c>
      <c r="AE157" s="45">
        <f ca="1">Inputs!$B$8*$C157</f>
        <v>10800</v>
      </c>
      <c r="AF157" s="45">
        <f t="shared" ca="1" si="103"/>
        <v>3272.6268208365709</v>
      </c>
      <c r="AG157" s="45">
        <f t="shared" ca="1" si="104"/>
        <v>1730.9554893135501</v>
      </c>
      <c r="AH157" s="45">
        <f t="shared" ca="1" si="105"/>
        <v>0</v>
      </c>
      <c r="AI157" s="45">
        <f t="shared" ca="1" si="106"/>
        <v>5003.582310150121</v>
      </c>
      <c r="AJ157" s="45">
        <f ca="1">U157*(Inputs!$B$12-ILP_C_HighResilience!$F$9)+V157*(Inputs!$B$13-ILP_C_HighResilience!$F$10)+W157*(Inputs!$B$14-ILP_C_HighResilience!$F$11)+X157*(Inputs!$B$15-ILP_C_HighResilience!$F$12)+Y157*(Inputs!$B$16-ILP_C_HighResilience!$F$13)</f>
        <v>24797.613468863485</v>
      </c>
      <c r="AK157" s="45">
        <f t="shared" ca="1" si="107"/>
        <v>5003.582310150121</v>
      </c>
      <c r="AL157" s="45">
        <f t="shared" ca="1" si="108"/>
        <v>0</v>
      </c>
      <c r="AM157" s="45">
        <f t="shared" ca="1" si="109"/>
        <v>0</v>
      </c>
      <c r="AN157" s="45">
        <f t="shared" ca="1" si="110"/>
        <v>0</v>
      </c>
      <c r="AO157" s="45">
        <f ca="1">MIN(AL157,Inputs!$B$36)</f>
        <v>0</v>
      </c>
      <c r="AP157" s="45">
        <f ca="1">MIN(AN157,Inputs!$B$36-AO157)</f>
        <v>0</v>
      </c>
      <c r="AQ157" s="45">
        <f ca="1">MIN(AM157,Inputs!$B$36-AO157-AP157)</f>
        <v>0</v>
      </c>
      <c r="AR157" s="45">
        <f t="shared" ca="1" si="111"/>
        <v>0</v>
      </c>
      <c r="AS157" s="45">
        <f t="shared" ca="1" si="112"/>
        <v>0</v>
      </c>
      <c r="AT157" s="45">
        <f t="shared" ca="1" si="113"/>
        <v>0</v>
      </c>
      <c r="AU157" s="45">
        <f t="shared" ca="1" si="114"/>
        <v>0</v>
      </c>
      <c r="AV157" s="46">
        <f ca="1">AU157*Inputs!$B$35</f>
        <v>0</v>
      </c>
      <c r="AW157" s="46">
        <f ca="1">AR157*Inputs!$C$6+AT157*Inputs!$C$7+AS157*Inputs!$C$8</f>
        <v>0</v>
      </c>
      <c r="AX157" s="46">
        <f t="shared" ca="1" si="115"/>
        <v>38948516.164006189</v>
      </c>
      <c r="AY157" s="46">
        <f ca="1">IF(J157&gt;1,($CD$4)*Inputs!$B$55*((Z157+AA157+AB157)/(SUM(ILP_C_HighResilience!$C$9:$E$13))),0)</f>
        <v>0</v>
      </c>
      <c r="AZ157" s="46">
        <f t="shared" ca="1" si="116"/>
        <v>0</v>
      </c>
      <c r="BA157" s="41">
        <f t="shared" ca="1" si="117"/>
        <v>0</v>
      </c>
      <c r="BB157" s="41">
        <f t="shared" ca="1" si="118"/>
        <v>1</v>
      </c>
      <c r="BC157" s="41">
        <f t="shared" ca="1" si="119"/>
        <v>1</v>
      </c>
      <c r="BD157" s="41">
        <f t="shared" ca="1" si="120"/>
        <v>1</v>
      </c>
    </row>
  </sheetData>
  <mergeCells count="3">
    <mergeCell ref="A1:J1"/>
    <mergeCell ref="A2:T2"/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9bebd42-f1ff-4c3d-9688-067e3460dc1f}" enabled="0" method="" siteId="{29bebd42-f1ff-4c3d-9688-067e3460dc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0_ReadMe</vt:lpstr>
      <vt:lpstr>Inputs</vt:lpstr>
      <vt:lpstr>ILP_A_CostFocused</vt:lpstr>
      <vt:lpstr>ILP_B_Moderate</vt:lpstr>
      <vt:lpstr>ILP_C_HighResilience</vt:lpstr>
      <vt:lpstr>Strategy_Comparison</vt:lpstr>
      <vt:lpstr>Sim_A_CostFocused</vt:lpstr>
      <vt:lpstr>Sim_B_Moderate</vt:lpstr>
      <vt:lpstr>Sim_C_HighResilience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AKSHAY KUMAR R - 261600080167 - TAPMIMPL</cp:lastModifiedBy>
  <cp:revision>0</cp:revision>
  <dcterms:created xsi:type="dcterms:W3CDTF">2026-09-13T20:00:47Z</dcterms:created>
  <dcterms:modified xsi:type="dcterms:W3CDTF">2026-09-17T05:02:25Z</dcterms:modified>
  <dc:language>en-US</dc:language>
</cp:coreProperties>
</file>